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d.docs.live.net/6bfe3c28b11287fa/Desktop/Norwegian Pitch/reports/"/>
    </mc:Choice>
  </mc:AlternateContent>
  <xr:revisionPtr revIDLastSave="257" documentId="8_{5286E4D9-3BFC-4D8D-A684-E81F1DC6F6B5}" xr6:coauthVersionLast="47" xr6:coauthVersionMax="47" xr10:uidLastSave="{CC1585F1-9EE5-4B29-BE87-AAD8034D986A}"/>
  <bookViews>
    <workbookView xWindow="28680" yWindow="-120" windowWidth="29040" windowHeight="15720" firstSheet="4" activeTab="8" xr2:uid="{00000000-000D-0000-FFFF-FFFF00000000}"/>
  </bookViews>
  <sheets>
    <sheet name="Index" sheetId="1" r:id="rId1"/>
    <sheet name="Availability" sheetId="2" r:id="rId2"/>
    <sheet name="Booking curve" sheetId="3" r:id="rId3"/>
    <sheet name="Curve by hull gen" sheetId="4" r:id="rId4"/>
    <sheet name="Offer boundary" sheetId="5" r:id="rId5"/>
    <sheet name="Inclusion value" sheetId="6" r:id="rId6"/>
    <sheet name="Peer gap" sheetId="7" r:id="rId7"/>
    <sheet name="Earnings window" sheetId="8" r:id="rId8"/>
    <sheet name="Charts" sheetId="13" r:id="rId9"/>
    <sheet name="Cohort index" sheetId="9" r:id="rId10"/>
    <sheet name="Depletion" sheetId="10" r:id="rId11"/>
    <sheet name="Promo diff" sheetId="11" r:id="rId12"/>
    <sheet name="Promo reference" sheetId="12" r:id="rId13"/>
  </sheets>
  <externalReferences>
    <externalReference r:id="rId14"/>
    <externalReference r:id="rId15"/>
  </externalReferences>
  <definedNames>
    <definedName name="_xlnm._FilterDatabase" localSheetId="1" hidden="1">Availability!$A$15:$P$59</definedName>
    <definedName name="_xlnm._FilterDatabase" localSheetId="2" hidden="1">'Booking curve'!$A$23:$V$97</definedName>
    <definedName name="_xlnm._FilterDatabase" localSheetId="9" hidden="1">'Cohort index'!$A$18:$S$2270</definedName>
    <definedName name="_xlnm._FilterDatabase" localSheetId="3" hidden="1">'Curve by hull gen'!$A$24:$V$147</definedName>
    <definedName name="_xlnm._FilterDatabase" localSheetId="10" hidden="1">Depletion!$A$16:$U$60</definedName>
    <definedName name="_xlnm._FilterDatabase" localSheetId="7" hidden="1">'Earnings window'!$A$11:$I$55</definedName>
    <definedName name="_xlnm._FilterDatabase" localSheetId="5" hidden="1">'Inclusion value'!$A$13:$N$23</definedName>
    <definedName name="_xlnm._FilterDatabase" localSheetId="0" hidden="1">Index!$A$46:$G$50</definedName>
    <definedName name="_xlnm._FilterDatabase" localSheetId="4" hidden="1">'Offer boundary'!$A$18:$X$21</definedName>
    <definedName name="_xlnm._FilterDatabase" localSheetId="6" hidden="1">'Peer gap'!$A$18:$P$42</definedName>
    <definedName name="_xlnm._FilterDatabase" localSheetId="11" hidden="1">'Promo diff'!$A$16:$R$352</definedName>
    <definedName name="_xlnm._FilterDatabase" localSheetId="12" hidden="1">'Promo reference'!$A$14:$Q$35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3" l="1"/>
  <c r="H31" i="13"/>
  <c r="I31" i="13"/>
  <c r="J31" i="13"/>
  <c r="E31" i="13"/>
  <c r="F31" i="13"/>
  <c r="G30" i="13"/>
  <c r="H30" i="13"/>
  <c r="I30" i="13"/>
  <c r="J30" i="13"/>
  <c r="C30" i="13"/>
  <c r="D30" i="13"/>
  <c r="E30" i="13"/>
  <c r="F30" i="13"/>
  <c r="F27" i="13"/>
  <c r="E27" i="13"/>
  <c r="F26" i="13"/>
  <c r="E26" i="13"/>
  <c r="F25" i="13"/>
  <c r="E25" i="13"/>
  <c r="F24" i="13"/>
  <c r="E24" i="13"/>
  <c r="F23" i="13"/>
  <c r="E23" i="13"/>
  <c r="F22" i="13"/>
  <c r="E22" i="13"/>
  <c r="F21" i="13"/>
  <c r="E21" i="13"/>
  <c r="F20" i="13"/>
  <c r="E20" i="13"/>
  <c r="F19" i="13"/>
  <c r="E19" i="13"/>
  <c r="F18" i="13"/>
  <c r="E18" i="13"/>
  <c r="F17" i="13"/>
  <c r="E17" i="13"/>
  <c r="F16" i="13"/>
  <c r="E16" i="13"/>
  <c r="F15" i="13"/>
  <c r="E15" i="13"/>
  <c r="F14" i="13"/>
  <c r="E14" i="13"/>
  <c r="F13" i="13"/>
  <c r="E13" i="13"/>
  <c r="F12" i="13"/>
  <c r="E12" i="13"/>
  <c r="F11" i="13"/>
  <c r="E11" i="13"/>
  <c r="F10" i="13"/>
  <c r="E10" i="13"/>
  <c r="F9" i="13"/>
  <c r="E9" i="13"/>
  <c r="F8" i="13"/>
  <c r="E8" i="13"/>
  <c r="F7" i="13"/>
  <c r="E7" i="13"/>
  <c r="F6" i="13"/>
  <c r="E6" i="13"/>
  <c r="F5" i="13"/>
  <c r="E5" i="13"/>
  <c r="F4" i="13"/>
  <c r="E4" i="13"/>
  <c r="B4" i="13"/>
  <c r="B5" i="13" s="1"/>
  <c r="B6" i="13" s="1"/>
  <c r="B7" i="13" s="1"/>
  <c r="B8" i="13" s="1"/>
  <c r="B9" i="13" s="1"/>
  <c r="B10" i="13" s="1"/>
  <c r="B11" i="13" s="1"/>
  <c r="B12" i="13" s="1"/>
  <c r="B13" i="13" s="1"/>
  <c r="B14" i="13" s="1"/>
  <c r="B15" i="13" s="1"/>
  <c r="B16" i="13" s="1"/>
  <c r="B17" i="13" s="1"/>
  <c r="B18" i="13" s="1"/>
  <c r="B19" i="13" s="1"/>
  <c r="B20" i="13" s="1"/>
  <c r="B21" i="13" s="1"/>
  <c r="B22" i="13" s="1"/>
  <c r="B23" i="13" s="1"/>
  <c r="B24" i="13" s="1"/>
  <c r="B25" i="13" s="1"/>
  <c r="B26" i="13" s="1"/>
  <c r="B27" i="13" s="1"/>
  <c r="F3" i="13"/>
  <c r="E3" i="13"/>
</calcChain>
</file>

<file path=xl/sharedStrings.xml><?xml version="1.0" encoding="utf-8"?>
<sst xmlns="http://schemas.openxmlformats.org/spreadsheetml/2006/main" count="21823" uniqueCount="842">
  <si>
    <t>Cruise fare and inventory panel -- weekly-full</t>
  </si>
  <si>
    <t>Generated automatically by the collection run. This workbook is DERIVED from data/observations/*.jsonl.gz, which is the observed record; regenerate it any time with `python -m panel.report`.</t>
  </si>
  <si>
    <t>Provenance</t>
  </si>
  <si>
    <t>Tier</t>
  </si>
  <si>
    <t>weekly-full</t>
  </si>
  <si>
    <t>Scrape date this file is named for</t>
  </si>
  <si>
    <t>2026-09-28</t>
  </si>
  <si>
    <t>Collection dates present in tier</t>
  </si>
  <si>
    <t>2026-09-15, 2026-09-16, 2026-09-17, 2026-09-21, 2026-09-28</t>
  </si>
  <si>
    <t>Lines</t>
  </si>
  <si>
    <t>Carnival Cruise Line, Norwegian Cruise Line</t>
  </si>
  <si>
    <t>Observations in tier (all dates)</t>
  </si>
  <si>
    <t>Observations on this scrape date</t>
  </si>
  <si>
    <t>Sail window covered</t>
  </si>
  <si>
    <t>2026-10-01..2028-10-29</t>
  </si>
  <si>
    <t>Currencies present</t>
  </si>
  <si>
    <t>USD</t>
  </si>
  <si>
    <t>Markets served</t>
  </si>
  <si>
    <t>US</t>
  </si>
  <si>
    <t>Generated at (UTC)</t>
  </si>
  <si>
    <t>2026-09-28T07:05:44+00:00</t>
  </si>
  <si>
    <t>Sheets</t>
  </si>
  <si>
    <t>NOTE: this file is named for one scrape date, but only the cross-sectional sheets are pinned to it. The time-series sheets span every collection date in the tier, which is what makes them series. The `time scope` column below is not decoration.</t>
  </si>
  <si>
    <t>sheet</t>
  </si>
  <si>
    <t>analysis</t>
  </si>
  <si>
    <t>time scope</t>
  </si>
  <si>
    <t>rows</t>
  </si>
  <si>
    <t>status</t>
  </si>
  <si>
    <t>what it measures</t>
  </si>
  <si>
    <t>Availability</t>
  </si>
  <si>
    <t>availability</t>
  </si>
  <si>
    <t>this scrape date</t>
  </si>
  <si>
    <t>ok</t>
  </si>
  <si>
    <t>Inventory mix per group. The denominator that separates 'price rose' from 'the cheap cabins are gone'.</t>
  </si>
  <si>
    <t>Booking curve</t>
  </si>
  <si>
    <t>booking-curve</t>
  </si>
  <si>
    <t>Price, dispersion and sold-out share against days to departure, per region: 7-8 night, cruise-only, suites and non-peer-comparable cabins excluded. Bands are 15 days near departure, where fares move, and widen further out.</t>
  </si>
  <si>
    <t>Curve by hull gen</t>
  </si>
  <si>
    <t>curve-by-hull</t>
  </si>
  <si>
    <t>The same curve holding hull GENERATION fixed -- NCL's newest tonnage against Carnival's newest, not against a blend. Class names never match across lines, so generation is the comparable axis and it is mapped explicitly in config.</t>
  </si>
  <si>
    <t>Offer boundary</t>
  </si>
  <si>
    <t>offer-boundary</t>
  </si>
  <si>
    <t>all scrape dates in the tier</t>
  </si>
  <si>
    <t>COLLECTION SCOPE CHANGED BETWEEN DATES</t>
  </si>
  <si>
    <t>Price change on sailings that CROSSED final payment, each compared to itself days apart. The event is dated by NCL: its risk-free cancellation offer applies outside final payment, so losing it is the crossing. Calendar is fixed by construction, so no seasonal correction is needed.</t>
  </si>
  <si>
    <t>Inclusion value</t>
  </si>
  <si>
    <t>inclusion-value</t>
  </si>
  <si>
    <t>What the prepaid-gratuities giveaway is worth as a share of the fare beside it. Fares are ours; the per-day rate is NCL's published schedule, dated and sourced on every row. A discount that never touches the advertised price.</t>
  </si>
  <si>
    <t>Peer gap</t>
  </si>
  <si>
    <t>peer-gap</t>
  </si>
  <si>
    <t>NCLH vs peer median pppn, per region and cabin category, on cruise-only rows.</t>
  </si>
  <si>
    <t>Earnings window</t>
  </si>
  <si>
    <t>earnings-window</t>
  </si>
  <si>
    <t>Sailings departing inside the NCLH print window vs outside it. Split on sail date, not collection date.</t>
  </si>
  <si>
    <t>Cohort index</t>
  </si>
  <si>
    <t>cohort-index</t>
  </si>
  <si>
    <t>Since-inception index on a MATCHED BASKET of cabins, with the naive all-rows index beside it. index_matched cannot be moved by sailings entering the book; mix_effect_pp is how much of the naive move is composition rather than price.</t>
  </si>
  <si>
    <t>Depletion</t>
  </si>
  <si>
    <t>depletion</t>
  </si>
  <si>
    <t>Change in closed share per day. Needs &gt;=2 collection dates or it reports nothing rather than inventing a slope.</t>
  </si>
  <si>
    <t>Promo diff</t>
  </si>
  <si>
    <t>promo-diff</t>
  </si>
  <si>
    <t>Which offers widened, narrowed, appeared or were withdrawn between dates, by reach on cabins seen both times.</t>
  </si>
  <si>
    <t>Promo reference</t>
  </si>
  <si>
    <t>promo-reference</t>
  </si>
  <si>
    <t>reference (every date in the tier)</t>
  </si>
  <si>
    <t>The decoder ring: every offer observed, in the vendor's own words, with its reach and scope. Read the Promo diff against this rather than against a hash.</t>
  </si>
  <si>
    <t>Region coverage on this basis</t>
  </si>
  <si>
    <t>Every region the config asks for, including those that returned nothing. A region with 0 rows is absent from every sheet; without this table that is indistinguishable from a region nobody requested.</t>
  </si>
  <si>
    <t>region</t>
  </si>
  <si>
    <t>observations</t>
  </si>
  <si>
    <t>sailings</t>
  </si>
  <si>
    <t>lines</t>
  </si>
  <si>
    <t>package_rows</t>
  </si>
  <si>
    <t>note</t>
  </si>
  <si>
    <t>Caribbean</t>
  </si>
  <si>
    <t>Southern Europe</t>
  </si>
  <si>
    <t>Northern Europe</t>
  </si>
  <si>
    <t>Bermuda</t>
  </si>
  <si>
    <t>Alaska</t>
  </si>
  <si>
    <t>Transatlantic</t>
  </si>
  <si>
    <t>Scope comparability between collection dates</t>
  </si>
  <si>
    <t>Whether each pair of adjacent collection dates sampled the same population. Where `comparable` is NO, the collector itself changed, and every slope or index spanning that pair is measuring the change to the collector as well as the market.</t>
  </si>
  <si>
    <t>from_date</t>
  </si>
  <si>
    <t>to_date</t>
  </si>
  <si>
    <t>sailings_before</t>
  </si>
  <si>
    <t>sailings_after</t>
  </si>
  <si>
    <t>sailings_delta_pct</t>
  </si>
  <si>
    <t>comparable</t>
  </si>
  <si>
    <t>why_not</t>
  </si>
  <si>
    <t>2026-09-15</t>
  </si>
  <si>
    <t>2026-09-16</t>
  </si>
  <si>
    <t>NO</t>
  </si>
  <si>
    <t>sail window moved 2027-01-02..2027-08-31 -&gt; 2026-10-01..2027-08-31; regions added: Transatlantic; sailing count moved +118.0% (887 -&gt; 1934)</t>
  </si>
  <si>
    <t>2026-09-17</t>
  </si>
  <si>
    <t>sail window moved 2026-10-01..2027-08-31 -&gt; 2026-10-01..2028-10-29; sailing count moved +89.9% (1934 -&gt; 3673)</t>
  </si>
  <si>
    <t>2026-09-21</t>
  </si>
  <si>
    <t>yes</t>
  </si>
  <si>
    <t>Time scope: this scrape date.</t>
  </si>
  <si>
    <t>[weekly-full] sail 2026-10-01..2028-10-29 | regions: Alaska, Bermuda, Caribbean, Northern Europe, Southern Europe, Transatlantic | observed 2026-09-28 | 18037 obs / 3632 sailings | granularity: category</t>
  </si>
  <si>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</si>
  <si>
    <t>! PEER-COMPARABLE REGIONS in this basis: Alaska, Bermuda, Caribbean, Northern Europe, Southern Europe. Single-line only (no peer rows, so no cross-line claim can rest on them): Transatlantic (Carnival Cruise Line).</t>
  </si>
  <si>
    <t>- closed_share = (limited + sold_out) / bookable cells, where bookable excludes solo_only.</t>
  </si>
  <si>
    <t>- solo_only is NCL's SOLO_GUEST_ONLY on Studio cabins: single occupancy by design, so it is a product attribute and not depletion. It is reported but kept out of both sides of the ratio.</t>
  </si>
  <si>
    <t>- Carnival publishes no 'limited' state (soldOut is a boolean), so its limited count is structurally 0 and its closed_share is a strict sold-out share. Compare closed_share within a line over time, and sold_out_share across lines.</t>
  </si>
  <si>
    <t>- An unpriced cell is a cell the vendor declined to quote, usually because it is sold out; priced_share is therefore a second, independent read on depletion.</t>
  </si>
  <si>
    <t>- `sample` grades each row on its bookable cell count: THIN below 30, VERY THIN below 10.</t>
  </si>
  <si>
    <t>- `pkg_excluded` is the land+cruise rows the cruise-only filter removed from that group; where it dominates, the row describes a much smaller product set than the region's raw size suggests.</t>
  </si>
  <si>
    <t>line</t>
  </si>
  <si>
    <t>cabin_category</t>
  </si>
  <si>
    <t>cells</t>
  </si>
  <si>
    <t>bookable_cells</t>
  </si>
  <si>
    <t>available</t>
  </si>
  <si>
    <t>limited</t>
  </si>
  <si>
    <t>solo_only</t>
  </si>
  <si>
    <t>sold_out</t>
  </si>
  <si>
    <t>unknown</t>
  </si>
  <si>
    <t>closed_share</t>
  </si>
  <si>
    <t>sold_out_share</t>
  </si>
  <si>
    <t>priced_share</t>
  </si>
  <si>
    <t>mean_pppn</t>
  </si>
  <si>
    <t>min_pppn</t>
  </si>
  <si>
    <t>sample</t>
  </si>
  <si>
    <t>Carnival Cruise Line</t>
  </si>
  <si>
    <t>balcony</t>
  </si>
  <si>
    <t>ok (n=53)</t>
  </si>
  <si>
    <t>inside</t>
  </si>
  <si>
    <t>oceanview</t>
  </si>
  <si>
    <t>suite</t>
  </si>
  <si>
    <t>ok (n=34)</t>
  </si>
  <si>
    <t>ok (n=1932)</t>
  </si>
  <si>
    <t>THIN (n=10)</t>
  </si>
  <si>
    <t>THIN (n=23)</t>
  </si>
  <si>
    <t>VERY THIN (n=5)</t>
  </si>
  <si>
    <t>Norwegian Cruise Line</t>
  </si>
  <si>
    <t>ok (n=338)</t>
  </si>
  <si>
    <t>ok (n=169)</t>
  </si>
  <si>
    <t>ok (n=243)</t>
  </si>
  <si>
    <t>ok (n=314)</t>
  </si>
  <si>
    <t>ok (n=157)</t>
  </si>
  <si>
    <t>ok (n=265)</t>
  </si>
  <si>
    <t>ok (n=1888)</t>
  </si>
  <si>
    <t>ok (n=944)</t>
  </si>
  <si>
    <t>ok (n=1473)</t>
  </si>
  <si>
    <t>ok (n=192)</t>
  </si>
  <si>
    <t>ok (n=96)</t>
  </si>
  <si>
    <t>ok (n=137)</t>
  </si>
  <si>
    <t>ok (n=417)</t>
  </si>
  <si>
    <t>ok (n=209)</t>
  </si>
  <si>
    <t>ok (n=308)</t>
  </si>
  <si>
    <t>[weekly-full] sail 2026-10-03..2028-10-28 | regions: Alaska, Bermuda, Caribbean, Northern Europe, Southern Europe | observed 2026-09-28 | 4692 obs / 1384 sailings | granularity: category</t>
  </si>
  <si>
    <t>! PEER-COMPARABLE REGIONS in this basis: Alaska, Bermuda, Caribbean, Northern Europe, Southern Europe. Single-line only (no peer rows, so no cross-line claim can rest on them): none.</t>
  </si>
  <si>
    <t>! PRODUCT FILTER: cruise-only. Of 15330 priced rows in scope, 15330 are cruise-only, 0 are land+cruise packages (excluded), 0 are unclassified.</t>
  </si>
  <si>
    <t>! PEER-COMPARABLE CABINS ONLY: dropped MINISUITE. These are filed under a peer category but are not the same product as the peer's version of it, so leaving them in would report a mapping artefact as a price premium. Pass peer_comparable=False to see a line's own book instead.</t>
  </si>
  <si>
    <t>- CROSS-SECTION, not a series: one collection date, sailings read across horizons. It assumes sailings at different horizons are otherwise comparable, hence one region and no suites or packages.</t>
  </si>
  <si>
    <t>- median_pppn is the median ACROSS SAILINGS, each sailing first reduced to its own median cabin, so a big ship counts once.</t>
  </si>
  <si>
    <t>- dispersion_pct = (p75-p25)/median across sailings. Uniform pricing across a season is what un-optimised revenue management looks like.</t>
  </si>
  <si>
    <t>- sold_out_share is the cross-line depletion measure. closed_share is WITHIN-LINE ONLY: Carnival publishes no 'limited' state, so a closed share would read structurally higher for NCL regardless of demand.</t>
  </si>
  <si>
    <t>- bands never straddle 120 days, NCLH's stated final-payment boundary; edges are [0, 15, 30, 45, 60, 75, 90, 105, 120, 135, 150, 180, 210, 240, 270, 365, 450, 540, 730].</t>
  </si>
  <si>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</si>
  <si>
    <t>- premium_vs_peer_pct compares medians inside the same band, so it is not contaminated by the two lines deploying at different horizons.</t>
  </si>
  <si>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</si>
  <si>
    <t>- promo_share is NULL, not 0, for a line that publishes no offer detail. Carnival is such a line: its blank is a source gap.</t>
  </si>
  <si>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</si>
  <si>
    <t>- Categories compared are inside / oceanview / balcony. Suites are excluded by default because the two lines' suite tiers are not the same product, and so is NCL's MINISUITE for the same reason.</t>
  </si>
  <si>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</si>
  <si>
    <t>dtd_band</t>
  </si>
  <si>
    <t>nights_band</t>
  </si>
  <si>
    <t>priced_sailings</t>
  </si>
  <si>
    <t>median_pppn</t>
  </si>
  <si>
    <t>p25_pppn</t>
  </si>
  <si>
    <t>p75_pppn</t>
  </si>
  <si>
    <t>dispersion_pct</t>
  </si>
  <si>
    <t>closed_share_within_line</t>
  </si>
  <si>
    <t>promo_share</t>
  </si>
  <si>
    <t>sail_from</t>
  </si>
  <si>
    <t>sail_to</t>
  </si>
  <si>
    <t>median_nights</t>
  </si>
  <si>
    <t>premium_vs_peer_pct</t>
  </si>
  <si>
    <t>index_base_band</t>
  </si>
  <si>
    <t>index_vs_own_far_band</t>
  </si>
  <si>
    <t>180-209</t>
  </si>
  <si>
    <t>7-8n</t>
  </si>
  <si>
    <t>2027-04-20</t>
  </si>
  <si>
    <t>INSUFFICIENT (sailings=1)</t>
  </si>
  <si>
    <t>270-364</t>
  </si>
  <si>
    <t>2027-04-25</t>
  </si>
  <si>
    <t>210-239</t>
  </si>
  <si>
    <t>2027-04-27</t>
  </si>
  <si>
    <t>2027-05-25</t>
  </si>
  <si>
    <t>THIN (sailings=9)</t>
  </si>
  <si>
    <t>2027-05-01</t>
  </si>
  <si>
    <t>2027-05-09</t>
  </si>
  <si>
    <t>INSUFFICIENT (sailings=4)</t>
  </si>
  <si>
    <t>240-269</t>
  </si>
  <si>
    <t>2027-05-27</t>
  </si>
  <si>
    <t>2027-06-24</t>
  </si>
  <si>
    <t>2027-06-29</t>
  </si>
  <si>
    <t>2027-09-14</t>
  </si>
  <si>
    <t>THIN (sailings=23)</t>
  </si>
  <si>
    <t>2027-06-25</t>
  </si>
  <si>
    <t>2027-09-26</t>
  </si>
  <si>
    <t>THIN (sailings=13)</t>
  </si>
  <si>
    <t>365-449</t>
  </si>
  <si>
    <t>2027-10-02</t>
  </si>
  <si>
    <t>2027-10-10</t>
  </si>
  <si>
    <t>540-729</t>
  </si>
  <si>
    <t>2028-04-16</t>
  </si>
  <si>
    <t>2028-09-24</t>
  </si>
  <si>
    <t>THIN (sailings=20)</t>
  </si>
  <si>
    <t>730+</t>
  </si>
  <si>
    <t>2028-10-01</t>
  </si>
  <si>
    <t>2028-10-08</t>
  </si>
  <si>
    <t>INSUFFICIENT (sailings=2)</t>
  </si>
  <si>
    <t xml:space="preserve">  0-14</t>
  </si>
  <si>
    <t>2026-10-04</t>
  </si>
  <si>
    <t xml:space="preserve"> 15-29</t>
  </si>
  <si>
    <t>2026-10-18</t>
  </si>
  <si>
    <t>2026-10-25</t>
  </si>
  <si>
    <t xml:space="preserve"> 30-44</t>
  </si>
  <si>
    <t>2026-11-01</t>
  </si>
  <si>
    <t xml:space="preserve"> 45-59</t>
  </si>
  <si>
    <t>2026-11-14</t>
  </si>
  <si>
    <t>2026-11-21</t>
  </si>
  <si>
    <t>150-179</t>
  </si>
  <si>
    <t>2027-03-21</t>
  </si>
  <si>
    <t>2027-03-28</t>
  </si>
  <si>
    <t>2027-04-29</t>
  </si>
  <si>
    <t>2027-05-23</t>
  </si>
  <si>
    <t>THIN (sailings=12)</t>
  </si>
  <si>
    <t>2027-06-27</t>
  </si>
  <si>
    <t>2027-09-19</t>
  </si>
  <si>
    <t>THIN (sailings=8)</t>
  </si>
  <si>
    <t>2027-06-26</t>
  </si>
  <si>
    <t>2027-08-26</t>
  </si>
  <si>
    <t>THIN (sailings=27)</t>
  </si>
  <si>
    <t>2027-10-03</t>
  </si>
  <si>
    <t>2027-10-17</t>
  </si>
  <si>
    <t>INSUFFICIENT (sailings=3)</t>
  </si>
  <si>
    <t>2027-10-30</t>
  </si>
  <si>
    <t>2027-11-20</t>
  </si>
  <si>
    <t>2028-03-26</t>
  </si>
  <si>
    <t>2028-08-24</t>
  </si>
  <si>
    <t>ok (sailings=60)</t>
  </si>
  <si>
    <t>2026-10-03</t>
  </si>
  <si>
    <t>2026-10-11</t>
  </si>
  <si>
    <t>THIN (sailings=5)</t>
  </si>
  <si>
    <t>2026-10-17</t>
  </si>
  <si>
    <t>THIN (sailings=10)</t>
  </si>
  <si>
    <t>THIN (sailings=6)</t>
  </si>
  <si>
    <t>2026-10-31</t>
  </si>
  <si>
    <t>2026-11-08</t>
  </si>
  <si>
    <t>THIN (sailings=15)</t>
  </si>
  <si>
    <t>2026-11-22</t>
  </si>
  <si>
    <t>THIN (sailings=18)</t>
  </si>
  <si>
    <t>2026-11-13</t>
  </si>
  <si>
    <t>2026-11-23</t>
  </si>
  <si>
    <t>THIN (sailings=17)</t>
  </si>
  <si>
    <t xml:space="preserve"> 60-74</t>
  </si>
  <si>
    <t>2026-11-28</t>
  </si>
  <si>
    <t>2026-12-06</t>
  </si>
  <si>
    <t>THIN (sailings=16)</t>
  </si>
  <si>
    <t>2026-11-27</t>
  </si>
  <si>
    <t>THIN (sailings=11)</t>
  </si>
  <si>
    <t xml:space="preserve"> 75-89</t>
  </si>
  <si>
    <t>2026-12-12</t>
  </si>
  <si>
    <t>2026-12-26</t>
  </si>
  <si>
    <t>THIN (sailings=24)</t>
  </si>
  <si>
    <t xml:space="preserve"> 90-104</t>
  </si>
  <si>
    <t>2026-12-27</t>
  </si>
  <si>
    <t>2027-01-10</t>
  </si>
  <si>
    <t>105-119</t>
  </si>
  <si>
    <t>2027-01-16</t>
  </si>
  <si>
    <t>2027-01-24</t>
  </si>
  <si>
    <t>2027-01-15</t>
  </si>
  <si>
    <t>THIN (sailings=14)</t>
  </si>
  <si>
    <t>120-134</t>
  </si>
  <si>
    <t>2027-01-30</t>
  </si>
  <si>
    <t>2027-02-07</t>
  </si>
  <si>
    <t>2027-01-29</t>
  </si>
  <si>
    <t>135-149</t>
  </si>
  <si>
    <t>2027-02-13</t>
  </si>
  <si>
    <t>2027-02-21</t>
  </si>
  <si>
    <t>2027-02-12</t>
  </si>
  <si>
    <t>2027-02-27</t>
  </si>
  <si>
    <t>ok (sailings=37)</t>
  </si>
  <si>
    <t>2027-02-26</t>
  </si>
  <si>
    <t>2027-03-26</t>
  </si>
  <si>
    <t>ok (sailings=30)</t>
  </si>
  <si>
    <t>2027-03-27</t>
  </si>
  <si>
    <t>ok (sailings=42)</t>
  </si>
  <si>
    <t>ok (sailings=32)</t>
  </si>
  <si>
    <t>2027-05-02</t>
  </si>
  <si>
    <t>THIN (sailings=7)</t>
  </si>
  <si>
    <t>2027-05-29</t>
  </si>
  <si>
    <t>2027-06-22</t>
  </si>
  <si>
    <t>2027-05-30</t>
  </si>
  <si>
    <t>2027-06-20</t>
  </si>
  <si>
    <t>ok (sailings=105)</t>
  </si>
  <si>
    <t>THIN (sailings=28)</t>
  </si>
  <si>
    <t>2027-12-19</t>
  </si>
  <si>
    <t>ok (sailings=88)</t>
  </si>
  <si>
    <t>ok (sailings=51)</t>
  </si>
  <si>
    <t>450-539</t>
  </si>
  <si>
    <t>2027-12-26</t>
  </si>
  <si>
    <t>2028-03-19</t>
  </si>
  <si>
    <t>ok (sailings=98)</t>
  </si>
  <si>
    <t>2027-12-24</t>
  </si>
  <si>
    <t>ok (sailings=95)</t>
  </si>
  <si>
    <t>2028-03-25</t>
  </si>
  <si>
    <t>2028-09-16</t>
  </si>
  <si>
    <t>ok (sailings=45)</t>
  </si>
  <si>
    <t>2028-03-24</t>
  </si>
  <si>
    <t>ok (sailings=92)</t>
  </si>
  <si>
    <t>2028-09-30</t>
  </si>
  <si>
    <t>2028-10-28</t>
  </si>
  <si>
    <t>2028-10-21</t>
  </si>
  <si>
    <t>2027-09-11</t>
  </si>
  <si>
    <t>2028-06-18</t>
  </si>
  <si>
    <t>2028-08-05</t>
  </si>
  <si>
    <t>2027-06-19</t>
  </si>
  <si>
    <t>2027-06-13</t>
  </si>
  <si>
    <t>2027-07-17</t>
  </si>
  <si>
    <t>2027-10-08</t>
  </si>
  <si>
    <t>2027-10-09</t>
  </si>
  <si>
    <t>2028-04-23</t>
  </si>
  <si>
    <t>2028-10-15</t>
  </si>
  <si>
    <t>[weekly-full] sail 2026-10-03..2028-10-28 | regions: Caribbean | observed 2026-09-28 | 3667 obs / 1081 sailings | granularity: category</t>
  </si>
  <si>
    <t>! PEER-COMPARABLE REGIONS in this basis: Caribbean. Single-line only (no peer rows, so no cross-line claim can rest on them): none.</t>
  </si>
  <si>
    <t>! SINGLE-REGION BASIS: every row here is Caribbean. Do not generalise this to the other regions in the panel.</t>
  </si>
  <si>
    <t>! PRODUCT FILTER: cruise-only. Of 12522 priced rows in scope, 12522 are cruise-only, 0 are land+cruise packages (excluded), 0 are unclassified.</t>
  </si>
  <si>
    <t>ship_generation</t>
  </si>
  <si>
    <t>mid</t>
  </si>
  <si>
    <t>2026-10-10</t>
  </si>
  <si>
    <t>2026-11-07</t>
  </si>
  <si>
    <t>2026-11-15</t>
  </si>
  <si>
    <t>2026-12-05</t>
  </si>
  <si>
    <t>2026-11-29</t>
  </si>
  <si>
    <t>2027-01-09</t>
  </si>
  <si>
    <t>2027-01-03</t>
  </si>
  <si>
    <t>2027-01-23</t>
  </si>
  <si>
    <t>2027-01-17</t>
  </si>
  <si>
    <t>2027-02-06</t>
  </si>
  <si>
    <t>2027-01-31</t>
  </si>
  <si>
    <t>2027-02-20</t>
  </si>
  <si>
    <t>2027-02-14</t>
  </si>
  <si>
    <t>2027-03-20</t>
  </si>
  <si>
    <t>2027-02-28</t>
  </si>
  <si>
    <t>2027-04-24</t>
  </si>
  <si>
    <t>2027-04-11</t>
  </si>
  <si>
    <t>2027-05-22</t>
  </si>
  <si>
    <t>2027-09-25</t>
  </si>
  <si>
    <t>THIN (sailings=21)</t>
  </si>
  <si>
    <t>2027-12-18</t>
  </si>
  <si>
    <t>2027-11-18</t>
  </si>
  <si>
    <t>2027-12-03</t>
  </si>
  <si>
    <t>2028-03-18</t>
  </si>
  <si>
    <t>2028-03-17</t>
  </si>
  <si>
    <t>2028-04-01</t>
  </si>
  <si>
    <t>newest</t>
  </si>
  <si>
    <t>THIN (sailings=25)</t>
  </si>
  <si>
    <t>ok (sailings=40)</t>
  </si>
  <si>
    <t>THIN (sailings=26)</t>
  </si>
  <si>
    <t>2027-12-25</t>
  </si>
  <si>
    <t>ok (sailings=52)</t>
  </si>
  <si>
    <t>2028-09-23</t>
  </si>
  <si>
    <t>ok (sailings=59)</t>
  </si>
  <si>
    <t>older</t>
  </si>
  <si>
    <t>2026-12-21</t>
  </si>
  <si>
    <t>2026-12-28</t>
  </si>
  <si>
    <t>2027-02-05</t>
  </si>
  <si>
    <t>2027-03-12</t>
  </si>
  <si>
    <t>ok (sailings=33)</t>
  </si>
  <si>
    <t>THIN (sailings=29)</t>
  </si>
  <si>
    <t>2028-02-18</t>
  </si>
  <si>
    <t>2028-04-30</t>
  </si>
  <si>
    <t>THIN (sailings=19)</t>
  </si>
  <si>
    <t>recent</t>
  </si>
  <si>
    <t>2026-10-24</t>
  </si>
  <si>
    <t>2026-12-04</t>
  </si>
  <si>
    <t>2026-12-13</t>
  </si>
  <si>
    <t>2026-12-14</t>
  </si>
  <si>
    <t>2027-04-09</t>
  </si>
  <si>
    <t>2027-11-07</t>
  </si>
  <si>
    <t>2027-12-31</t>
  </si>
  <si>
    <t>2028-04-22</t>
  </si>
  <si>
    <t>ok (sailings=31)</t>
  </si>
  <si>
    <t>Time scope: all scrape dates in the tier.</t>
  </si>
  <si>
    <t>[weekly-full] sail 2026-10-01..2028-10-29 | regions: Alaska, Bermuda, Caribbean, Northern Europe, Southern Europe, Transatlantic | observed 2026-09-15..2026-09-28 | 42048 obs / 3502 sailings | granularity: category</t>
  </si>
  <si>
    <t>! COLLECTION SCOPE CHANGED BETWEEN DATES, so any movement here is partly the collector and not the market. A time series assumes each date sampled the same population; on 2 adjacent pair(s) it did not -- 2026-09-15-&gt;2026-09-16: sail window moved 2027-01-02..2027-08-31 -&gt; 2026-10-01..2027-08-31; regions added: Transatlantic; sailing count moved +118.0% (887 -&gt; 1934); 2026-09-16-&gt;2026-09-17: sail window moved 2026-10-01..2027-08-31 -&gt; 2026-10-01..2028-10-29; sailing count moved +89.9% (1934 -&gt; 3673). Treat every slope and index spanning those dates as uninterpretable until a run of stable-scope dates exists. The per-row cell counts show the size of the break.</t>
  </si>
  <si>
    <t>- Event = a sailing carrying 'Risk-Free-Cancellation-Offer' on one collection date and not on the next. NCL defines that offer as applying to sailings still outside final payment, so its loss IS the crossing, dated by the vendor rather than assumed by us.</t>
  </si>
  <si>
    <t>- EACH SAILING IS COMPARED TO ITSELF days apart, so the calendar is held fixed by construction. This is why it needs no seasonal correction, and why it works where the cross-sectional cutoff scan could not be identified.</t>
  </si>
  <si>
    <t>- Price change is a matched basket: only cabin grades priced on BOTH dates, so a cabin selling out cannot read as a price move.</t>
  </si>
  <si>
    <t>- kept_offer is the control that matters -- same line, same days, still outside the boundary. peer_same_lead catches an industry-wide move.</t>
  </si>
  <si>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</si>
  <si>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</si>
  <si>
    <t>- The control rows are a finding in their own right: share_cut on kept_offer against peer_same_lead is how often each line reprices AWAY from the boundary at all.</t>
  </si>
  <si>
    <t>- A COLLECTION-SCOPE WARNING ON THIS SHEET IS OVER-CAUTIOUS. Only sailings present on BOTH dates enter, and each is compared to itself, so a changed marker list or widened window costs events but cannot bias the measured change. Read the event count, not the drift flag.</t>
  </si>
  <si>
    <t>window</t>
  </si>
  <si>
    <t>group</t>
  </si>
  <si>
    <t>matched_cabins</t>
  </si>
  <si>
    <t>median_change_pct</t>
  </si>
  <si>
    <t>mean_change_pct</t>
  </si>
  <si>
    <t>p25_change_pct</t>
  </si>
  <si>
    <t>p75_change_pct</t>
  </si>
  <si>
    <t>share_cut</t>
  </si>
  <si>
    <t>sold_out_change_pp</t>
  </si>
  <si>
    <t>median_lead_days</t>
  </si>
  <si>
    <t>ships</t>
  </si>
  <si>
    <t>itineraries</t>
  </si>
  <si>
    <t>crossing_windows</t>
  </si>
  <si>
    <t>vs_kept_pp</t>
  </si>
  <si>
    <t>vs_peer_pp</t>
  </si>
  <si>
    <t>cut_of_n</t>
  </si>
  <si>
    <t>base_rate_kept</t>
  </si>
  <si>
    <t>base_rate_peer</t>
  </si>
  <si>
    <t>p_vs_kept</t>
  </si>
  <si>
    <t>p_vs_peer</t>
  </si>
  <si>
    <t>ALL PAIRS POOLED</t>
  </si>
  <si>
    <t>kept_offer</t>
  </si>
  <si>
    <t>2027-01-14</t>
  </si>
  <si>
    <t>2028-10-27</t>
  </si>
  <si>
    <t>control (n=3147)</t>
  </si>
  <si>
    <t>lost_offer</t>
  </si>
  <si>
    <t>2027-01-25</t>
  </si>
  <si>
    <t>9/26</t>
  </si>
  <si>
    <t>THIN (events=26)</t>
  </si>
  <si>
    <t>peer_same_lead</t>
  </si>
  <si>
    <t>2026-12-24</t>
  </si>
  <si>
    <t>2027-02-15</t>
  </si>
  <si>
    <t>control (n=507)</t>
  </si>
  <si>
    <t>[weekly-full] sail 2026-10-02..2028-10-27 | regions: Alaska, Bermuda, Caribbean, Northern Europe, Southern Europe | observed 2026-09-28 | 7322 obs / 1328 sailings | granularity: category</t>
  </si>
  <si>
    <t>! HALF MEASURED, HALF CITED: fares are this panel's own observations; the per-day rate is Norwegian Cruise Line's published schedule as of 2026-09-19 (NCL published service-charge schedule (company FAQ)), which we did not observe. Press has reported increases; verify the current rate before quoting a discount figure.</t>
  </si>
  <si>
    <t>- effective_discount_pct = rate per person per DAY / fare per person per NIGHT. Itinerary length cancels, so the percentage is comparable across 4-night and 11-night sailings.</t>
  </si>
  <si>
    <t>- The suite rate is applied only where a group is entirely suites; a mixed group takes the lower default rate, which understates rather than flatters.</t>
  </si>
  <si>
    <t>- This is a discount that never touches the advertised price, which is why an advertised-price tracker registers nothing while it runs.</t>
  </si>
  <si>
    <t>- Reach, targeting and sail window are measured by promo_reference and promo_diff; only the per-day rate comes from outside the panel.</t>
  </si>
  <si>
    <t>cells_with_offer</t>
  </si>
  <si>
    <t>median_pppn_observed</t>
  </si>
  <si>
    <t>rate_per_person_per_day</t>
  </si>
  <si>
    <t>effective_discount_pct</t>
  </si>
  <si>
    <t>value_per_person</t>
  </si>
  <si>
    <t>fare_per_person</t>
  </si>
  <si>
    <t>rate_as_of</t>
  </si>
  <si>
    <t>rate_source</t>
  </si>
  <si>
    <t>2026-09-19</t>
  </si>
  <si>
    <t>NCL published service-charge schedule (company FAQ)</t>
  </si>
  <si>
    <t>ok (cells=48)</t>
  </si>
  <si>
    <t>ok (cells=34)</t>
  </si>
  <si>
    <t>ok (cells=96)</t>
  </si>
  <si>
    <t>ok (cells=73)</t>
  </si>
  <si>
    <t>ok (cells=827)</t>
  </si>
  <si>
    <t>ok (cells=606)</t>
  </si>
  <si>
    <t>INSUFFICIENT (cells=6)</t>
  </si>
  <si>
    <t>INSUFFICIENT (cells=4)</t>
  </si>
  <si>
    <t>ok (cells=68)</t>
  </si>
  <si>
    <t>ok (cells=45)</t>
  </si>
  <si>
    <t>[weekly-full] sail 2026-10-01..2028-10-29 | regions: Alaska, Bermuda, Caribbean, Northern Europe, Southern Europe, Transatlantic | observed 2026-09-28 | 15330 obs / 3385 sailings | granularity: category</t>
  </si>
  <si>
    <t>! price_pppn is per person per night, taxes and fees excluded on every line. Vendor base fields differ (NCL combinedPrice, Carnival per-person fare), so levels are comparable in direction and spread more safely than in absolute cents.</t>
  </si>
  <si>
    <t>! PRODUCT FILTER: cruise-only. Of 16636 priced rows in scope, 15330 are cruise-only, 1306 are land+cruise packages (excluded), 0 are unclassified.</t>
  </si>
  <si>
    <t>- treatment: Norwegian Cruise Line; peers: Carnival Cruise Line.</t>
  </si>
  <si>
    <t>- compared at 'category' -- the finest level ['carnival', 'ncl'] all genuinely publish.</t>
  </si>
  <si>
    <t>- Medians, not minima: the whole point of the panel is that the minimum is contaminated by inventory mix.</t>
  </si>
  <si>
    <t>- Dropped from the category comparison as not peer-comparable: MINISUITE. A tier only one line files under a shared category would otherwise read as that line pricing higher.</t>
  </si>
  <si>
    <t>- gap_pct &gt; 0 means the treatment line prices above the peer set.</t>
  </si>
  <si>
    <t>- `sample` grades the smaller side of each row: THIN below 30 cells, VERY THIN below 10. It is a per-row column, not a footnote, so it travels with the number.</t>
  </si>
  <si>
    <t>- `pkg_excluded_t` / `pkg_excluded_pct_t` are the treatment rows the cruise-only filter removed from that cell. A high percentage means the surviving sample is a different product mix from the region's headline row count.</t>
  </si>
  <si>
    <t>category</t>
  </si>
  <si>
    <t>treatment_n</t>
  </si>
  <si>
    <t>peer_n</t>
  </si>
  <si>
    <t>treatment_median_pppn</t>
  </si>
  <si>
    <t>peer_median_pppn</t>
  </si>
  <si>
    <t>treatment_p25_pppn</t>
  </si>
  <si>
    <t>treatment_p75_pppn</t>
  </si>
  <si>
    <t>peer_p25_pppn</t>
  </si>
  <si>
    <t>peer_p75_pppn</t>
  </si>
  <si>
    <t>gap_pppn</t>
  </si>
  <si>
    <t>gap_pct</t>
  </si>
  <si>
    <t>pkg_excluded_t</t>
  </si>
  <si>
    <t>pkg_excluded_pct_t</t>
  </si>
  <si>
    <t>ok; 77.5% of treatment rows were packages</t>
  </si>
  <si>
    <t>ok; 63.3% of treatment rows were packages</t>
  </si>
  <si>
    <t>ok; 59.1% of treatment rows were packages</t>
  </si>
  <si>
    <t>THIN (n=28)</t>
  </si>
  <si>
    <t>ok; 53.4% of treatment rows were packages</t>
  </si>
  <si>
    <t>THIN (n=22)</t>
  </si>
  <si>
    <t>ok; 46.7% of treatment rows were packages</t>
  </si>
  <si>
    <t>THIN (n=20)</t>
  </si>
  <si>
    <t>THIN (n=18)</t>
  </si>
  <si>
    <t>INSUFFICIENT (n=0 &lt; 5)</t>
  </si>
  <si>
    <t>insufficient cells (need &gt;= 5 each side)</t>
  </si>
  <si>
    <t>[weekly-full] sail 2026-10-01..2028-10-29 | regions: Alaska, Bermuda, Caribbean, Northern Europe, Southern Europe, Transatlantic | observed 2026-09-15..2026-09-28 | 68522 obs / 3689 sailings | granularity: category</t>
  </si>
  <si>
    <t>- event 2026-11-04, window 2026-10-21..2026-11-18 (+/-14d).</t>
  </si>
  <si>
    <t>- Split is on sail date, not collection date.</t>
  </si>
  <si>
    <t>in_window_cells</t>
  </si>
  <si>
    <t>outside_cells</t>
  </si>
  <si>
    <t>in_window_mean_pppn</t>
  </si>
  <si>
    <t>outside_mean_pppn</t>
  </si>
  <si>
    <t>in_window_closed_share</t>
  </si>
  <si>
    <t>outside_closed_share</t>
  </si>
  <si>
    <t>[weekly-full] sail 2026-10-01..2028-10-29 | regions: Alaska, Bermuda, Caribbean, Northern Europe, Southern Europe, Transatlantic | observed 2026-09-15..2026-09-28 | 58056 obs / 3501 sailings | granularity: category</t>
  </si>
  <si>
    <t>! PRODUCT FILTER: cruise-only. Of 58056 priced rows in scope, 58056 are cruise-only, 0 are land+cruise packages (excluded), 0 are unclassified.</t>
  </si>
  <si>
    <t>! HISTORY IS 5 COLLECTION DATES (2026-09-15..2026-09-28, 13 days end to end, 4 intervals). That is too short a window to read a trend from: fares move on booking-curve and promotional timescales measured in weeks. Read these as the first points of a series, not as a direction of travel. The window lengthens by one point per scheduled run.</t>
  </si>
  <si>
    <t>- index_matched = 100 x (basket value now) / (same basket at base), over cells priced on BOTH dates. 100 = unchanged.</t>
  </si>
  <si>
    <t>- index_naive is the same ratio over whatever was priced on each date -- the contaminated construction this panel exists to replace. mix_effect_pp = index_naive - index_matched is the composition artefact in index points.</t>
  </si>
  <si>
    <t>- attrition_pct is the share of the base basket no longer priced: depletion, and the reason a matched index eventually thins out.</t>
  </si>
  <si>
    <t>- entered_cells never affects index_matched. A fixed basket is why a widened sail window cannot masquerade as a price move.</t>
  </si>
  <si>
    <t>- median_cell_change_pct is the median per-cabin change, a check on whether the basket ratio is driven by a few expensive cells.</t>
  </si>
  <si>
    <t>- base = inception per (group, cohort), so rows with different base_date values are not comparable to each other in levels.</t>
  </si>
  <si>
    <t>cohort</t>
  </si>
  <si>
    <t>base_date</t>
  </si>
  <si>
    <t>scrape_date</t>
  </si>
  <si>
    <t>days_since_base</t>
  </si>
  <si>
    <t>base_cells</t>
  </si>
  <si>
    <t>cells_now</t>
  </si>
  <si>
    <t>matched_cells</t>
  </si>
  <si>
    <t>index_matched</t>
  </si>
  <si>
    <t>median_cell_change_pct</t>
  </si>
  <si>
    <t>index_naive</t>
  </si>
  <si>
    <t>mix_effect_pp</t>
  </si>
  <si>
    <t>attrition_pct</t>
  </si>
  <si>
    <t>entered_cells</t>
  </si>
  <si>
    <t>basket_base_pppn</t>
  </si>
  <si>
    <t>basket_now_pppn</t>
  </si>
  <si>
    <t>2027-04</t>
  </si>
  <si>
    <t>BASE (n=3)</t>
  </si>
  <si>
    <t>INSUFFICIENT (matched 3 &lt; 5)</t>
  </si>
  <si>
    <t>2027-05</t>
  </si>
  <si>
    <t>BASE (n=11)</t>
  </si>
  <si>
    <t>THIN (n=11)</t>
  </si>
  <si>
    <t>2027-06</t>
  </si>
  <si>
    <t>2027-07</t>
  </si>
  <si>
    <t>2027-08</t>
  </si>
  <si>
    <t>2027-09</t>
  </si>
  <si>
    <t>BASE (n=6)</t>
  </si>
  <si>
    <t>VERY THIN (n=6)</t>
  </si>
  <si>
    <t>BASE (n=2)</t>
  </si>
  <si>
    <t>INSUFFICIENT (matched 2 &lt; 5)</t>
  </si>
  <si>
    <t>BASE (n=5)</t>
  </si>
  <si>
    <t>2026-10</t>
  </si>
  <si>
    <t>BASE (n=1)</t>
  </si>
  <si>
    <t>INSUFFICIENT (matched 1 &lt; 5)</t>
  </si>
  <si>
    <t>INSUFFICIENT (matched 0 &lt; 5)</t>
  </si>
  <si>
    <t>BASE (n=8)</t>
  </si>
  <si>
    <t>VERY THIN (n=8)</t>
  </si>
  <si>
    <t>2027-10</t>
  </si>
  <si>
    <t>BASE (n=9)</t>
  </si>
  <si>
    <t>VERY THIN (n=9)</t>
  </si>
  <si>
    <t>INSUFFICIENT (matched 4 &lt; 5)</t>
  </si>
  <si>
    <t>BASE (n=7)</t>
  </si>
  <si>
    <t>VERY THIN (n=7)</t>
  </si>
  <si>
    <t>BASE (n=75)</t>
  </si>
  <si>
    <t>2026-11</t>
  </si>
  <si>
    <t>BASE (n=105)</t>
  </si>
  <si>
    <t>2026-12</t>
  </si>
  <si>
    <t>2027-01</t>
  </si>
  <si>
    <t>BASE (n=28)</t>
  </si>
  <si>
    <t>2027-02</t>
  </si>
  <si>
    <t>BASE (n=27)</t>
  </si>
  <si>
    <t>THIN (n=27)</t>
  </si>
  <si>
    <t>2027-03</t>
  </si>
  <si>
    <t>BASE (n=33)</t>
  </si>
  <si>
    <t>BASE (n=31)</t>
  </si>
  <si>
    <t>BASE (n=30)</t>
  </si>
  <si>
    <t>BASE (n=29)</t>
  </si>
  <si>
    <t>THIN (n=29)</t>
  </si>
  <si>
    <t>BASE (n=35)</t>
  </si>
  <si>
    <t>BASE (n=32)</t>
  </si>
  <si>
    <t>BASE (n=83)</t>
  </si>
  <si>
    <t>BASE (n=97)</t>
  </si>
  <si>
    <t>2027-11</t>
  </si>
  <si>
    <t>BASE (n=104)</t>
  </si>
  <si>
    <t>2027-12</t>
  </si>
  <si>
    <t>BASE (n=110)</t>
  </si>
  <si>
    <t>2028-01</t>
  </si>
  <si>
    <t>BASE (n=106)</t>
  </si>
  <si>
    <t>2028-02</t>
  </si>
  <si>
    <t>BASE (n=100)</t>
  </si>
  <si>
    <t>2028-03</t>
  </si>
  <si>
    <t>BASE (n=114)</t>
  </si>
  <si>
    <t>2028-04</t>
  </si>
  <si>
    <t>BASE (n=76)</t>
  </si>
  <si>
    <t>2028-05</t>
  </si>
  <si>
    <t>2028-06</t>
  </si>
  <si>
    <t>BASE (n=10)</t>
  </si>
  <si>
    <t>2028-07</t>
  </si>
  <si>
    <t>BASE (n=12)</t>
  </si>
  <si>
    <t>THIN (n=12)</t>
  </si>
  <si>
    <t>2028-08</t>
  </si>
  <si>
    <t>2028-09</t>
  </si>
  <si>
    <t>2028-10</t>
  </si>
  <si>
    <t>BASE (n=88)</t>
  </si>
  <si>
    <t>BASE (n=109)</t>
  </si>
  <si>
    <t>BASE (n=108)</t>
  </si>
  <si>
    <t>BASE (n=72)</t>
  </si>
  <si>
    <t>BASE (n=101)</t>
  </si>
  <si>
    <t>BASE (n=102)</t>
  </si>
  <si>
    <t>BASE (n=55)</t>
  </si>
  <si>
    <t>BASE (n=92)</t>
  </si>
  <si>
    <t>BASE (n=25)</t>
  </si>
  <si>
    <t>THIN (n=25)</t>
  </si>
  <si>
    <t>BASE (n=24)</t>
  </si>
  <si>
    <t>THIN (n=24)</t>
  </si>
  <si>
    <t>BASE (n=81)</t>
  </si>
  <si>
    <t>BASE (n=95)</t>
  </si>
  <si>
    <t>BASE (n=4)</t>
  </si>
  <si>
    <t>BASE (n=16)</t>
  </si>
  <si>
    <t>THIN (n=14)</t>
  </si>
  <si>
    <t>THIN (n=26)</t>
  </si>
  <si>
    <t>THIN (n=16)</t>
  </si>
  <si>
    <t>BASE (n=38)</t>
  </si>
  <si>
    <t>BASE (n=15)</t>
  </si>
  <si>
    <t>THIN (n=13)</t>
  </si>
  <si>
    <t>BASE (n=19)</t>
  </si>
  <si>
    <t>BASE (n=22)</t>
  </si>
  <si>
    <t>BASE (n=17)</t>
  </si>
  <si>
    <t>THIN (n=15)</t>
  </si>
  <si>
    <t>BASE (n=14)</t>
  </si>
  <si>
    <t>BASE (n=26)</t>
  </si>
  <si>
    <t>BASE (n=13)</t>
  </si>
  <si>
    <t>BASE (n=18)</t>
  </si>
  <si>
    <t>BASE (n=23)</t>
  </si>
  <si>
    <t>BASE (n=20)</t>
  </si>
  <si>
    <t>THIN (n=17)</t>
  </si>
  <si>
    <t>BASE (n=21)</t>
  </si>
  <si>
    <t>THIN (n=21)</t>
  </si>
  <si>
    <t>BASE (n=39)</t>
  </si>
  <si>
    <t>BASE (n=120)</t>
  </si>
  <si>
    <t>BASE (n=122)</t>
  </si>
  <si>
    <t>BASE (n=58)</t>
  </si>
  <si>
    <t>BASE (n=48)</t>
  </si>
  <si>
    <t>BASE (n=42)</t>
  </si>
  <si>
    <t>BASE (n=50)</t>
  </si>
  <si>
    <t>BASE (n=46)</t>
  </si>
  <si>
    <t>BASE (n=62)</t>
  </si>
  <si>
    <t>BASE (n=98)</t>
  </si>
  <si>
    <t>BASE (n=112)</t>
  </si>
  <si>
    <t>BASE (n=126)</t>
  </si>
  <si>
    <t>BASE (n=40)</t>
  </si>
  <si>
    <t>BASE (n=49)</t>
  </si>
  <si>
    <t>BASE (n=36)</t>
  </si>
  <si>
    <t>BASE (n=60)</t>
  </si>
  <si>
    <t>BASE (n=53)</t>
  </si>
  <si>
    <t>BASE (n=61)</t>
  </si>
  <si>
    <t>BASE (n=56)</t>
  </si>
  <si>
    <t>BASE (n=63)</t>
  </si>
  <si>
    <t>BASE (n=57)</t>
  </si>
  <si>
    <t>THIN (n=19)</t>
  </si>
  <si>
    <t>BASE (n=47)</t>
  </si>
  <si>
    <t>BASE (n=54)</t>
  </si>
  <si>
    <t>BASE (n=90)</t>
  </si>
  <si>
    <t>BASE (n=79)</t>
  </si>
  <si>
    <t>BASE (n=93)</t>
  </si>
  <si>
    <t>BASE (n=34)</t>
  </si>
  <si>
    <t>BASE (n=78)</t>
  </si>
  <si>
    <t>BASE (n=99)</t>
  </si>
  <si>
    <t>BASE (n=89)</t>
  </si>
  <si>
    <t>BASE (n=94)</t>
  </si>
  <si>
    <t>BASE (n=43)</t>
  </si>
  <si>
    <t>- COMMON SUPPORT: both shares are computed over the same cells -- those observed on the first AND last date. Cells that entered in between cannot move the slope, so a widened collection scope cannot be read as depletion.</t>
  </si>
  <si>
    <t>- closed share = (limited + sold_out) / bookable cells; solo_only is a product restriction, not scarcity, and is excluded from both sides.</t>
  </si>
  <si>
    <t>- dropped_cells left the book entirely (sailed, or delisted). That is not the same event as selling out and is reported, never folded in.</t>
  </si>
  <si>
    <t>- newly_closed_cells / reopened_cells are the gross flows behind the net delta: a flat share can hide both.</t>
  </si>
  <si>
    <t>- naive_* is the unrestricted computation over whatever each date returned. mix_effect_pp = (naive delta - matched delta) in points.</t>
  </si>
  <si>
    <t>- Endpoint difference, not a fit: with few collection dates a regression would overstate precision.</t>
  </si>
  <si>
    <t>first_date</t>
  </si>
  <si>
    <t>last_date</t>
  </si>
  <si>
    <t>days</t>
  </si>
  <si>
    <t>first_closed_share</t>
  </si>
  <si>
    <t>last_closed_share</t>
  </si>
  <si>
    <t>delta_closed_share</t>
  </si>
  <si>
    <t>closed_share_per_day</t>
  </si>
  <si>
    <t>newly_closed_cells</t>
  </si>
  <si>
    <t>reopened_cells</t>
  </si>
  <si>
    <t>dropped_cells</t>
  </si>
  <si>
    <t>naive_first_closed_share</t>
  </si>
  <si>
    <t>naive_last_closed_share</t>
  </si>
  <si>
    <t>naive_delta</t>
  </si>
  <si>
    <t>ok (n=47)</t>
  </si>
  <si>
    <t>ok (n=246)</t>
  </si>
  <si>
    <t>INSUFFICIENT (n=1)</t>
  </si>
  <si>
    <t>INSUFFICIENT (n=3)</t>
  </si>
  <si>
    <t>ok (n=138)</t>
  </si>
  <si>
    <t>ok (n=69)</t>
  </si>
  <si>
    <t>ok (n=101)</t>
  </si>
  <si>
    <t>ok (n=130)</t>
  </si>
  <si>
    <t>ok (n=65)</t>
  </si>
  <si>
    <t>ok (n=108)</t>
  </si>
  <si>
    <t>ok (n=622)</t>
  </si>
  <si>
    <t>ok (n=311)</t>
  </si>
  <si>
    <t>ok (n=457)</t>
  </si>
  <si>
    <t>ok (n=68)</t>
  </si>
  <si>
    <t>ok (n=55)</t>
  </si>
  <si>
    <t>ok (n=172)</t>
  </si>
  <si>
    <t>ok (n=86)</t>
  </si>
  <si>
    <t>ok (n=119)</t>
  </si>
  <si>
    <t>! ONE-SIDED: Carnival Cruise Line, Royal Caribbean International publish no offer detail, so this table can only describe NCLH's promotional behaviour. It cannot support 'NCLH is discounting harder than the peer' -- the peer's discounting is not observable here at all.</t>
  </si>
  <si>
    <t>- COMMON SUPPORT: shares are the fraction of cabins observed on BOTH dates that carried the offer. Sailings entering the book cannot move them, so a widened collection scope cannot read as a promo change.</t>
  </si>
  <si>
    <t>- naive_* is share of everything each date returned; mix_effect_pp is how many points of the naive move are composition rather than offer.</t>
  </si>
  <si>
    <t>- Reach, not count: an offer on one ship and an offer fleet-wide are both 'one promo', and the difference is the whole signal.</t>
  </si>
  <si>
    <t>- status: NEW / WITHDRAWN are appearance and disappearance on matched cabins; widened and narrowed are reach moves beyond 2 points.</t>
  </si>
  <si>
    <t>- A promotion that deepens without widening does not show here: this measures reach, not discount depth. Depth is in the fare.</t>
  </si>
  <si>
    <t>code</t>
  </si>
  <si>
    <t>title</t>
  </si>
  <si>
    <t>inclusion</t>
  </si>
  <si>
    <t>cells_before</t>
  </si>
  <si>
    <t>cells_after</t>
  </si>
  <si>
    <t>share_before</t>
  </si>
  <si>
    <t>share_after</t>
  </si>
  <si>
    <t>delta_share_pp</t>
  </si>
  <si>
    <t>naive_share_before</t>
  </si>
  <si>
    <t>naive_share_after</t>
  </si>
  <si>
    <t>2-For-1-Deposits-Offer</t>
  </si>
  <si>
    <t>2-For-1 Deposits</t>
  </si>
  <si>
    <t>Mandatory</t>
  </si>
  <si>
    <t>unchanged</t>
  </si>
  <si>
    <t>ok (n=414)</t>
  </si>
  <si>
    <t>50-off-all-cruises-offer</t>
  </si>
  <si>
    <t>50% Off All Cruises</t>
  </si>
  <si>
    <t>50-pct-Off-All-Cruises-Offer</t>
  </si>
  <si>
    <t>Past-Guest-Offer</t>
  </si>
  <si>
    <t>Past Guest Offer</t>
  </si>
  <si>
    <t>Risk-Free-Cancellation-Offer</t>
  </si>
  <si>
    <t>Risk-Free Cancellation</t>
  </si>
  <si>
    <t>excursion-credits-offer</t>
  </si>
  <si>
    <t>Excursion Credits</t>
  </si>
  <si>
    <t>free-wifi-offer</t>
  </si>
  <si>
    <t>Wi-Fi Package</t>
  </si>
  <si>
    <t>prepaid-service-charges</t>
  </si>
  <si>
    <t>Prepaid Service Charges</t>
  </si>
  <si>
    <t>specialty-dining-offer</t>
  </si>
  <si>
    <t>Dining</t>
  </si>
  <si>
    <t>Removable</t>
  </si>
  <si>
    <t>specialty-dining-offer-7-8-nights</t>
  </si>
  <si>
    <t>specialty-dining-offer-9-nights</t>
  </si>
  <si>
    <t>travel-protection-essentials</t>
  </si>
  <si>
    <t>Travel Protection | Essentials</t>
  </si>
  <si>
    <t>travel-protection-norwegiancare</t>
  </si>
  <si>
    <t>Travel Protection | NorwegianCare</t>
  </si>
  <si>
    <t>unlimited-open-bar-offer</t>
  </si>
  <si>
    <t>Bar</t>
  </si>
  <si>
    <t>ok (n=1014)</t>
  </si>
  <si>
    <t>Games-On-Sales-Event</t>
  </si>
  <si>
    <t>Game On Sales Event</t>
  </si>
  <si>
    <t>NEW</t>
  </si>
  <si>
    <t>free-prepaid-service-charges</t>
  </si>
  <si>
    <t>FREE Pre-Paid Gratuities</t>
  </si>
  <si>
    <t>widened</t>
  </si>
  <si>
    <t>ok (n=412)</t>
  </si>
  <si>
    <t>specialty-dining-offer-2-4-nights</t>
  </si>
  <si>
    <t>specialty-dining-offer-5-6-nights</t>
  </si>
  <si>
    <t>ok (n=448)</t>
  </si>
  <si>
    <t>Kids-Sail-Free-Offer</t>
  </si>
  <si>
    <t>Kids Sail Free</t>
  </si>
  <si>
    <t>ok (n=1000)</t>
  </si>
  <si>
    <t>ok (n=1938)</t>
  </si>
  <si>
    <t>up-to-20-pct-off</t>
  </si>
  <si>
    <t>Extra Military Discount</t>
  </si>
  <si>
    <t>WITHDRAWN</t>
  </si>
  <si>
    <t>ok (n=2761)</t>
  </si>
  <si>
    <t>latitudes-rewards-members-cruise</t>
  </si>
  <si>
    <t>Latitudes Annual Member Cruise</t>
  </si>
  <si>
    <t>ok (n=6061)</t>
  </si>
  <si>
    <t>ok (n=6015)</t>
  </si>
  <si>
    <t>ok (n=200)</t>
  </si>
  <si>
    <t>ok (n=210)</t>
  </si>
  <si>
    <t>ok (n=550)</t>
  </si>
  <si>
    <t>ok (n=511)</t>
  </si>
  <si>
    <t>ok (n=618)</t>
  </si>
  <si>
    <t>ok (n=1252)</t>
  </si>
  <si>
    <t>ok (n=1225)</t>
  </si>
  <si>
    <t>Time scope: reference (every date in the tier).</t>
  </si>
  <si>
    <t>! NOT ALL LINES PUBLISH OFFERS: Carnival Cruise Line, Royal Caribbean International expose no promo detail at all, so their absence from this table is a gap in the source, not evidence that they are not discounting. Any cross-line read on promotion intensity is one-sided.</t>
  </si>
  <si>
    <t>- One row per (line, offer code). A promo_hash is a bundle of offers, so one bundle contributes to several rows; `bundles` counts how many distinct bundles carried this offer.</t>
  </si>
  <si>
    <t>- share_of_line_cells is out of ALL that line's cells in scope, priced or not, so it reads as reach across the book.</t>
  </si>
  <si>
    <t>- `inclusion` = Mandatory means the vendor applies it automatically; it is a headline fare condition, not an opt-in the shopper chose.</t>
  </si>
  <si>
    <t>- Text is the vendor's own, verbatim from the archived payload.</t>
  </si>
  <si>
    <t>offer_type</t>
  </si>
  <si>
    <t>featured</t>
  </si>
  <si>
    <t>share_of_line_cells</t>
  </si>
  <si>
    <t>regions</t>
  </si>
  <si>
    <t>cabin_categories</t>
  </si>
  <si>
    <t>n_ships</t>
  </si>
  <si>
    <t>bundles</t>
  </si>
  <si>
    <t>first_scrape</t>
  </si>
  <si>
    <t>last_scrape</t>
  </si>
  <si>
    <t>description</t>
  </si>
  <si>
    <t>auto-included-offer</t>
  </si>
  <si>
    <t>Alaska, Bermuda, Caribbean, Northern Europe, Southern Europe</t>
  </si>
  <si>
    <t>balcony, inside, oceanview, suite</t>
  </si>
  <si>
    <t>2026-10-02</t>
  </si>
  <si>
    <t>Save big with 50% off cruise fares for all guests.</t>
  </si>
  <si>
    <t>travel-protection-offer</t>
  </si>
  <si>
    <t>Travel
Protection can help with unforeseen circumstances and get your trip covered
from shore to ship.</t>
  </si>
  <si>
    <t>prepaid-service-charge-offer</t>
  </si>
  <si>
    <t>Prepaying gratuities can provide peace of mind for a smoother cruise experience.</t>
  </si>
  <si>
    <t>stateroom-offer</t>
  </si>
  <si>
    <t>beverage-package-offer</t>
  </si>
  <si>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</si>
  <si>
    <t>dining-offer</t>
  </si>
  <si>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</si>
  <si>
    <t>wifi-package-offer</t>
  </si>
  <si>
    <t>Stay connected throughout your cruise with 150 minutes of hi-speed Wi-Fi per person included. Offer applies to all guests in the stateroom.</t>
  </si>
  <si>
    <t>shorex-offer</t>
  </si>
  <si>
    <t>Receive a $50 credit toward every shore excursion. Offer applies to the first guest on the reservation.</t>
  </si>
  <si>
    <t>Lock-in this vacation today with half off deposits for every two guests on your reservation.</t>
  </si>
  <si>
    <t>Cancel up to 120 days in advance for a full refund</t>
  </si>
  <si>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</si>
  <si>
    <t>Bermuda, Caribbean, Northern Europe, Southern Europe</t>
  </si>
  <si>
    <t>2027-10-13</t>
  </si>
  <si>
    <t>3rd &amp; 4th guests in the same stateroom pay only taxes, and fees.</t>
  </si>
  <si>
    <t>Bermuda, Caribbean, Southern Europe</t>
  </si>
  <si>
    <t>Savor 1 amazing multi-course meal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</si>
  <si>
    <t>Alaska, Caribbean, Northern Europe, Southern Europe</t>
  </si>
  <si>
    <t>2028-10-22</t>
  </si>
  <si>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</si>
  <si>
    <t>balcony, suite</t>
  </si>
  <si>
    <t>2028-01-29</t>
  </si>
  <si>
    <t>You can book any 3+ night sailings and enjoy your Pre-Paid Gratuities for free only on Guest 1-2.</t>
  </si>
  <si>
    <t>Free Pre-Paid Gratuities</t>
  </si>
  <si>
    <t>Bermuda, Caribbean</t>
  </si>
  <si>
    <t>2028-10-05</t>
  </si>
  <si>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</si>
  <si>
    <t>Extra Latitudes Point</t>
  </si>
  <si>
    <t>Latitudes Member Cruise</t>
  </si>
  <si>
    <t>Caribbean, Southern Europe</t>
  </si>
  <si>
    <t>balcony, inside, oceanview</t>
  </si>
  <si>
    <t>Receive an extra 20% off select Inside, Balcony, and Oceanview Guarantee Staterooms.</t>
  </si>
  <si>
    <t>Date</t>
  </si>
  <si>
    <t>Spread</t>
  </si>
  <si>
    <t>CCL Dummy</t>
  </si>
  <si>
    <t>1Q26A</t>
  </si>
  <si>
    <t>2Q26A</t>
  </si>
  <si>
    <t>3Q26E</t>
  </si>
  <si>
    <t>4Q26E</t>
  </si>
  <si>
    <t>1Q27E</t>
  </si>
  <si>
    <t>2Q27E</t>
  </si>
  <si>
    <t>3Q27E</t>
  </si>
  <si>
    <t>4Q27E</t>
  </si>
  <si>
    <t>Passenger Ticket Revenue per Capacity Day</t>
  </si>
  <si>
    <t>Model</t>
  </si>
  <si>
    <t>Select Street Estimates*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</si>
</sst>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quot;$&quot;#,##0"/>
  </numFmts>
  <fonts count="5" x14ac:knownFonts="1">
    <font>
      <sz val="11"/>
      <color theme="1"/>
      <name val="Calibri"/>
      <family val="2"/>
      <scheme val="minor"/>
    </font>
    <font>
      <b/>
      <sz val="13"/>
      <name val="Calibri"/>
      <family val="2"/>
    </font>
    <font>
      <i/>
      <sz val="9"/>
      <name val="Calibri"/>
      <family val="2"/>
    </font>
    <font>
      <b/>
      <sz val="11"/>
      <name val="Calibri"/>
      <family val="2"/>
    </font>
    <font>
      <sz val="9"/>
      <color rgb="FF9C5700"/>
      <name val="Calibri"/>
      <family val="2"/>
    </font>
  </fonts>
  <fills count="5">
    <fill>
      <patternFill patternType="none"/>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3" fillId="2" borderId="0" xfId="0" applyFont="1" applyFill="1"/>
    <xf numFmtId="164" fontId="0" fillId="0" borderId="0" xfId="0" applyNumberFormat="1"/>
    <xf numFmtId="0" fontId="4" fillId="3" borderId="0" xfId="0" applyFont="1" applyFill="1"/>
    <xf numFmtId="4" fontId="0" fillId="0" borderId="0" xfId="0" applyNumberFormat="1"/>
    <xf numFmtId="0" fontId="0" fillId="4" borderId="0" xfId="0" applyFill="1"/>
    <xf numFmtId="0" fontId="0" fillId="3" borderId="0" xfId="0" applyFill="1"/>
    <xf numFmtId="17"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colors>
    <mruColors>
      <color rgb="FFF0E6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650481189851267E-2"/>
          <c:y val="5.1081970082949804E-2"/>
          <c:w val="0.87908333333333333"/>
          <c:h val="0.77052213231410593"/>
        </c:manualLayout>
      </c:layout>
      <c:areaChart>
        <c:grouping val="stacked"/>
        <c:varyColors val="0"/>
        <c:ser>
          <c:idx val="2"/>
          <c:order val="2"/>
          <c:tx>
            <c:strRef>
              <c:f>Charts!$E$2</c:f>
              <c:strCache>
                <c:ptCount val="1"/>
                <c:pt idx="0">
                  <c:v>CCL Dummy</c:v>
                </c:pt>
              </c:strCache>
            </c:strRef>
          </c:tx>
          <c:spPr>
            <a:noFill/>
            <a:ln>
              <a:noFill/>
            </a:ln>
            <a:effectLst/>
          </c:spPr>
          <c:cat>
            <c:numRef>
              <c:f>Charts!$B$3:$B$27</c:f>
              <c:numCache>
                <c:formatCode>mmm\-yy</c:formatCode>
                <c:ptCount val="25"/>
                <c:pt idx="0">
                  <c:v>46296</c:v>
                </c:pt>
                <c:pt idx="1">
                  <c:v>46327</c:v>
                </c:pt>
                <c:pt idx="2">
                  <c:v>46357</c:v>
                </c:pt>
                <c:pt idx="3">
                  <c:v>46388</c:v>
                </c:pt>
                <c:pt idx="4">
                  <c:v>46419</c:v>
                </c:pt>
                <c:pt idx="5">
                  <c:v>46447</c:v>
                </c:pt>
                <c:pt idx="6">
                  <c:v>46478</c:v>
                </c:pt>
                <c:pt idx="7">
                  <c:v>46508</c:v>
                </c:pt>
                <c:pt idx="8">
                  <c:v>46539</c:v>
                </c:pt>
                <c:pt idx="9">
                  <c:v>46569</c:v>
                </c:pt>
                <c:pt idx="10">
                  <c:v>46600</c:v>
                </c:pt>
                <c:pt idx="11">
                  <c:v>46631</c:v>
                </c:pt>
                <c:pt idx="12">
                  <c:v>46661</c:v>
                </c:pt>
                <c:pt idx="13">
                  <c:v>46692</c:v>
                </c:pt>
                <c:pt idx="14">
                  <c:v>46722</c:v>
                </c:pt>
                <c:pt idx="15">
                  <c:v>46753</c:v>
                </c:pt>
                <c:pt idx="16">
                  <c:v>46784</c:v>
                </c:pt>
                <c:pt idx="17">
                  <c:v>46813</c:v>
                </c:pt>
                <c:pt idx="18">
                  <c:v>46844</c:v>
                </c:pt>
                <c:pt idx="19">
                  <c:v>46874</c:v>
                </c:pt>
                <c:pt idx="20">
                  <c:v>46905</c:v>
                </c:pt>
                <c:pt idx="21">
                  <c:v>46935</c:v>
                </c:pt>
                <c:pt idx="22">
                  <c:v>46966</c:v>
                </c:pt>
                <c:pt idx="23">
                  <c:v>46997</c:v>
                </c:pt>
                <c:pt idx="24">
                  <c:v>47027</c:v>
                </c:pt>
              </c:numCache>
            </c:numRef>
          </c:cat>
          <c:val>
            <c:numRef>
              <c:f>Charts!$E$3:$E$27</c:f>
              <c:numCache>
                <c:formatCode>"$"#,##0</c:formatCode>
                <c:ptCount val="25"/>
                <c:pt idx="0">
                  <c:v>154.28</c:v>
                </c:pt>
                <c:pt idx="1">
                  <c:v>152.31</c:v>
                </c:pt>
                <c:pt idx="2">
                  <c:v>187.13</c:v>
                </c:pt>
                <c:pt idx="3">
                  <c:v>140.97999999999999</c:v>
                </c:pt>
                <c:pt idx="4">
                  <c:v>145.69</c:v>
                </c:pt>
                <c:pt idx="5">
                  <c:v>177.76</c:v>
                </c:pt>
                <c:pt idx="6">
                  <c:v>159.29</c:v>
                </c:pt>
                <c:pt idx="7">
                  <c:v>176.7</c:v>
                </c:pt>
                <c:pt idx="8">
                  <c:v>216.98</c:v>
                </c:pt>
                <c:pt idx="9">
                  <c:v>217.31</c:v>
                </c:pt>
                <c:pt idx="10">
                  <c:v>163.95</c:v>
                </c:pt>
                <c:pt idx="11">
                  <c:v>146.09</c:v>
                </c:pt>
                <c:pt idx="12">
                  <c:v>146.78</c:v>
                </c:pt>
                <c:pt idx="13">
                  <c:v>155.83000000000001</c:v>
                </c:pt>
                <c:pt idx="14">
                  <c:v>192.66</c:v>
                </c:pt>
                <c:pt idx="15">
                  <c:v>143.61000000000001</c:v>
                </c:pt>
                <c:pt idx="16">
                  <c:v>149.54</c:v>
                </c:pt>
                <c:pt idx="17">
                  <c:v>170.98</c:v>
                </c:pt>
                <c:pt idx="18">
                  <c:v>175.13</c:v>
                </c:pt>
                <c:pt idx="19">
                  <c:v>180.47</c:v>
                </c:pt>
                <c:pt idx="20">
                  <c:v>213.87</c:v>
                </c:pt>
                <c:pt idx="21">
                  <c:v>207.35</c:v>
                </c:pt>
                <c:pt idx="22">
                  <c:v>158.65</c:v>
                </c:pt>
                <c:pt idx="23">
                  <c:v>144.38999999999999</c:v>
                </c:pt>
                <c:pt idx="24">
                  <c:v>143.80000000000001</c:v>
                </c:pt>
              </c:numCache>
            </c:numRef>
          </c:val>
          <c:extLst>
            <c:ext xmlns:c16="http://schemas.microsoft.com/office/drawing/2014/chart" uri="{C3380CC4-5D6E-409C-BE32-E72D297353CC}">
              <c16:uniqueId val="{00000000-2506-4629-A1A8-7C00AD656DA5}"/>
            </c:ext>
          </c:extLst>
        </c:ser>
        <c:ser>
          <c:idx val="3"/>
          <c:order val="3"/>
          <c:tx>
            <c:strRef>
              <c:f>Charts!$F$2</c:f>
              <c:strCache>
                <c:ptCount val="1"/>
                <c:pt idx="0">
                  <c:v>Spread</c:v>
                </c:pt>
              </c:strCache>
            </c:strRef>
          </c:tx>
          <c:spPr>
            <a:solidFill>
              <a:schemeClr val="tx2">
                <a:lumMod val="20000"/>
                <a:lumOff val="80000"/>
              </a:schemeClr>
            </a:solidFill>
            <a:ln>
              <a:noFill/>
            </a:ln>
            <a:effectLst/>
          </c:spPr>
          <c:cat>
            <c:numRef>
              <c:f>Charts!$B$3:$B$27</c:f>
              <c:numCache>
                <c:formatCode>mmm\-yy</c:formatCode>
                <c:ptCount val="25"/>
                <c:pt idx="0">
                  <c:v>46296</c:v>
                </c:pt>
                <c:pt idx="1">
                  <c:v>46327</c:v>
                </c:pt>
                <c:pt idx="2">
                  <c:v>46357</c:v>
                </c:pt>
                <c:pt idx="3">
                  <c:v>46388</c:v>
                </c:pt>
                <c:pt idx="4">
                  <c:v>46419</c:v>
                </c:pt>
                <c:pt idx="5">
                  <c:v>46447</c:v>
                </c:pt>
                <c:pt idx="6">
                  <c:v>46478</c:v>
                </c:pt>
                <c:pt idx="7">
                  <c:v>46508</c:v>
                </c:pt>
                <c:pt idx="8">
                  <c:v>46539</c:v>
                </c:pt>
                <c:pt idx="9">
                  <c:v>46569</c:v>
                </c:pt>
                <c:pt idx="10">
                  <c:v>46600</c:v>
                </c:pt>
                <c:pt idx="11">
                  <c:v>46631</c:v>
                </c:pt>
                <c:pt idx="12">
                  <c:v>46661</c:v>
                </c:pt>
                <c:pt idx="13">
                  <c:v>46692</c:v>
                </c:pt>
                <c:pt idx="14">
                  <c:v>46722</c:v>
                </c:pt>
                <c:pt idx="15">
                  <c:v>46753</c:v>
                </c:pt>
                <c:pt idx="16">
                  <c:v>46784</c:v>
                </c:pt>
                <c:pt idx="17">
                  <c:v>46813</c:v>
                </c:pt>
                <c:pt idx="18">
                  <c:v>46844</c:v>
                </c:pt>
                <c:pt idx="19">
                  <c:v>46874</c:v>
                </c:pt>
                <c:pt idx="20">
                  <c:v>46905</c:v>
                </c:pt>
                <c:pt idx="21">
                  <c:v>46935</c:v>
                </c:pt>
                <c:pt idx="22">
                  <c:v>46966</c:v>
                </c:pt>
                <c:pt idx="23">
                  <c:v>46997</c:v>
                </c:pt>
                <c:pt idx="24">
                  <c:v>47027</c:v>
                </c:pt>
              </c:numCache>
            </c:numRef>
          </c:cat>
          <c:val>
            <c:numRef>
              <c:f>Charts!$F$3:$F$27</c:f>
              <c:numCache>
                <c:formatCode>"$"#,##0</c:formatCode>
                <c:ptCount val="25"/>
                <c:pt idx="0">
                  <c:v>1.9499999999999886</c:v>
                </c:pt>
                <c:pt idx="1">
                  <c:v>4.2800000000000011</c:v>
                </c:pt>
                <c:pt idx="2">
                  <c:v>34.509999999999991</c:v>
                </c:pt>
                <c:pt idx="3">
                  <c:v>25.860000000000014</c:v>
                </c:pt>
                <c:pt idx="4">
                  <c:v>43.349999999999994</c:v>
                </c:pt>
                <c:pt idx="5">
                  <c:v>12.689999999999998</c:v>
                </c:pt>
                <c:pt idx="6">
                  <c:v>28.110000000000014</c:v>
                </c:pt>
                <c:pt idx="7">
                  <c:v>16.810000000000002</c:v>
                </c:pt>
                <c:pt idx="8">
                  <c:v>11.560000000000002</c:v>
                </c:pt>
                <c:pt idx="9">
                  <c:v>21.439999999999998</c:v>
                </c:pt>
                <c:pt idx="10">
                  <c:v>51.97</c:v>
                </c:pt>
                <c:pt idx="11">
                  <c:v>50.199999999999989</c:v>
                </c:pt>
                <c:pt idx="12">
                  <c:v>52.199999999999989</c:v>
                </c:pt>
                <c:pt idx="13">
                  <c:v>59.819999999999993</c:v>
                </c:pt>
                <c:pt idx="14">
                  <c:v>68.690000000000026</c:v>
                </c:pt>
                <c:pt idx="15">
                  <c:v>62.369999999999976</c:v>
                </c:pt>
                <c:pt idx="16">
                  <c:v>69.700000000000017</c:v>
                </c:pt>
                <c:pt idx="17">
                  <c:v>56.09</c:v>
                </c:pt>
                <c:pt idx="18">
                  <c:v>57.72</c:v>
                </c:pt>
                <c:pt idx="19">
                  <c:v>52.349999999999994</c:v>
                </c:pt>
                <c:pt idx="20">
                  <c:v>47.399999999999977</c:v>
                </c:pt>
                <c:pt idx="21">
                  <c:v>61.750000000000028</c:v>
                </c:pt>
                <c:pt idx="22">
                  <c:v>84.93</c:v>
                </c:pt>
                <c:pt idx="23">
                  <c:v>78.160000000000025</c:v>
                </c:pt>
                <c:pt idx="24">
                  <c:v>70.619999999999976</c:v>
                </c:pt>
              </c:numCache>
            </c:numRef>
          </c:val>
          <c:extLst>
            <c:ext xmlns:c16="http://schemas.microsoft.com/office/drawing/2014/chart" uri="{C3380CC4-5D6E-409C-BE32-E72D297353CC}">
              <c16:uniqueId val="{00000001-2506-4629-A1A8-7C00AD656DA5}"/>
            </c:ext>
          </c:extLst>
        </c:ser>
        <c:dLbls>
          <c:showLegendKey val="0"/>
          <c:showVal val="0"/>
          <c:showCatName val="0"/>
          <c:showSerName val="0"/>
          <c:showPercent val="0"/>
          <c:showBubbleSize val="0"/>
        </c:dLbls>
        <c:axId val="416787728"/>
        <c:axId val="431107184"/>
      </c:areaChart>
      <c:lineChart>
        <c:grouping val="standard"/>
        <c:varyColors val="0"/>
        <c:ser>
          <c:idx val="0"/>
          <c:order val="0"/>
          <c:tx>
            <c:strRef>
              <c:f>Charts!$C$2</c:f>
              <c:strCache>
                <c:ptCount val="1"/>
                <c:pt idx="0">
                  <c:v>Norwegian Cruise Line</c:v>
                </c:pt>
              </c:strCache>
            </c:strRef>
          </c:tx>
          <c:spPr>
            <a:ln w="19050" cap="rnd">
              <a:solidFill>
                <a:srgbClr val="002060"/>
              </a:solidFill>
              <a:round/>
            </a:ln>
            <a:effectLst/>
          </c:spPr>
          <c:marker>
            <c:symbol val="none"/>
          </c:marker>
          <c:dPt>
            <c:idx val="14"/>
            <c:marker>
              <c:symbol val="circle"/>
              <c:size val="6"/>
              <c:spPr>
                <a:solidFill>
                  <a:schemeClr val="bg1"/>
                </a:solidFill>
                <a:ln w="19050">
                  <a:solidFill>
                    <a:srgbClr val="002060"/>
                  </a:solidFill>
                </a:ln>
                <a:effectLst/>
              </c:spPr>
            </c:marker>
            <c:bubble3D val="0"/>
            <c:extLst>
              <c:ext xmlns:c16="http://schemas.microsoft.com/office/drawing/2014/chart" uri="{C3380CC4-5D6E-409C-BE32-E72D297353CC}">
                <c16:uniqueId val="{00000007-2506-4629-A1A8-7C00AD656DA5}"/>
              </c:ext>
            </c:extLst>
          </c:dPt>
          <c:dPt>
            <c:idx val="24"/>
            <c:marker>
              <c:symbol val="circle"/>
              <c:size val="6"/>
              <c:spPr>
                <a:solidFill>
                  <a:schemeClr val="bg1"/>
                </a:solidFill>
                <a:ln w="19050">
                  <a:solidFill>
                    <a:srgbClr val="002060"/>
                  </a:solidFill>
                </a:ln>
                <a:effectLst/>
              </c:spPr>
            </c:marker>
            <c:bubble3D val="0"/>
            <c:extLst>
              <c:ext xmlns:c16="http://schemas.microsoft.com/office/drawing/2014/chart" uri="{C3380CC4-5D6E-409C-BE32-E72D297353CC}">
                <c16:uniqueId val="{00000004-2506-4629-A1A8-7C00AD656DA5}"/>
              </c:ext>
            </c:extLst>
          </c:dPt>
          <c:dLbls>
            <c:dLbl>
              <c:idx val="14"/>
              <c:layout>
                <c:manualLayout>
                  <c:x val="-5.2236914944552654E-2"/>
                  <c:y val="-4.6323628550364197E-2"/>
                </c:manualLayout>
              </c:layout>
              <c:tx>
                <c:rich>
                  <a:bodyPr/>
                  <a:lstStyle/>
                  <a:p>
                    <a:fld id="{69E0D1D6-8FC5-46F7-B99C-E0DADB716537}" type="VALUE">
                      <a:rPr lang="en-US" b="1">
                        <a:solidFill>
                          <a:srgbClr val="002060"/>
                        </a:solidFill>
                      </a:rPr>
                      <a:pPr/>
                      <a:t>[VALUE]</a:t>
                    </a:fld>
                    <a:endParaRPr lang="en-US"/>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2506-4629-A1A8-7C00AD656DA5}"/>
                </c:ext>
              </c:extLst>
            </c:dLbl>
            <c:dLbl>
              <c:idx val="24"/>
              <c:layout>
                <c:manualLayout>
                  <c:x val="-1.5172938645773411E-2"/>
                  <c:y val="-5.0444700700341502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506-4629-A1A8-7C00AD656DA5}"/>
                </c:ext>
              </c:extLst>
            </c:dLbl>
            <c:numFmt formatCode="&quot;$&quot;#,##0" sourceLinked="0"/>
            <c:spPr>
              <a:noFill/>
              <a:ln>
                <a:noFill/>
              </a:ln>
              <a:effectLst/>
            </c:spPr>
            <c:txPr>
              <a:bodyPr rot="0" spcFirstLastPara="1" vertOverflow="ellipsis" vert="horz" wrap="square" anchor="ctr" anchorCtr="1"/>
              <a:lstStyle/>
              <a:p>
                <a:pPr>
                  <a:defRPr sz="700" b="1"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Charts!$B$3:$B$27</c:f>
              <c:numCache>
                <c:formatCode>mmm\-yy</c:formatCode>
                <c:ptCount val="25"/>
                <c:pt idx="0">
                  <c:v>46296</c:v>
                </c:pt>
                <c:pt idx="1">
                  <c:v>46327</c:v>
                </c:pt>
                <c:pt idx="2">
                  <c:v>46357</c:v>
                </c:pt>
                <c:pt idx="3">
                  <c:v>46388</c:v>
                </c:pt>
                <c:pt idx="4">
                  <c:v>46419</c:v>
                </c:pt>
                <c:pt idx="5">
                  <c:v>46447</c:v>
                </c:pt>
                <c:pt idx="6">
                  <c:v>46478</c:v>
                </c:pt>
                <c:pt idx="7">
                  <c:v>46508</c:v>
                </c:pt>
                <c:pt idx="8">
                  <c:v>46539</c:v>
                </c:pt>
                <c:pt idx="9">
                  <c:v>46569</c:v>
                </c:pt>
                <c:pt idx="10">
                  <c:v>46600</c:v>
                </c:pt>
                <c:pt idx="11">
                  <c:v>46631</c:v>
                </c:pt>
                <c:pt idx="12">
                  <c:v>46661</c:v>
                </c:pt>
                <c:pt idx="13">
                  <c:v>46692</c:v>
                </c:pt>
                <c:pt idx="14">
                  <c:v>46722</c:v>
                </c:pt>
                <c:pt idx="15">
                  <c:v>46753</c:v>
                </c:pt>
                <c:pt idx="16">
                  <c:v>46784</c:v>
                </c:pt>
                <c:pt idx="17">
                  <c:v>46813</c:v>
                </c:pt>
                <c:pt idx="18">
                  <c:v>46844</c:v>
                </c:pt>
                <c:pt idx="19">
                  <c:v>46874</c:v>
                </c:pt>
                <c:pt idx="20">
                  <c:v>46905</c:v>
                </c:pt>
                <c:pt idx="21">
                  <c:v>46935</c:v>
                </c:pt>
                <c:pt idx="22">
                  <c:v>46966</c:v>
                </c:pt>
                <c:pt idx="23">
                  <c:v>46997</c:v>
                </c:pt>
                <c:pt idx="24">
                  <c:v>47027</c:v>
                </c:pt>
              </c:numCache>
            </c:numRef>
          </c:cat>
          <c:val>
            <c:numRef>
              <c:f>Charts!$C$3:$C$27</c:f>
              <c:numCache>
                <c:formatCode>"$"#,##0</c:formatCode>
                <c:ptCount val="25"/>
                <c:pt idx="0">
                  <c:v>156.22999999999999</c:v>
                </c:pt>
                <c:pt idx="1">
                  <c:v>156.59</c:v>
                </c:pt>
                <c:pt idx="2">
                  <c:v>221.64</c:v>
                </c:pt>
                <c:pt idx="3">
                  <c:v>166.84</c:v>
                </c:pt>
                <c:pt idx="4">
                  <c:v>189.04</c:v>
                </c:pt>
                <c:pt idx="5">
                  <c:v>190.45</c:v>
                </c:pt>
                <c:pt idx="6">
                  <c:v>187.4</c:v>
                </c:pt>
                <c:pt idx="7">
                  <c:v>193.51</c:v>
                </c:pt>
                <c:pt idx="8">
                  <c:v>228.54</c:v>
                </c:pt>
                <c:pt idx="9">
                  <c:v>238.75</c:v>
                </c:pt>
                <c:pt idx="10">
                  <c:v>215.92</c:v>
                </c:pt>
                <c:pt idx="11">
                  <c:v>196.29</c:v>
                </c:pt>
                <c:pt idx="12">
                  <c:v>198.98</c:v>
                </c:pt>
                <c:pt idx="13">
                  <c:v>215.65</c:v>
                </c:pt>
                <c:pt idx="14">
                  <c:v>261.35000000000002</c:v>
                </c:pt>
                <c:pt idx="15">
                  <c:v>205.98</c:v>
                </c:pt>
                <c:pt idx="16">
                  <c:v>219.24</c:v>
                </c:pt>
                <c:pt idx="17">
                  <c:v>227.07</c:v>
                </c:pt>
                <c:pt idx="18">
                  <c:v>232.85</c:v>
                </c:pt>
                <c:pt idx="19">
                  <c:v>232.82</c:v>
                </c:pt>
                <c:pt idx="20">
                  <c:v>261.27</c:v>
                </c:pt>
                <c:pt idx="21">
                  <c:v>269.10000000000002</c:v>
                </c:pt>
                <c:pt idx="22">
                  <c:v>243.58</c:v>
                </c:pt>
                <c:pt idx="23">
                  <c:v>222.55</c:v>
                </c:pt>
                <c:pt idx="24">
                  <c:v>214.42</c:v>
                </c:pt>
              </c:numCache>
            </c:numRef>
          </c:val>
          <c:smooth val="0"/>
          <c:extLst>
            <c:ext xmlns:c16="http://schemas.microsoft.com/office/drawing/2014/chart" uri="{C3380CC4-5D6E-409C-BE32-E72D297353CC}">
              <c16:uniqueId val="{00000002-2506-4629-A1A8-7C00AD656DA5}"/>
            </c:ext>
          </c:extLst>
        </c:ser>
        <c:ser>
          <c:idx val="1"/>
          <c:order val="1"/>
          <c:tx>
            <c:strRef>
              <c:f>Charts!$D$2</c:f>
              <c:strCache>
                <c:ptCount val="1"/>
                <c:pt idx="0">
                  <c:v>Carnival Cruise Line</c:v>
                </c:pt>
              </c:strCache>
            </c:strRef>
          </c:tx>
          <c:spPr>
            <a:ln w="19050" cap="rnd">
              <a:solidFill>
                <a:srgbClr val="00B0F0"/>
              </a:solidFill>
              <a:round/>
            </a:ln>
            <a:effectLst/>
          </c:spPr>
          <c:marker>
            <c:symbol val="none"/>
          </c:marker>
          <c:dPt>
            <c:idx val="14"/>
            <c:marker>
              <c:symbol val="circle"/>
              <c:size val="6"/>
              <c:spPr>
                <a:solidFill>
                  <a:schemeClr val="bg1"/>
                </a:solidFill>
                <a:ln w="19050">
                  <a:solidFill>
                    <a:srgbClr val="00B0F0"/>
                  </a:solidFill>
                </a:ln>
                <a:effectLst/>
              </c:spPr>
            </c:marker>
            <c:bubble3D val="0"/>
            <c:extLst>
              <c:ext xmlns:c16="http://schemas.microsoft.com/office/drawing/2014/chart" uri="{C3380CC4-5D6E-409C-BE32-E72D297353CC}">
                <c16:uniqueId val="{00000006-2506-4629-A1A8-7C00AD656DA5}"/>
              </c:ext>
            </c:extLst>
          </c:dPt>
          <c:dPt>
            <c:idx val="24"/>
            <c:marker>
              <c:symbol val="circle"/>
              <c:size val="6"/>
              <c:spPr>
                <a:solidFill>
                  <a:schemeClr val="bg1"/>
                </a:solidFill>
                <a:ln w="19050">
                  <a:solidFill>
                    <a:srgbClr val="00B0F0"/>
                  </a:solidFill>
                </a:ln>
                <a:effectLst/>
              </c:spPr>
            </c:marker>
            <c:bubble3D val="0"/>
            <c:extLst>
              <c:ext xmlns:c16="http://schemas.microsoft.com/office/drawing/2014/chart" uri="{C3380CC4-5D6E-409C-BE32-E72D297353CC}">
                <c16:uniqueId val="{00000005-2506-4629-A1A8-7C00AD656DA5}"/>
              </c:ext>
            </c:extLst>
          </c:dPt>
          <c:dLbls>
            <c:dLbl>
              <c:idx val="14"/>
              <c:layout>
                <c:manualLayout>
                  <c:x val="-5.2236914944552654E-2"/>
                  <c:y val="-4.99668666144564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506-4629-A1A8-7C00AD656DA5}"/>
                </c:ext>
              </c:extLst>
            </c:dLbl>
            <c:dLbl>
              <c:idx val="24"/>
              <c:layout>
                <c:manualLayout>
                  <c:x val="-1.1379703984330058E-2"/>
                  <c:y val="-5.5031218300176663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506-4629-A1A8-7C00AD656DA5}"/>
                </c:ext>
              </c:extLst>
            </c:dLbl>
            <c:numFmt formatCode="&quot;$&quot;#,##0" sourceLinked="0"/>
            <c:spPr>
              <a:noFill/>
              <a:ln>
                <a:noFill/>
              </a:ln>
              <a:effectLst/>
            </c:spPr>
            <c:txPr>
              <a:bodyPr rot="0" spcFirstLastPara="1" vertOverflow="ellipsis" vert="horz" wrap="square" anchor="ctr" anchorCtr="1"/>
              <a:lstStyle/>
              <a:p>
                <a:pPr>
                  <a:defRPr sz="700" b="1" i="0" u="none" strike="noStrike" kern="1200" baseline="0">
                    <a:solidFill>
                      <a:srgbClr val="00B0F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Charts!$B$3:$B$27</c:f>
              <c:numCache>
                <c:formatCode>mmm\-yy</c:formatCode>
                <c:ptCount val="25"/>
                <c:pt idx="0">
                  <c:v>46296</c:v>
                </c:pt>
                <c:pt idx="1">
                  <c:v>46327</c:v>
                </c:pt>
                <c:pt idx="2">
                  <c:v>46357</c:v>
                </c:pt>
                <c:pt idx="3">
                  <c:v>46388</c:v>
                </c:pt>
                <c:pt idx="4">
                  <c:v>46419</c:v>
                </c:pt>
                <c:pt idx="5">
                  <c:v>46447</c:v>
                </c:pt>
                <c:pt idx="6">
                  <c:v>46478</c:v>
                </c:pt>
                <c:pt idx="7">
                  <c:v>46508</c:v>
                </c:pt>
                <c:pt idx="8">
                  <c:v>46539</c:v>
                </c:pt>
                <c:pt idx="9">
                  <c:v>46569</c:v>
                </c:pt>
                <c:pt idx="10">
                  <c:v>46600</c:v>
                </c:pt>
                <c:pt idx="11">
                  <c:v>46631</c:v>
                </c:pt>
                <c:pt idx="12">
                  <c:v>46661</c:v>
                </c:pt>
                <c:pt idx="13">
                  <c:v>46692</c:v>
                </c:pt>
                <c:pt idx="14">
                  <c:v>46722</c:v>
                </c:pt>
                <c:pt idx="15">
                  <c:v>46753</c:v>
                </c:pt>
                <c:pt idx="16">
                  <c:v>46784</c:v>
                </c:pt>
                <c:pt idx="17">
                  <c:v>46813</c:v>
                </c:pt>
                <c:pt idx="18">
                  <c:v>46844</c:v>
                </c:pt>
                <c:pt idx="19">
                  <c:v>46874</c:v>
                </c:pt>
                <c:pt idx="20">
                  <c:v>46905</c:v>
                </c:pt>
                <c:pt idx="21">
                  <c:v>46935</c:v>
                </c:pt>
                <c:pt idx="22">
                  <c:v>46966</c:v>
                </c:pt>
                <c:pt idx="23">
                  <c:v>46997</c:v>
                </c:pt>
                <c:pt idx="24">
                  <c:v>47027</c:v>
                </c:pt>
              </c:numCache>
            </c:numRef>
          </c:cat>
          <c:val>
            <c:numRef>
              <c:f>Charts!$D$3:$D$27</c:f>
              <c:numCache>
                <c:formatCode>"$"#,##0</c:formatCode>
                <c:ptCount val="25"/>
                <c:pt idx="0">
                  <c:v>154.28</c:v>
                </c:pt>
                <c:pt idx="1">
                  <c:v>152.31</c:v>
                </c:pt>
                <c:pt idx="2">
                  <c:v>187.13</c:v>
                </c:pt>
                <c:pt idx="3">
                  <c:v>140.97999999999999</c:v>
                </c:pt>
                <c:pt idx="4">
                  <c:v>145.69</c:v>
                </c:pt>
                <c:pt idx="5">
                  <c:v>177.76</c:v>
                </c:pt>
                <c:pt idx="6">
                  <c:v>159.29</c:v>
                </c:pt>
                <c:pt idx="7">
                  <c:v>176.7</c:v>
                </c:pt>
                <c:pt idx="8">
                  <c:v>216.98</c:v>
                </c:pt>
                <c:pt idx="9">
                  <c:v>217.31</c:v>
                </c:pt>
                <c:pt idx="10">
                  <c:v>163.95</c:v>
                </c:pt>
                <c:pt idx="11">
                  <c:v>146.09</c:v>
                </c:pt>
                <c:pt idx="12">
                  <c:v>146.78</c:v>
                </c:pt>
                <c:pt idx="13">
                  <c:v>155.83000000000001</c:v>
                </c:pt>
                <c:pt idx="14">
                  <c:v>192.66</c:v>
                </c:pt>
                <c:pt idx="15">
                  <c:v>143.61000000000001</c:v>
                </c:pt>
                <c:pt idx="16">
                  <c:v>149.54</c:v>
                </c:pt>
                <c:pt idx="17">
                  <c:v>170.98</c:v>
                </c:pt>
                <c:pt idx="18">
                  <c:v>175.13</c:v>
                </c:pt>
                <c:pt idx="19">
                  <c:v>180.47</c:v>
                </c:pt>
                <c:pt idx="20">
                  <c:v>213.87</c:v>
                </c:pt>
                <c:pt idx="21">
                  <c:v>207.35</c:v>
                </c:pt>
                <c:pt idx="22">
                  <c:v>158.65</c:v>
                </c:pt>
                <c:pt idx="23">
                  <c:v>144.38999999999999</c:v>
                </c:pt>
                <c:pt idx="24">
                  <c:v>143.80000000000001</c:v>
                </c:pt>
              </c:numCache>
            </c:numRef>
          </c:val>
          <c:smooth val="0"/>
          <c:extLst>
            <c:ext xmlns:c16="http://schemas.microsoft.com/office/drawing/2014/chart" uri="{C3380CC4-5D6E-409C-BE32-E72D297353CC}">
              <c16:uniqueId val="{00000003-2506-4629-A1A8-7C00AD656DA5}"/>
            </c:ext>
          </c:extLst>
        </c:ser>
        <c:dLbls>
          <c:showLegendKey val="0"/>
          <c:showVal val="0"/>
          <c:showCatName val="0"/>
          <c:showSerName val="0"/>
          <c:showPercent val="0"/>
          <c:showBubbleSize val="0"/>
        </c:dLbls>
        <c:marker val="1"/>
        <c:smooth val="0"/>
        <c:axId val="75488304"/>
        <c:axId val="431193584"/>
      </c:lineChart>
      <c:dateAx>
        <c:axId val="75488304"/>
        <c:scaling>
          <c:orientation val="minMax"/>
        </c:scaling>
        <c:delete val="0"/>
        <c:axPos val="b"/>
        <c:numFmt formatCode="mmm\-yy" sourceLinked="0"/>
        <c:majorTickMark val="none"/>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431193584"/>
        <c:crosses val="autoZero"/>
        <c:auto val="1"/>
        <c:lblOffset val="100"/>
        <c:baseTimeUnit val="months"/>
      </c:dateAx>
      <c:valAx>
        <c:axId val="431193584"/>
        <c:scaling>
          <c:orientation val="minMax"/>
          <c:max val="290"/>
          <c:min val="120"/>
        </c:scaling>
        <c:delete val="0"/>
        <c:axPos val="l"/>
        <c:numFmt formatCode="&quot;$&quot;#,##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75488304"/>
        <c:crosses val="autoZero"/>
        <c:crossBetween val="between"/>
      </c:valAx>
      <c:valAx>
        <c:axId val="431107184"/>
        <c:scaling>
          <c:orientation val="minMax"/>
          <c:max val="290"/>
          <c:min val="120"/>
        </c:scaling>
        <c:delete val="0"/>
        <c:axPos val="r"/>
        <c:numFmt formatCode="&quot;$&quot;#,##0" sourceLinked="1"/>
        <c:majorTickMark val="out"/>
        <c:minorTickMark val="none"/>
        <c:tickLblPos val="none"/>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416787728"/>
        <c:crosses val="max"/>
        <c:crossBetween val="between"/>
      </c:valAx>
      <c:dateAx>
        <c:axId val="416787728"/>
        <c:scaling>
          <c:orientation val="minMax"/>
        </c:scaling>
        <c:delete val="1"/>
        <c:axPos val="b"/>
        <c:numFmt formatCode="mmm\-yy" sourceLinked="1"/>
        <c:majorTickMark val="out"/>
        <c:minorTickMark val="none"/>
        <c:tickLblPos val="nextTo"/>
        <c:crossAx val="431107184"/>
        <c:crosses val="autoZero"/>
        <c:auto val="1"/>
        <c:lblOffset val="100"/>
        <c:baseTimeUnit val="months"/>
      </c:dateAx>
      <c:spPr>
        <a:noFill/>
        <a:ln>
          <a:noFill/>
        </a:ln>
        <a:effectLst/>
      </c:spPr>
    </c:plotArea>
    <c:legend>
      <c:legendPos val="b"/>
      <c:legendEntry>
        <c:idx val="0"/>
        <c:delete val="1"/>
      </c:legendEntry>
      <c:legendEntry>
        <c:idx val="1"/>
        <c:delete val="1"/>
      </c:legendEntry>
      <c:layout>
        <c:manualLayout>
          <c:xMode val="edge"/>
          <c:yMode val="edge"/>
          <c:x val="0.14572890737518315"/>
          <c:y val="3.4795329366174696E-4"/>
          <c:w val="0.72576267659160232"/>
          <c:h val="6.1480072635265982E-2"/>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700"/>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3867259495155528E-2"/>
          <c:y val="0.14071470662905108"/>
          <c:w val="0.97816737486692473"/>
          <c:h val="0.73857513111572437"/>
        </c:manualLayout>
      </c:layout>
      <c:barChart>
        <c:barDir val="col"/>
        <c:grouping val="clustered"/>
        <c:varyColors val="0"/>
        <c:ser>
          <c:idx val="0"/>
          <c:order val="0"/>
          <c:tx>
            <c:strRef>
              <c:f>Charts!$B$30</c:f>
              <c:strCache>
                <c:ptCount val="1"/>
                <c:pt idx="0">
                  <c:v>Model</c:v>
                </c:pt>
              </c:strCache>
            </c:strRef>
          </c:tx>
          <c:spPr>
            <a:solidFill>
              <a:schemeClr val="tx2">
                <a:lumMod val="20000"/>
                <a:lumOff val="80000"/>
              </a:schemeClr>
            </a:solidFill>
            <a:ln w="19050">
              <a:solidFill>
                <a:srgbClr val="002060"/>
              </a:solidFill>
            </a:ln>
            <a:effectLst/>
          </c:spPr>
          <c:invertIfNegative val="0"/>
          <c:dLbls>
            <c:dLbl>
              <c:idx val="0"/>
              <c:layout>
                <c:manualLayout>
                  <c:x val="1.0128263256470112E-3"/>
                  <c:y val="-7.2173907437326427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632-43B8-BB76-02B99740D380}"/>
                </c:ext>
              </c:extLst>
            </c:dLbl>
            <c:dLbl>
              <c:idx val="1"/>
              <c:layout>
                <c:manualLayout>
                  <c:x val="-6.9768003990510301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632-43B8-BB76-02B99740D380}"/>
                </c:ext>
              </c:extLst>
            </c:dLbl>
            <c:dLbl>
              <c:idx val="2"/>
              <c:layout>
                <c:manualLayout>
                  <c:x val="-1.2065652973581914E-2"/>
                  <c:y val="1.18104121957850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632-43B8-BB76-02B99740D380}"/>
                </c:ext>
              </c:extLst>
            </c:dLbl>
            <c:dLbl>
              <c:idx val="3"/>
              <c:layout>
                <c:manualLayout>
                  <c:x val="-1.395360079810206E-2"/>
                  <c:y val="1.18104121957850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632-43B8-BB76-02B99740D380}"/>
                </c:ext>
              </c:extLst>
            </c:dLbl>
            <c:dLbl>
              <c:idx val="4"/>
              <c:layout>
                <c:manualLayout>
                  <c:x val="-1.1628000665085014E-2"/>
                  <c:y val="1.574721626104654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632-43B8-BB76-02B99740D380}"/>
                </c:ext>
              </c:extLst>
            </c:dLbl>
            <c:dLbl>
              <c:idx val="5"/>
              <c:layout>
                <c:manualLayout>
                  <c:x val="-6.9768003990510943E-3"/>
                  <c:y val="3.93680406526159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632-43B8-BB76-02B99740D380}"/>
                </c:ext>
              </c:extLst>
            </c:dLbl>
            <c:dLbl>
              <c:idx val="6"/>
              <c:layout>
                <c:manualLayout>
                  <c:x val="-1.6279200931119106E-2"/>
                  <c:y val="3.936804065261635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632-43B8-BB76-02B99740D380}"/>
                </c:ext>
              </c:extLst>
            </c:dLbl>
            <c:dLbl>
              <c:idx val="7"/>
              <c:layout>
                <c:manualLayout>
                  <c:x val="-9.3024005320680118E-3"/>
                  <c:y val="7.873608130523198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632-43B8-BB76-02B99740D380}"/>
                </c:ext>
              </c:extLst>
            </c:dLbl>
            <c:spPr>
              <a:noFill/>
              <a:ln>
                <a:noFill/>
              </a:ln>
              <a:effectLst/>
            </c:spPr>
            <c:txPr>
              <a:bodyPr rot="0" spcFirstLastPara="1" vertOverflow="ellipsis" vert="horz" wrap="square" anchor="ctr" anchorCtr="1"/>
              <a:lstStyle/>
              <a:p>
                <a:pPr>
                  <a:defRPr sz="7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Charts!$C$29:$J$29</c:f>
              <c:strCache>
                <c:ptCount val="8"/>
                <c:pt idx="0">
                  <c:v>1Q26A</c:v>
                </c:pt>
                <c:pt idx="1">
                  <c:v>2Q26A</c:v>
                </c:pt>
                <c:pt idx="2">
                  <c:v>3Q26E</c:v>
                </c:pt>
                <c:pt idx="3">
                  <c:v>4Q26E</c:v>
                </c:pt>
                <c:pt idx="4">
                  <c:v>1Q27E</c:v>
                </c:pt>
                <c:pt idx="5">
                  <c:v>2Q27E</c:v>
                </c:pt>
                <c:pt idx="6">
                  <c:v>3Q27E</c:v>
                </c:pt>
                <c:pt idx="7">
                  <c:v>4Q27E</c:v>
                </c:pt>
              </c:strCache>
            </c:strRef>
          </c:cat>
          <c:val>
            <c:numRef>
              <c:f>Charts!$C$30:$J$30</c:f>
              <c:numCache>
                <c:formatCode>"$"#,##0</c:formatCode>
                <c:ptCount val="8"/>
                <c:pt idx="0">
                  <c:v>232.46890584195464</c:v>
                </c:pt>
                <c:pt idx="1">
                  <c:v>256.42599994011226</c:v>
                </c:pt>
                <c:pt idx="2">
                  <c:v>269.60180553355275</c:v>
                </c:pt>
                <c:pt idx="3">
                  <c:v>216.37563805376715</c:v>
                </c:pt>
                <c:pt idx="4">
                  <c:v>215.01537914756761</c:v>
                </c:pt>
                <c:pt idx="5">
                  <c:v>232.09663710541403</c:v>
                </c:pt>
                <c:pt idx="6">
                  <c:v>262.18989029768102</c:v>
                </c:pt>
                <c:pt idx="7">
                  <c:v>214.08323508798426</c:v>
                </c:pt>
              </c:numCache>
            </c:numRef>
          </c:val>
          <c:extLst>
            <c:ext xmlns:c16="http://schemas.microsoft.com/office/drawing/2014/chart" uri="{C3380CC4-5D6E-409C-BE32-E72D297353CC}">
              <c16:uniqueId val="{00000000-8632-43B8-BB76-02B99740D380}"/>
            </c:ext>
          </c:extLst>
        </c:ser>
        <c:ser>
          <c:idx val="1"/>
          <c:order val="1"/>
          <c:tx>
            <c:strRef>
              <c:f>Charts!$B$31</c:f>
              <c:strCache>
                <c:ptCount val="1"/>
                <c:pt idx="0">
                  <c:v>Select Street Estimates*</c:v>
                </c:pt>
              </c:strCache>
            </c:strRef>
          </c:tx>
          <c:spPr>
            <a:solidFill>
              <a:schemeClr val="bg1">
                <a:lumMod val="85000"/>
              </a:schemeClr>
            </a:solidFill>
            <a:ln w="19050">
              <a:solidFill>
                <a:schemeClr val="tx1">
                  <a:lumMod val="65000"/>
                  <a:lumOff val="35000"/>
                </a:schemeClr>
              </a:solidFill>
            </a:ln>
            <a:effectLst/>
          </c:spPr>
          <c:invertIfNegative val="0"/>
          <c:dLbls>
            <c:dLbl>
              <c:idx val="0"/>
              <c:layout>
                <c:manualLayout>
                  <c:x val="8.2895719360784794E-3"/>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632-43B8-BB76-02B99740D380}"/>
                </c:ext>
              </c:extLst>
            </c:dLbl>
            <c:spPr>
              <a:noFill/>
              <a:ln>
                <a:noFill/>
              </a:ln>
              <a:effectLst/>
            </c:spPr>
            <c:txPr>
              <a:bodyPr rot="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Charts!$C$29:$J$29</c:f>
              <c:strCache>
                <c:ptCount val="8"/>
                <c:pt idx="0">
                  <c:v>1Q26A</c:v>
                </c:pt>
                <c:pt idx="1">
                  <c:v>2Q26A</c:v>
                </c:pt>
                <c:pt idx="2">
                  <c:v>3Q26E</c:v>
                </c:pt>
                <c:pt idx="3">
                  <c:v>4Q26E</c:v>
                </c:pt>
                <c:pt idx="4">
                  <c:v>1Q27E</c:v>
                </c:pt>
                <c:pt idx="5">
                  <c:v>2Q27E</c:v>
                </c:pt>
                <c:pt idx="6">
                  <c:v>3Q27E</c:v>
                </c:pt>
                <c:pt idx="7">
                  <c:v>4Q27E</c:v>
                </c:pt>
              </c:strCache>
            </c:strRef>
          </c:cat>
          <c:val>
            <c:numRef>
              <c:f>Charts!$C$31:$J$31</c:f>
              <c:numCache>
                <c:formatCode>"$"#,##0</c:formatCode>
                <c:ptCount val="8"/>
                <c:pt idx="2">
                  <c:v>275.59979368045333</c:v>
                </c:pt>
                <c:pt idx="3">
                  <c:v>222.68935715444425</c:v>
                </c:pt>
                <c:pt idx="4">
                  <c:v>219.68311602064713</c:v>
                </c:pt>
                <c:pt idx="5">
                  <c:v>248.73321994190889</c:v>
                </c:pt>
                <c:pt idx="6">
                  <c:v>275.59979368045333</c:v>
                </c:pt>
                <c:pt idx="7">
                  <c:v>223.80280394021645</c:v>
                </c:pt>
              </c:numCache>
            </c:numRef>
          </c:val>
          <c:extLst>
            <c:ext xmlns:c16="http://schemas.microsoft.com/office/drawing/2014/chart" uri="{C3380CC4-5D6E-409C-BE32-E72D297353CC}">
              <c16:uniqueId val="{00000001-8632-43B8-BB76-02B99740D380}"/>
            </c:ext>
          </c:extLst>
        </c:ser>
        <c:dLbls>
          <c:showLegendKey val="0"/>
          <c:showVal val="0"/>
          <c:showCatName val="0"/>
          <c:showSerName val="0"/>
          <c:showPercent val="0"/>
          <c:showBubbleSize val="0"/>
        </c:dLbls>
        <c:gapWidth val="67"/>
        <c:axId val="477934720"/>
        <c:axId val="474021040"/>
      </c:barChart>
      <c:catAx>
        <c:axId val="477934720"/>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474021040"/>
        <c:crosses val="autoZero"/>
        <c:auto val="1"/>
        <c:lblAlgn val="ctr"/>
        <c:lblOffset val="100"/>
        <c:noMultiLvlLbl val="0"/>
      </c:catAx>
      <c:valAx>
        <c:axId val="474021040"/>
        <c:scaling>
          <c:orientation val="minMax"/>
          <c:min val="210"/>
        </c:scaling>
        <c:delete val="0"/>
        <c:axPos val="l"/>
        <c:numFmt formatCode="&quot;$&quot;#,##0" sourceLinked="1"/>
        <c:majorTickMark val="out"/>
        <c:minorTickMark val="none"/>
        <c:tickLblPos val="none"/>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477934720"/>
        <c:crosses val="autoZero"/>
        <c:crossBetween val="between"/>
      </c:valAx>
      <c:spPr>
        <a:noFill/>
        <a:ln>
          <a:noFill/>
        </a:ln>
        <a:effectLst/>
      </c:spPr>
    </c:plotArea>
    <c:legend>
      <c:legendPos val="b"/>
      <c:layout>
        <c:manualLayout>
          <c:xMode val="edge"/>
          <c:yMode val="edge"/>
          <c:x val="2.1197460925961177E-2"/>
          <c:y val="7.9828731086033331E-4"/>
          <c:w val="0.34109374519013186"/>
          <c:h val="9.2546395410251142E-2"/>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700">
          <a:solidFill>
            <a:sysClr val="windowText" lastClr="000000"/>
          </a:solidFill>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11</xdr:col>
      <xdr:colOff>224185</xdr:colOff>
      <xdr:row>11</xdr:row>
      <xdr:rowOff>53267</xdr:rowOff>
    </xdr:from>
    <xdr:to>
      <xdr:col>18</xdr:col>
      <xdr:colOff>528985</xdr:colOff>
      <xdr:row>21</xdr:row>
      <xdr:rowOff>132515</xdr:rowOff>
    </xdr:to>
    <xdr:graphicFrame macro="">
      <xdr:nvGraphicFramePr>
        <xdr:cNvPr id="2" name="Chart 1">
          <a:extLst>
            <a:ext uri="{FF2B5EF4-FFF2-40B4-BE49-F238E27FC236}">
              <a16:creationId xmlns:a16="http://schemas.microsoft.com/office/drawing/2014/main" id="{71DF0C60-2782-48C6-B319-71DD75A64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180329</xdr:colOff>
      <xdr:row>22</xdr:row>
      <xdr:rowOff>57257</xdr:rowOff>
    </xdr:from>
    <xdr:to>
      <xdr:col>18</xdr:col>
      <xdr:colOff>493556</xdr:colOff>
      <xdr:row>32</xdr:row>
      <xdr:rowOff>136505</xdr:rowOff>
    </xdr:to>
    <xdr:graphicFrame macro="">
      <xdr:nvGraphicFramePr>
        <xdr:cNvPr id="4" name="Chart 3">
          <a:extLst>
            <a:ext uri="{FF2B5EF4-FFF2-40B4-BE49-F238E27FC236}">
              <a16:creationId xmlns:a16="http://schemas.microsoft.com/office/drawing/2014/main" id="{7F395D3B-5702-CE82-5471-54418301B7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470647</xdr:colOff>
      <xdr:row>11</xdr:row>
      <xdr:rowOff>123264</xdr:rowOff>
    </xdr:from>
    <xdr:to>
      <xdr:col>27</xdr:col>
      <xdr:colOff>171620</xdr:colOff>
      <xdr:row>22</xdr:row>
      <xdr:rowOff>15232</xdr:rowOff>
    </xdr:to>
    <xdr:pic>
      <xdr:nvPicPr>
        <xdr:cNvPr id="11" name="Picture 10">
          <a:extLst>
            <a:ext uri="{FF2B5EF4-FFF2-40B4-BE49-F238E27FC236}">
              <a16:creationId xmlns:a16="http://schemas.microsoft.com/office/drawing/2014/main" id="{E4870A48-D7ED-4013-6AF0-CE96FBC75ADA}"/>
            </a:ext>
          </a:extLst>
        </xdr:cNvPr>
        <xdr:cNvPicPr>
          <a:picLocks noChangeAspect="1"/>
        </xdr:cNvPicPr>
      </xdr:nvPicPr>
      <xdr:blipFill>
        <a:blip xmlns:r="http://schemas.openxmlformats.org/officeDocument/2006/relationships" r:embed="rId3"/>
        <a:stretch>
          <a:fillRect/>
        </a:stretch>
      </xdr:blipFill>
      <xdr:spPr>
        <a:xfrm>
          <a:off x="12113559" y="2218764"/>
          <a:ext cx="4541914" cy="1987468"/>
        </a:xfrm>
        <a:prstGeom prst="rect">
          <a:avLst/>
        </a:prstGeom>
      </xdr:spPr>
    </xdr:pic>
    <xdr:clientData/>
  </xdr:twoCellAnchor>
  <xdr:twoCellAnchor editAs="oneCell">
    <xdr:from>
      <xdr:col>19</xdr:col>
      <xdr:colOff>428625</xdr:colOff>
      <xdr:row>22</xdr:row>
      <xdr:rowOff>180975</xdr:rowOff>
    </xdr:from>
    <xdr:to>
      <xdr:col>27</xdr:col>
      <xdr:colOff>130318</xdr:colOff>
      <xdr:row>33</xdr:row>
      <xdr:rowOff>66847</xdr:rowOff>
    </xdr:to>
    <xdr:pic>
      <xdr:nvPicPr>
        <xdr:cNvPr id="14" name="Picture 13">
          <a:extLst>
            <a:ext uri="{FF2B5EF4-FFF2-40B4-BE49-F238E27FC236}">
              <a16:creationId xmlns:a16="http://schemas.microsoft.com/office/drawing/2014/main" id="{9980EB4B-3C0C-5182-60FE-C29397D791A2}"/>
            </a:ext>
          </a:extLst>
        </xdr:cNvPr>
        <xdr:cNvPicPr>
          <a:picLocks noChangeAspect="1"/>
        </xdr:cNvPicPr>
      </xdr:nvPicPr>
      <xdr:blipFill>
        <a:blip xmlns:r="http://schemas.openxmlformats.org/officeDocument/2006/relationships" r:embed="rId4"/>
        <a:stretch>
          <a:fillRect/>
        </a:stretch>
      </xdr:blipFill>
      <xdr:spPr>
        <a:xfrm>
          <a:off x="12134850" y="4371975"/>
          <a:ext cx="4578493" cy="1981372"/>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0.1093</cdr:x>
      <cdr:y>0.07653</cdr:y>
    </cdr:from>
    <cdr:to>
      <cdr:x>0.54243</cdr:x>
      <cdr:y>0.2842</cdr:y>
    </cdr:to>
    <cdr:sp macro="" textlink="">
      <cdr:nvSpPr>
        <cdr:cNvPr id="8" name="TextBox 7">
          <a:extLst xmlns:a="http://schemas.openxmlformats.org/drawingml/2006/main">
            <a:ext uri="{FF2B5EF4-FFF2-40B4-BE49-F238E27FC236}">
              <a16:creationId xmlns:a16="http://schemas.microsoft.com/office/drawing/2014/main" id="{F930739F-AD00-338A-A701-453BEF6DC3F9}"/>
            </a:ext>
          </a:extLst>
        </cdr:cNvPr>
        <cdr:cNvSpPr txBox="1"/>
      </cdr:nvSpPr>
      <cdr:spPr>
        <a:xfrm xmlns:a="http://schemas.openxmlformats.org/drawingml/2006/main">
          <a:off x="499715" y="151858"/>
          <a:ext cx="1980279" cy="41205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700" b="1" kern="1200">
              <a:solidFill>
                <a:srgbClr val="FF0000"/>
              </a:solidFill>
            </a:rPr>
            <a:t>Contrary</a:t>
          </a:r>
          <a:r>
            <a:rPr lang="en-US" sz="700" b="1" kern="1200" baseline="0">
              <a:solidFill>
                <a:srgbClr val="FF0000"/>
              </a:solidFill>
            </a:rPr>
            <a:t> to management promises loading has not been implemented across 2027 sailings...</a:t>
          </a:r>
        </a:p>
      </cdr:txBody>
    </cdr:sp>
  </cdr:relSizeAnchor>
  <cdr:relSizeAnchor xmlns:cdr="http://schemas.openxmlformats.org/drawingml/2006/chartDrawing">
    <cdr:from>
      <cdr:x>0.52597</cdr:x>
      <cdr:y>0.07931</cdr:y>
    </cdr:from>
    <cdr:to>
      <cdr:x>0.5968</cdr:x>
      <cdr:y>0.54501</cdr:y>
    </cdr:to>
    <cdr:sp macro="" textlink="">
      <cdr:nvSpPr>
        <cdr:cNvPr id="17" name="Rectangle 16">
          <a:extLst xmlns:a="http://schemas.openxmlformats.org/drawingml/2006/main">
            <a:ext uri="{FF2B5EF4-FFF2-40B4-BE49-F238E27FC236}">
              <a16:creationId xmlns:a16="http://schemas.microsoft.com/office/drawing/2014/main" id="{15F216D3-1CC8-A799-8C71-68E31C53E262}"/>
            </a:ext>
          </a:extLst>
        </cdr:cNvPr>
        <cdr:cNvSpPr/>
      </cdr:nvSpPr>
      <cdr:spPr>
        <a:xfrm xmlns:a="http://schemas.openxmlformats.org/drawingml/2006/main">
          <a:off x="2404715" y="157369"/>
          <a:ext cx="323850" cy="924066"/>
        </a:xfrm>
        <a:prstGeom xmlns:a="http://schemas.openxmlformats.org/drawingml/2006/main" prst="rect">
          <a:avLst/>
        </a:prstGeom>
        <a:noFill xmlns:a="http://schemas.openxmlformats.org/drawingml/2006/main"/>
        <a:ln xmlns:a="http://schemas.openxmlformats.org/drawingml/2006/main" w="15875">
          <a:solidFill>
            <a:srgbClr val="FF0000"/>
          </a:solidFill>
          <a:prstDash val="dash"/>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0.89472</cdr:x>
      <cdr:y>0.34699</cdr:y>
    </cdr:from>
    <cdr:to>
      <cdr:x>0.98542</cdr:x>
      <cdr:y>0.77806</cdr:y>
    </cdr:to>
    <cdr:sp macro="" textlink="">
      <cdr:nvSpPr>
        <cdr:cNvPr id="18" name="Rectangle 17">
          <a:extLst xmlns:a="http://schemas.openxmlformats.org/drawingml/2006/main">
            <a:ext uri="{FF2B5EF4-FFF2-40B4-BE49-F238E27FC236}">
              <a16:creationId xmlns:a16="http://schemas.microsoft.com/office/drawing/2014/main" id="{85887A70-B40C-CF57-D208-55F7916190C8}"/>
            </a:ext>
          </a:extLst>
        </cdr:cNvPr>
        <cdr:cNvSpPr/>
      </cdr:nvSpPr>
      <cdr:spPr>
        <a:xfrm xmlns:a="http://schemas.openxmlformats.org/drawingml/2006/main">
          <a:off x="4090640" y="688511"/>
          <a:ext cx="414685" cy="855344"/>
        </a:xfrm>
        <a:prstGeom xmlns:a="http://schemas.openxmlformats.org/drawingml/2006/main" prst="rect">
          <a:avLst/>
        </a:prstGeom>
        <a:noFill xmlns:a="http://schemas.openxmlformats.org/drawingml/2006/main"/>
        <a:ln xmlns:a="http://schemas.openxmlformats.org/drawingml/2006/main" w="15875">
          <a:solidFill>
            <a:srgbClr val="FF0000"/>
          </a:solidFill>
          <a:prstDash val="dash"/>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0.87805</cdr:x>
      <cdr:y>0.19275</cdr:y>
    </cdr:from>
    <cdr:to>
      <cdr:x>1</cdr:x>
      <cdr:y>0.40041</cdr:y>
    </cdr:to>
    <cdr:sp macro="" textlink="">
      <cdr:nvSpPr>
        <cdr:cNvPr id="19" name="TextBox 1">
          <a:extLst xmlns:a="http://schemas.openxmlformats.org/drawingml/2006/main">
            <a:ext uri="{FF2B5EF4-FFF2-40B4-BE49-F238E27FC236}">
              <a16:creationId xmlns:a16="http://schemas.microsoft.com/office/drawing/2014/main" id="{A9CEDB7B-F843-3D08-407D-82D87D45982D}"/>
            </a:ext>
          </a:extLst>
        </cdr:cNvPr>
        <cdr:cNvSpPr txBox="1"/>
      </cdr:nvSpPr>
      <cdr:spPr>
        <a:xfrm xmlns:a="http://schemas.openxmlformats.org/drawingml/2006/main">
          <a:off x="4014440" y="382463"/>
          <a:ext cx="557560" cy="41205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700" b="1" kern="1200" baseline="0">
              <a:solidFill>
                <a:srgbClr val="FF0000"/>
              </a:solidFill>
            </a:rPr>
            <a:t>...or 2028 sailings</a:t>
          </a:r>
        </a:p>
      </cdr:txBody>
    </cdr:sp>
  </cdr:relSizeAnchor>
</c:userShapes>
</file>

<file path=xl/drawings/drawing3.xml><?xml version="1.0" encoding="utf-8"?>
<c:userShapes xmlns:c="http://schemas.openxmlformats.org/drawingml/2006/chart">
  <cdr:relSizeAnchor xmlns:cdr="http://schemas.openxmlformats.org/drawingml/2006/chartDrawing">
    <cdr:from>
      <cdr:x>0.62412</cdr:x>
      <cdr:y>0.07487</cdr:y>
    </cdr:from>
    <cdr:to>
      <cdr:x>0.99268</cdr:x>
      <cdr:y>0.98466</cdr:y>
    </cdr:to>
    <cdr:sp macro="" textlink="">
      <cdr:nvSpPr>
        <cdr:cNvPr id="3" name="Rectangle 2">
          <a:extLst xmlns:a="http://schemas.openxmlformats.org/drawingml/2006/main">
            <a:ext uri="{FF2B5EF4-FFF2-40B4-BE49-F238E27FC236}">
              <a16:creationId xmlns:a16="http://schemas.microsoft.com/office/drawing/2014/main" id="{137C12A6-04D7-416D-1731-F8CBE3890351}"/>
            </a:ext>
          </a:extLst>
        </cdr:cNvPr>
        <cdr:cNvSpPr/>
      </cdr:nvSpPr>
      <cdr:spPr>
        <a:xfrm xmlns:a="http://schemas.openxmlformats.org/drawingml/2006/main">
          <a:off x="2852330" y="148559"/>
          <a:ext cx="1684369" cy="1805243"/>
        </a:xfrm>
        <a:prstGeom xmlns:a="http://schemas.openxmlformats.org/drawingml/2006/main" prst="rect">
          <a:avLst/>
        </a:prstGeom>
        <a:noFill xmlns:a="http://schemas.openxmlformats.org/drawingml/2006/main"/>
        <a:ln xmlns:a="http://schemas.openxmlformats.org/drawingml/2006/main" w="15875">
          <a:solidFill>
            <a:srgbClr val="FF0000"/>
          </a:solidFill>
          <a:prstDash val="dash"/>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0.40711</cdr:x>
      <cdr:y>0.14016</cdr:y>
    </cdr:from>
    <cdr:to>
      <cdr:x>0.63389</cdr:x>
      <cdr:y>0.36455</cdr:y>
    </cdr:to>
    <cdr:sp macro="" textlink="">
      <cdr:nvSpPr>
        <cdr:cNvPr id="4" name="TextBox 1">
          <a:extLst xmlns:a="http://schemas.openxmlformats.org/drawingml/2006/main">
            <a:ext uri="{FF2B5EF4-FFF2-40B4-BE49-F238E27FC236}">
              <a16:creationId xmlns:a16="http://schemas.microsoft.com/office/drawing/2014/main" id="{C06242CE-EDE2-B689-01E4-3BD5FBC9F012}"/>
            </a:ext>
          </a:extLst>
        </cdr:cNvPr>
        <cdr:cNvSpPr txBox="1"/>
      </cdr:nvSpPr>
      <cdr:spPr>
        <a:xfrm xmlns:a="http://schemas.openxmlformats.org/drawingml/2006/main">
          <a:off x="1860556" y="278106"/>
          <a:ext cx="1036423" cy="44526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700" b="1" kern="1200">
              <a:solidFill>
                <a:srgbClr val="FF0000"/>
              </a:solidFill>
            </a:rPr>
            <a:t>Street correctly models</a:t>
          </a:r>
          <a:r>
            <a:rPr lang="en-US" sz="700" b="1" kern="1200" baseline="0">
              <a:solidFill>
                <a:srgbClr val="FF0000"/>
              </a:solidFill>
            </a:rPr>
            <a:t> directionality, but fails to price close-in discounting impact</a:t>
          </a:r>
        </a:p>
      </cdr:txBody>
    </cdr:sp>
  </cdr:relSizeAnchor>
</c:userShapes>
</file>

<file path=xl/externalLinks/_rels/externalLink1.xml.rels><?xml version="1.0" encoding="UTF-8" standalone="yes"?>
<Relationships xmlns="http://schemas.openxmlformats.org/package/2006/relationships"><Relationship Id="rId3" Type="http://schemas.openxmlformats.org/officeDocument/2006/relationships/externalLinkPath" Target="../../../Documents/NCLH%20Model.xlsx" TargetMode="External"/><Relationship Id="rId2" Type="http://schemas.openxmlformats.org/officeDocument/2006/relationships/externalLinkPath" Target="https://d.docs.live.net/6bfe3c28b11287fa/Documents/NCLH%20Model.xlsx" TargetMode="External"/><Relationship Id="rId1" Type="http://schemas.openxmlformats.org/officeDocument/2006/relationships/externalLinkPath" Target="/6bfe3c28b11287fa/Documents/NCLH%20Mode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georg\Downloads\Goldman%20Sachs%20Group%20Inc.%20Research%20Division_NCLH%20Model_31_Jul_2026.xlsx" TargetMode="External"/><Relationship Id="rId1" Type="http://schemas.openxmlformats.org/officeDocument/2006/relationships/externalLinkPath" Target="file:///C:\Users\georg\Downloads\Goldman%20Sachs%20Group%20Inc.%20Research%20Division_NCLH%20Model_31_Jul_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ver Page"/>
      <sheetName val="Variance Summary"/>
      <sheetName val="Valuation&gt;"/>
      <sheetName val="Valuation"/>
      <sheetName val="Model&gt;"/>
      <sheetName val="Driving Assumptions"/>
      <sheetName val="FS&gt;&gt;"/>
      <sheetName val="Income Statement"/>
      <sheetName val="Balance Sheet"/>
      <sheetName val="Cash Flow"/>
      <sheetName val="Drivers&gt;&gt;"/>
      <sheetName val="Model Drivers"/>
      <sheetName val="Fleet Schedule"/>
      <sheetName val="Debt Schedule"/>
      <sheetName val="Onboard &amp; Other Correlation"/>
      <sheetName val="Near-Term Pricing&gt;&gt;"/>
      <sheetName val="Control Panel"/>
      <sheetName val="Ticket Revenue per PCD"/>
      <sheetName val="Forward Booking Curve"/>
      <sheetName val="Ticket Discounting Trajectory"/>
      <sheetName val="Input Data&gt;"/>
      <sheetName val="Alt Data&gt;&gt;"/>
      <sheetName val="Jefferies Pricing Scrape"/>
      <sheetName val="Custom Scrape Data"/>
      <sheetName val="Cohort index (Jefferies basis)"/>
      <sheetName val="Jefferies vs Cohort Check"/>
      <sheetName val="NCLH Promo Summary"/>
      <sheetName val="FactSet Pulls&gt;&gt;"/>
      <sheetName val="Historical Financials"/>
      <sheetName val="FactSet Uses of Cash"/>
      <sheetName val="Historical Multiples"/>
      <sheetName val="Historical Share Price"/>
      <sheetName val="Consensus Summary (Quarterly)"/>
      <sheetName val="Consensus Summary (Annual)"/>
      <sheetName val="Plumbing&gt;"/>
      <sheetName val="Sheet Template"/>
      <sheetName val="Date Setting"/>
    </sheetNames>
    <sheetDataSet>
      <sheetData sheetId="0"/>
      <sheetData sheetId="1"/>
      <sheetData sheetId="2"/>
      <sheetData sheetId="3"/>
      <sheetData sheetId="4"/>
      <sheetData sheetId="5"/>
      <sheetData sheetId="6"/>
      <sheetData sheetId="7"/>
      <sheetData sheetId="8"/>
      <sheetData sheetId="9"/>
      <sheetData sheetId="10"/>
      <sheetData sheetId="11">
        <row r="39">
          <cell r="BE39">
            <v>232.46890584195464</v>
          </cell>
          <cell r="BF39">
            <v>256.42599994011226</v>
          </cell>
          <cell r="BG39">
            <v>269.60180553355275</v>
          </cell>
          <cell r="BH39">
            <v>216.37563805376715</v>
          </cell>
          <cell r="BJ39">
            <v>215.01537914756761</v>
          </cell>
          <cell r="BK39">
            <v>232.09663710541403</v>
          </cell>
          <cell r="BL39">
            <v>262.18989029768102</v>
          </cell>
          <cell r="BM39">
            <v>214.08323508798426</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__FDSCACHE__"/>
      <sheetName val="Summary Model"/>
      <sheetName val="Navigation"/>
      <sheetName val="Guidance"/>
      <sheetName val="FX"/>
      <sheetName val="Income Statement (GAAP)"/>
      <sheetName val="Income Statement (Oper)"/>
      <sheetName val="Drivers"/>
      <sheetName val="CF"/>
      <sheetName val="BS"/>
      <sheetName val="Fleet"/>
      <sheetName val="Debt"/>
      <sheetName val="Share Count"/>
      <sheetName val="Accretion"/>
      <sheetName val="Valuation &gt;&gt;"/>
      <sheetName val="Price Target"/>
      <sheetName val="PE Valuation"/>
      <sheetName val="EBITDA Valuation"/>
      <sheetName val="NCLH ROC"/>
      <sheetName val="NCLH_Exchange_Sheet"/>
    </sheetNames>
    <sheetDataSet>
      <sheetData sheetId="0"/>
      <sheetData sheetId="1"/>
      <sheetData sheetId="2"/>
      <sheetData sheetId="3"/>
      <sheetData sheetId="4"/>
      <sheetData sheetId="5"/>
      <sheetData sheetId="6">
        <row r="1">
          <cell r="A1" t="str">
            <v>Goldman Sachs Global Investment Research</v>
          </cell>
        </row>
      </sheetData>
      <sheetData sheetId="7">
        <row r="1">
          <cell r="A1" t="str">
            <v>Goldman Sachs Global Investment Research</v>
          </cell>
        </row>
        <row r="56">
          <cell r="FH56">
            <v>275.59979368045333</v>
          </cell>
          <cell r="FI56">
            <v>222.68935715444425</v>
          </cell>
          <cell r="FK56">
            <v>219.68311602064713</v>
          </cell>
          <cell r="FL56">
            <v>248.73321994190889</v>
          </cell>
          <cell r="FM56">
            <v>275.59979368045333</v>
          </cell>
          <cell r="FN56">
            <v>223.80280394021645</v>
          </cell>
        </row>
      </sheetData>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 dockstate="right" visibility="0" width="350" row="2">
    <wetp:webextensionref xmlns:r="http://schemas.openxmlformats.org/officeDocument/2006/relationships" r:id="rId2"/>
  </wetp:taskpane>
</wetp:taskpanes>
</file>

<file path=xl/webextensions/webextension1.xml><?xml version="1.0" encoding="utf-8"?>
<we:webextension xmlns:we="http://schemas.microsoft.com/office/webextensions/webextension/2010/11" id="{BCEE5F44-0BE9-45DD-AB58-2DD94A4CD2F2}">
  <we:reference id="49825c50-e8d8-4c4a-9a2c-e6f24181e018" version="1.0.0.0" store="EXCatalog" storeType="EXCatalog"/>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BC0E86D0-DB92-4BA8-A398-1204799ABF03}">
  <we:reference id="wa200009404" version="1.0.0.8" store="en-US" storeType="OMEX"/>
  <we:alternateReferences>
    <we:reference id="wa200009404" version="1.0.0.8" store="en-US" storeType="OMEX"/>
  </we:alternateReferences>
  <we:properties>
    <we:property name="claude.fileId" value="&quot;2b81510b-9622-42ea-8279-f4cb45c1e0cd&quot;"/>
  </we:properties>
  <we:bindings/>
  <we:snapshot xmlns:r="http://schemas.openxmlformats.org/officeDocument/2006/relationships"/>
</we:webextension>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50"/>
  <sheetViews>
    <sheetView topLeftCell="A6" zoomScale="85" zoomScaleNormal="85" workbookViewId="0">
      <selection activeCell="B26" sqref="B26"/>
    </sheetView>
  </sheetViews>
  <sheetFormatPr defaultRowHeight="15" x14ac:dyDescent="0.25"/>
  <cols>
    <col min="1" max="1" width="38" customWidth="1"/>
    <col min="2" max="2" width="52" customWidth="1"/>
    <col min="3" max="3" width="17" customWidth="1"/>
    <col min="4" max="4" width="16" customWidth="1"/>
    <col min="5" max="5" width="20" customWidth="1"/>
    <col min="6" max="6" width="12" customWidth="1"/>
    <col min="7" max="7" width="46" customWidth="1"/>
  </cols>
  <sheetData>
    <row r="1" spans="1:2" ht="17.25" x14ac:dyDescent="0.3">
      <c r="A1" s="1" t="s">
        <v>0</v>
      </c>
    </row>
    <row r="2" spans="1:2" x14ac:dyDescent="0.25">
      <c r="A2" s="2" t="s">
        <v>1</v>
      </c>
    </row>
    <row r="4" spans="1:2" x14ac:dyDescent="0.25">
      <c r="A4" s="3" t="s">
        <v>2</v>
      </c>
    </row>
    <row r="5" spans="1:2" x14ac:dyDescent="0.25">
      <c r="A5" s="3" t="s">
        <v>3</v>
      </c>
      <c r="B5" t="s">
        <v>4</v>
      </c>
    </row>
    <row r="6" spans="1:2" x14ac:dyDescent="0.25">
      <c r="A6" s="3" t="s">
        <v>5</v>
      </c>
      <c r="B6" t="s">
        <v>6</v>
      </c>
    </row>
    <row r="7" spans="1:2" x14ac:dyDescent="0.25">
      <c r="A7" s="3" t="s">
        <v>7</v>
      </c>
      <c r="B7" t="s">
        <v>8</v>
      </c>
    </row>
    <row r="8" spans="1:2" x14ac:dyDescent="0.25">
      <c r="A8" s="3" t="s">
        <v>9</v>
      </c>
      <c r="B8" t="s">
        <v>10</v>
      </c>
    </row>
    <row r="9" spans="1:2" x14ac:dyDescent="0.25">
      <c r="A9" s="3" t="s">
        <v>11</v>
      </c>
      <c r="B9">
        <v>68522</v>
      </c>
    </row>
    <row r="10" spans="1:2" x14ac:dyDescent="0.25">
      <c r="A10" s="3" t="s">
        <v>12</v>
      </c>
      <c r="B10">
        <v>18037</v>
      </c>
    </row>
    <row r="11" spans="1:2" x14ac:dyDescent="0.25">
      <c r="A11" s="3" t="s">
        <v>13</v>
      </c>
      <c r="B11" t="s">
        <v>14</v>
      </c>
    </row>
    <row r="12" spans="1:2" x14ac:dyDescent="0.25">
      <c r="A12" s="3" t="s">
        <v>15</v>
      </c>
      <c r="B12" t="s">
        <v>16</v>
      </c>
    </row>
    <row r="13" spans="1:2" x14ac:dyDescent="0.25">
      <c r="A13" s="3" t="s">
        <v>17</v>
      </c>
      <c r="B13" t="s">
        <v>18</v>
      </c>
    </row>
    <row r="14" spans="1:2" x14ac:dyDescent="0.25">
      <c r="A14" s="3" t="s">
        <v>19</v>
      </c>
      <c r="B14" t="s">
        <v>20</v>
      </c>
    </row>
    <row r="16" spans="1:2" x14ac:dyDescent="0.25">
      <c r="A16" s="3" t="s">
        <v>21</v>
      </c>
    </row>
    <row r="17" spans="1:6" x14ac:dyDescent="0.25">
      <c r="A17" s="4" t="s">
        <v>22</v>
      </c>
    </row>
    <row r="19" spans="1:6" x14ac:dyDescent="0.25">
      <c r="A19" s="5" t="s">
        <v>23</v>
      </c>
      <c r="B19" s="5" t="s">
        <v>24</v>
      </c>
      <c r="C19" s="5" t="s">
        <v>25</v>
      </c>
      <c r="D19" s="5" t="s">
        <v>26</v>
      </c>
      <c r="E19" s="5" t="s">
        <v>27</v>
      </c>
      <c r="F19" s="5" t="s">
        <v>28</v>
      </c>
    </row>
    <row r="20" spans="1:6" x14ac:dyDescent="0.25">
      <c r="A20" t="s">
        <v>29</v>
      </c>
      <c r="B20" t="s">
        <v>30</v>
      </c>
      <c r="C20" t="s">
        <v>31</v>
      </c>
      <c r="D20">
        <v>44</v>
      </c>
      <c r="E20" t="s">
        <v>32</v>
      </c>
      <c r="F20" t="s">
        <v>33</v>
      </c>
    </row>
    <row r="21" spans="1:6" x14ac:dyDescent="0.25">
      <c r="A21" t="s">
        <v>34</v>
      </c>
      <c r="B21" t="s">
        <v>35</v>
      </c>
      <c r="C21" t="s">
        <v>31</v>
      </c>
      <c r="D21">
        <v>74</v>
      </c>
      <c r="E21" t="s">
        <v>32</v>
      </c>
      <c r="F21" t="s">
        <v>36</v>
      </c>
    </row>
    <row r="22" spans="1:6" x14ac:dyDescent="0.25">
      <c r="A22" t="s">
        <v>37</v>
      </c>
      <c r="B22" t="s">
        <v>38</v>
      </c>
      <c r="C22" t="s">
        <v>31</v>
      </c>
      <c r="D22">
        <v>123</v>
      </c>
      <c r="E22" t="s">
        <v>32</v>
      </c>
      <c r="F22" t="s">
        <v>39</v>
      </c>
    </row>
    <row r="23" spans="1:6" x14ac:dyDescent="0.25">
      <c r="A23" t="s">
        <v>40</v>
      </c>
      <c r="B23" t="s">
        <v>41</v>
      </c>
      <c r="C23" t="s">
        <v>42</v>
      </c>
      <c r="D23">
        <v>3</v>
      </c>
      <c r="E23" t="s">
        <v>43</v>
      </c>
      <c r="F23" t="s">
        <v>44</v>
      </c>
    </row>
    <row r="24" spans="1:6" x14ac:dyDescent="0.25">
      <c r="A24" t="s">
        <v>45</v>
      </c>
      <c r="B24" t="s">
        <v>46</v>
      </c>
      <c r="C24" t="s">
        <v>31</v>
      </c>
      <c r="D24">
        <v>10</v>
      </c>
      <c r="E24" t="s">
        <v>32</v>
      </c>
      <c r="F24" t="s">
        <v>47</v>
      </c>
    </row>
    <row r="25" spans="1:6" x14ac:dyDescent="0.25">
      <c r="A25" t="s">
        <v>48</v>
      </c>
      <c r="B25" t="s">
        <v>49</v>
      </c>
      <c r="C25" t="s">
        <v>31</v>
      </c>
      <c r="D25">
        <v>24</v>
      </c>
      <c r="E25" t="s">
        <v>32</v>
      </c>
      <c r="F25" t="s">
        <v>50</v>
      </c>
    </row>
    <row r="26" spans="1:6" x14ac:dyDescent="0.25">
      <c r="A26" t="s">
        <v>51</v>
      </c>
      <c r="B26" t="s">
        <v>52</v>
      </c>
      <c r="C26" t="s">
        <v>31</v>
      </c>
      <c r="D26">
        <v>44</v>
      </c>
      <c r="E26" t="s">
        <v>32</v>
      </c>
      <c r="F26" t="s">
        <v>53</v>
      </c>
    </row>
    <row r="27" spans="1:6" x14ac:dyDescent="0.25">
      <c r="A27" t="s">
        <v>54</v>
      </c>
      <c r="B27" t="s">
        <v>55</v>
      </c>
      <c r="C27" t="s">
        <v>42</v>
      </c>
      <c r="D27">
        <v>2252</v>
      </c>
      <c r="E27" t="s">
        <v>43</v>
      </c>
      <c r="F27" t="s">
        <v>56</v>
      </c>
    </row>
    <row r="28" spans="1:6" x14ac:dyDescent="0.25">
      <c r="A28" t="s">
        <v>57</v>
      </c>
      <c r="B28" t="s">
        <v>58</v>
      </c>
      <c r="C28" t="s">
        <v>42</v>
      </c>
      <c r="D28">
        <v>44</v>
      </c>
      <c r="E28" t="s">
        <v>43</v>
      </c>
      <c r="F28" t="s">
        <v>59</v>
      </c>
    </row>
    <row r="29" spans="1:6" x14ac:dyDescent="0.25">
      <c r="A29" t="s">
        <v>60</v>
      </c>
      <c r="B29" t="s">
        <v>61</v>
      </c>
      <c r="C29" t="s">
        <v>42</v>
      </c>
      <c r="D29">
        <v>336</v>
      </c>
      <c r="E29" t="s">
        <v>43</v>
      </c>
      <c r="F29" t="s">
        <v>62</v>
      </c>
    </row>
    <row r="30" spans="1:6" x14ac:dyDescent="0.25">
      <c r="A30" t="s">
        <v>63</v>
      </c>
      <c r="B30" t="s">
        <v>64</v>
      </c>
      <c r="C30" t="s">
        <v>65</v>
      </c>
      <c r="D30">
        <v>21</v>
      </c>
      <c r="E30" t="s">
        <v>32</v>
      </c>
      <c r="F30" t="s">
        <v>66</v>
      </c>
    </row>
    <row r="32" spans="1:6" x14ac:dyDescent="0.25">
      <c r="A32" s="3" t="s">
        <v>67</v>
      </c>
    </row>
    <row r="33" spans="1:7" x14ac:dyDescent="0.25">
      <c r="A33" s="2" t="s">
        <v>68</v>
      </c>
    </row>
    <row r="35" spans="1:7" x14ac:dyDescent="0.25">
      <c r="A35" s="5" t="s">
        <v>69</v>
      </c>
      <c r="B35" s="5" t="s">
        <v>70</v>
      </c>
      <c r="C35" s="5" t="s">
        <v>71</v>
      </c>
      <c r="D35" s="5" t="s">
        <v>72</v>
      </c>
      <c r="E35" s="5" t="s">
        <v>73</v>
      </c>
      <c r="F35" s="5" t="s">
        <v>74</v>
      </c>
    </row>
    <row r="36" spans="1:7" x14ac:dyDescent="0.25">
      <c r="A36" t="s">
        <v>75</v>
      </c>
      <c r="B36">
        <v>13743</v>
      </c>
      <c r="C36">
        <v>2876</v>
      </c>
      <c r="D36">
        <v>2</v>
      </c>
      <c r="E36">
        <v>251</v>
      </c>
    </row>
    <row r="37" spans="1:7" x14ac:dyDescent="0.25">
      <c r="A37" t="s">
        <v>76</v>
      </c>
      <c r="B37">
        <v>1322</v>
      </c>
      <c r="C37">
        <v>232</v>
      </c>
      <c r="D37">
        <v>2</v>
      </c>
      <c r="E37">
        <v>368</v>
      </c>
    </row>
    <row r="38" spans="1:7" x14ac:dyDescent="0.25">
      <c r="A38" t="s">
        <v>77</v>
      </c>
      <c r="B38">
        <v>590</v>
      </c>
      <c r="C38">
        <v>106</v>
      </c>
      <c r="D38">
        <v>2</v>
      </c>
      <c r="E38">
        <v>201</v>
      </c>
    </row>
    <row r="39" spans="1:7" x14ac:dyDescent="0.25">
      <c r="A39" t="s">
        <v>78</v>
      </c>
      <c r="B39">
        <v>1136</v>
      </c>
      <c r="C39">
        <v>191</v>
      </c>
      <c r="D39">
        <v>2</v>
      </c>
      <c r="E39">
        <v>12</v>
      </c>
    </row>
    <row r="40" spans="1:7" x14ac:dyDescent="0.25">
      <c r="A40" t="s">
        <v>79</v>
      </c>
      <c r="B40">
        <v>1226</v>
      </c>
      <c r="C40">
        <v>222</v>
      </c>
      <c r="D40">
        <v>2</v>
      </c>
      <c r="E40">
        <v>642</v>
      </c>
    </row>
    <row r="41" spans="1:7" x14ac:dyDescent="0.25">
      <c r="A41" t="s">
        <v>80</v>
      </c>
      <c r="B41">
        <v>20</v>
      </c>
      <c r="C41">
        <v>5</v>
      </c>
      <c r="D41">
        <v>1</v>
      </c>
      <c r="E41">
        <v>0</v>
      </c>
    </row>
    <row r="43" spans="1:7" x14ac:dyDescent="0.25">
      <c r="A43" s="3" t="s">
        <v>81</v>
      </c>
    </row>
    <row r="44" spans="1:7" x14ac:dyDescent="0.25">
      <c r="A44" s="2" t="s">
        <v>82</v>
      </c>
    </row>
    <row r="46" spans="1:7" x14ac:dyDescent="0.25">
      <c r="A46" s="5" t="s">
        <v>83</v>
      </c>
      <c r="B46" s="5" t="s">
        <v>84</v>
      </c>
      <c r="C46" s="5" t="s">
        <v>85</v>
      </c>
      <c r="D46" s="5" t="s">
        <v>86</v>
      </c>
      <c r="E46" s="5" t="s">
        <v>87</v>
      </c>
      <c r="F46" s="5" t="s">
        <v>88</v>
      </c>
      <c r="G46" s="5" t="s">
        <v>89</v>
      </c>
    </row>
    <row r="47" spans="1:7" x14ac:dyDescent="0.25">
      <c r="A47" t="s">
        <v>90</v>
      </c>
      <c r="B47" t="s">
        <v>91</v>
      </c>
      <c r="C47">
        <v>887</v>
      </c>
      <c r="D47">
        <v>1934</v>
      </c>
      <c r="E47" s="6">
        <v>118</v>
      </c>
      <c r="F47" t="s">
        <v>92</v>
      </c>
      <c r="G47" t="s">
        <v>93</v>
      </c>
    </row>
    <row r="48" spans="1:7" x14ac:dyDescent="0.25">
      <c r="A48" t="s">
        <v>91</v>
      </c>
      <c r="B48" t="s">
        <v>94</v>
      </c>
      <c r="C48">
        <v>1934</v>
      </c>
      <c r="D48">
        <v>3673</v>
      </c>
      <c r="E48" s="6">
        <v>89.9</v>
      </c>
      <c r="F48" t="s">
        <v>92</v>
      </c>
      <c r="G48" t="s">
        <v>95</v>
      </c>
    </row>
    <row r="49" spans="1:6" x14ac:dyDescent="0.25">
      <c r="A49" t="s">
        <v>94</v>
      </c>
      <c r="B49" t="s">
        <v>96</v>
      </c>
      <c r="C49">
        <v>3673</v>
      </c>
      <c r="D49">
        <v>3669</v>
      </c>
      <c r="E49" s="6">
        <v>-0.1</v>
      </c>
      <c r="F49" t="s">
        <v>97</v>
      </c>
    </row>
    <row r="50" spans="1:6" x14ac:dyDescent="0.25">
      <c r="A50" t="s">
        <v>96</v>
      </c>
      <c r="B50" t="s">
        <v>6</v>
      </c>
      <c r="C50">
        <v>3669</v>
      </c>
      <c r="D50">
        <v>3632</v>
      </c>
      <c r="E50" s="6">
        <v>-1</v>
      </c>
      <c r="F50" t="s">
        <v>97</v>
      </c>
    </row>
  </sheetData>
  <autoFilter ref="A46:G50"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59"/>
  <sheetViews>
    <sheetView workbookViewId="0">
      <pane ySplit="15" topLeftCell="A16" activePane="bottomLeft" state="frozen"/>
      <selection pane="bottomLeft"/>
    </sheetView>
  </sheetViews>
  <sheetFormatPr defaultRowHeight="15" x14ac:dyDescent="0.25"/>
  <cols>
    <col min="1" max="1" width="23" customWidth="1"/>
    <col min="2" max="2" width="17" customWidth="1"/>
    <col min="3" max="3" width="16" customWidth="1"/>
    <col min="4" max="4" width="9" customWidth="1"/>
    <col min="5" max="5" width="16" customWidth="1"/>
    <col min="6" max="6" width="11" customWidth="1"/>
    <col min="7" max="7" width="9" customWidth="1"/>
    <col min="8" max="8" width="11" customWidth="1"/>
    <col min="9" max="9" width="10" customWidth="1"/>
    <col min="10" max="10" width="9" customWidth="1"/>
    <col min="11" max="11" width="14" customWidth="1"/>
    <col min="12" max="12" width="16" customWidth="1"/>
    <col min="13" max="13" width="14" customWidth="1"/>
    <col min="14" max="14" width="11" customWidth="1"/>
    <col min="15" max="15" width="10" customWidth="1"/>
    <col min="16" max="16" width="17" customWidth="1"/>
  </cols>
  <sheetData>
    <row r="1" spans="1:16" ht="17.25" x14ac:dyDescent="0.3">
      <c r="A1" s="1" t="s">
        <v>29</v>
      </c>
    </row>
    <row r="2" spans="1:16" x14ac:dyDescent="0.25">
      <c r="A2" s="2" t="s">
        <v>33</v>
      </c>
    </row>
    <row r="3" spans="1:16" x14ac:dyDescent="0.25">
      <c r="A3" s="2" t="s">
        <v>98</v>
      </c>
    </row>
    <row r="4" spans="1:16" x14ac:dyDescent="0.25">
      <c r="A4" s="2" t="s">
        <v>99</v>
      </c>
    </row>
    <row r="6" spans="1:16" x14ac:dyDescent="0.25">
      <c r="A6" s="7" t="s">
        <v>100</v>
      </c>
    </row>
    <row r="7" spans="1:16" x14ac:dyDescent="0.25">
      <c r="A7" s="7" t="s">
        <v>101</v>
      </c>
    </row>
    <row r="8" spans="1:16" x14ac:dyDescent="0.25">
      <c r="A8" s="2" t="s">
        <v>102</v>
      </c>
    </row>
    <row r="9" spans="1:16" x14ac:dyDescent="0.25">
      <c r="A9" s="2" t="s">
        <v>103</v>
      </c>
    </row>
    <row r="10" spans="1:16" x14ac:dyDescent="0.25">
      <c r="A10" s="2" t="s">
        <v>104</v>
      </c>
    </row>
    <row r="11" spans="1:16" x14ac:dyDescent="0.25">
      <c r="A11" s="2" t="s">
        <v>105</v>
      </c>
    </row>
    <row r="12" spans="1:16" x14ac:dyDescent="0.25">
      <c r="A12" s="2" t="s">
        <v>106</v>
      </c>
    </row>
    <row r="13" spans="1:16" x14ac:dyDescent="0.25">
      <c r="A13" s="2" t="s">
        <v>107</v>
      </c>
    </row>
    <row r="15" spans="1:16" x14ac:dyDescent="0.25">
      <c r="A15" s="5" t="s">
        <v>108</v>
      </c>
      <c r="B15" s="5" t="s">
        <v>69</v>
      </c>
      <c r="C15" s="5" t="s">
        <v>109</v>
      </c>
      <c r="D15" s="5" t="s">
        <v>110</v>
      </c>
      <c r="E15" s="5" t="s">
        <v>111</v>
      </c>
      <c r="F15" s="5" t="s">
        <v>112</v>
      </c>
      <c r="G15" s="5" t="s">
        <v>113</v>
      </c>
      <c r="H15" s="5" t="s">
        <v>114</v>
      </c>
      <c r="I15" s="5" t="s">
        <v>115</v>
      </c>
      <c r="J15" s="5" t="s">
        <v>116</v>
      </c>
      <c r="K15" s="5" t="s">
        <v>117</v>
      </c>
      <c r="L15" s="5" t="s">
        <v>118</v>
      </c>
      <c r="M15" s="5" t="s">
        <v>119</v>
      </c>
      <c r="N15" s="5" t="s">
        <v>120</v>
      </c>
      <c r="O15" s="5" t="s">
        <v>121</v>
      </c>
      <c r="P15" s="5" t="s">
        <v>122</v>
      </c>
    </row>
    <row r="16" spans="1:16" x14ac:dyDescent="0.25">
      <c r="A16" t="s">
        <v>123</v>
      </c>
      <c r="B16" t="s">
        <v>79</v>
      </c>
      <c r="C16" t="s">
        <v>124</v>
      </c>
      <c r="D16">
        <v>53</v>
      </c>
      <c r="E16">
        <v>53</v>
      </c>
      <c r="F16">
        <v>53</v>
      </c>
      <c r="G16">
        <v>0</v>
      </c>
      <c r="H16">
        <v>0</v>
      </c>
      <c r="I16">
        <v>0</v>
      </c>
      <c r="J16">
        <v>0</v>
      </c>
      <c r="K16" s="6">
        <v>0</v>
      </c>
      <c r="L16" s="6">
        <v>0</v>
      </c>
      <c r="M16" s="8">
        <v>1</v>
      </c>
      <c r="N16" s="8">
        <v>216.9</v>
      </c>
      <c r="O16" s="8">
        <v>164.8</v>
      </c>
      <c r="P16" s="9" t="s">
        <v>125</v>
      </c>
    </row>
    <row r="17" spans="1:16" x14ac:dyDescent="0.25">
      <c r="A17" t="s">
        <v>123</v>
      </c>
      <c r="B17" t="s">
        <v>79</v>
      </c>
      <c r="C17" t="s">
        <v>126</v>
      </c>
      <c r="D17">
        <v>53</v>
      </c>
      <c r="E17">
        <v>53</v>
      </c>
      <c r="F17">
        <v>53</v>
      </c>
      <c r="G17">
        <v>0</v>
      </c>
      <c r="H17">
        <v>0</v>
      </c>
      <c r="I17">
        <v>0</v>
      </c>
      <c r="J17">
        <v>0</v>
      </c>
      <c r="K17" s="6">
        <v>0</v>
      </c>
      <c r="L17" s="6">
        <v>0</v>
      </c>
      <c r="M17" s="8">
        <v>1</v>
      </c>
      <c r="N17" s="8">
        <v>136.57</v>
      </c>
      <c r="O17" s="8">
        <v>105.57</v>
      </c>
      <c r="P17" s="9" t="s">
        <v>125</v>
      </c>
    </row>
    <row r="18" spans="1:16" x14ac:dyDescent="0.25">
      <c r="A18" t="s">
        <v>123</v>
      </c>
      <c r="B18" t="s">
        <v>79</v>
      </c>
      <c r="C18" t="s">
        <v>127</v>
      </c>
      <c r="D18">
        <v>53</v>
      </c>
      <c r="E18">
        <v>53</v>
      </c>
      <c r="F18">
        <v>53</v>
      </c>
      <c r="G18">
        <v>0</v>
      </c>
      <c r="H18">
        <v>0</v>
      </c>
      <c r="I18">
        <v>0</v>
      </c>
      <c r="J18">
        <v>0</v>
      </c>
      <c r="K18" s="6">
        <v>0</v>
      </c>
      <c r="L18" s="6">
        <v>0</v>
      </c>
      <c r="M18" s="8">
        <v>1</v>
      </c>
      <c r="N18" s="8">
        <v>169.47</v>
      </c>
      <c r="O18" s="8">
        <v>129.80000000000001</v>
      </c>
      <c r="P18" s="9" t="s">
        <v>125</v>
      </c>
    </row>
    <row r="19" spans="1:16" x14ac:dyDescent="0.25">
      <c r="A19" t="s">
        <v>123</v>
      </c>
      <c r="B19" t="s">
        <v>79</v>
      </c>
      <c r="C19" t="s">
        <v>128</v>
      </c>
      <c r="D19">
        <v>53</v>
      </c>
      <c r="E19">
        <v>53</v>
      </c>
      <c r="F19">
        <v>52</v>
      </c>
      <c r="G19">
        <v>0</v>
      </c>
      <c r="H19">
        <v>0</v>
      </c>
      <c r="I19">
        <v>1</v>
      </c>
      <c r="J19">
        <v>0</v>
      </c>
      <c r="K19" s="6">
        <v>1.89E-2</v>
      </c>
      <c r="L19" s="6">
        <v>1.89E-2</v>
      </c>
      <c r="M19" s="8">
        <v>0.98109999999999997</v>
      </c>
      <c r="N19" s="8">
        <v>406.98</v>
      </c>
      <c r="O19" s="8">
        <v>325.14</v>
      </c>
      <c r="P19" s="9" t="s">
        <v>125</v>
      </c>
    </row>
    <row r="20" spans="1:16" x14ac:dyDescent="0.25">
      <c r="A20" t="s">
        <v>123</v>
      </c>
      <c r="B20" t="s">
        <v>78</v>
      </c>
      <c r="C20" t="s">
        <v>124</v>
      </c>
      <c r="D20">
        <v>34</v>
      </c>
      <c r="E20">
        <v>34</v>
      </c>
      <c r="F20">
        <v>33</v>
      </c>
      <c r="G20">
        <v>0</v>
      </c>
      <c r="H20">
        <v>0</v>
      </c>
      <c r="I20">
        <v>1</v>
      </c>
      <c r="J20">
        <v>0</v>
      </c>
      <c r="K20" s="6">
        <v>2.9399999999999999E-2</v>
      </c>
      <c r="L20" s="6">
        <v>2.9399999999999999E-2</v>
      </c>
      <c r="M20" s="8">
        <v>0.97060000000000002</v>
      </c>
      <c r="N20" s="8">
        <v>197.69</v>
      </c>
      <c r="O20" s="8">
        <v>156.13999999999999</v>
      </c>
      <c r="P20" s="9" t="s">
        <v>129</v>
      </c>
    </row>
    <row r="21" spans="1:16" x14ac:dyDescent="0.25">
      <c r="A21" t="s">
        <v>123</v>
      </c>
      <c r="B21" t="s">
        <v>78</v>
      </c>
      <c r="C21" t="s">
        <v>126</v>
      </c>
      <c r="D21">
        <v>34</v>
      </c>
      <c r="E21">
        <v>34</v>
      </c>
      <c r="F21">
        <v>34</v>
      </c>
      <c r="G21">
        <v>0</v>
      </c>
      <c r="H21">
        <v>0</v>
      </c>
      <c r="I21">
        <v>0</v>
      </c>
      <c r="J21">
        <v>0</v>
      </c>
      <c r="K21" s="6">
        <v>0</v>
      </c>
      <c r="L21" s="6">
        <v>0</v>
      </c>
      <c r="M21" s="8">
        <v>1</v>
      </c>
      <c r="N21" s="8">
        <v>138.01</v>
      </c>
      <c r="O21" s="8">
        <v>103.33</v>
      </c>
      <c r="P21" s="9" t="s">
        <v>129</v>
      </c>
    </row>
    <row r="22" spans="1:16" x14ac:dyDescent="0.25">
      <c r="A22" t="s">
        <v>123</v>
      </c>
      <c r="B22" t="s">
        <v>78</v>
      </c>
      <c r="C22" t="s">
        <v>127</v>
      </c>
      <c r="D22">
        <v>34</v>
      </c>
      <c r="E22">
        <v>34</v>
      </c>
      <c r="F22">
        <v>33</v>
      </c>
      <c r="G22">
        <v>0</v>
      </c>
      <c r="H22">
        <v>0</v>
      </c>
      <c r="I22">
        <v>1</v>
      </c>
      <c r="J22">
        <v>0</v>
      </c>
      <c r="K22" s="6">
        <v>2.9399999999999999E-2</v>
      </c>
      <c r="L22" s="6">
        <v>2.9399999999999999E-2</v>
      </c>
      <c r="M22" s="8">
        <v>0.97060000000000002</v>
      </c>
      <c r="N22" s="8">
        <v>161.35</v>
      </c>
      <c r="O22" s="8">
        <v>125</v>
      </c>
      <c r="P22" s="9" t="s">
        <v>129</v>
      </c>
    </row>
    <row r="23" spans="1:16" x14ac:dyDescent="0.25">
      <c r="A23" t="s">
        <v>123</v>
      </c>
      <c r="B23" t="s">
        <v>78</v>
      </c>
      <c r="C23" t="s">
        <v>128</v>
      </c>
      <c r="D23">
        <v>34</v>
      </c>
      <c r="E23">
        <v>34</v>
      </c>
      <c r="F23">
        <v>28</v>
      </c>
      <c r="G23">
        <v>0</v>
      </c>
      <c r="H23">
        <v>0</v>
      </c>
      <c r="I23">
        <v>6</v>
      </c>
      <c r="J23">
        <v>0</v>
      </c>
      <c r="K23" s="6">
        <v>0.17649999999999999</v>
      </c>
      <c r="L23" s="6">
        <v>0.17649999999999999</v>
      </c>
      <c r="M23" s="8">
        <v>0.82350000000000001</v>
      </c>
      <c r="N23" s="8">
        <v>350.86</v>
      </c>
      <c r="O23" s="8">
        <v>248.5</v>
      </c>
      <c r="P23" s="9" t="s">
        <v>129</v>
      </c>
    </row>
    <row r="24" spans="1:16" x14ac:dyDescent="0.25">
      <c r="A24" t="s">
        <v>123</v>
      </c>
      <c r="B24" t="s">
        <v>75</v>
      </c>
      <c r="C24" t="s">
        <v>124</v>
      </c>
      <c r="D24">
        <v>1932</v>
      </c>
      <c r="E24">
        <v>1932</v>
      </c>
      <c r="F24">
        <v>1902</v>
      </c>
      <c r="G24">
        <v>0</v>
      </c>
      <c r="H24">
        <v>0</v>
      </c>
      <c r="I24">
        <v>30</v>
      </c>
      <c r="J24">
        <v>0</v>
      </c>
      <c r="K24" s="6">
        <v>1.55E-2</v>
      </c>
      <c r="L24" s="6">
        <v>1.55E-2</v>
      </c>
      <c r="M24" s="8">
        <v>0.98450000000000004</v>
      </c>
      <c r="N24" s="8">
        <v>167.45</v>
      </c>
      <c r="O24" s="8">
        <v>86.2</v>
      </c>
      <c r="P24" s="9" t="s">
        <v>130</v>
      </c>
    </row>
    <row r="25" spans="1:16" x14ac:dyDescent="0.25">
      <c r="A25" t="s">
        <v>123</v>
      </c>
      <c r="B25" t="s">
        <v>75</v>
      </c>
      <c r="C25" t="s">
        <v>126</v>
      </c>
      <c r="D25">
        <v>1932</v>
      </c>
      <c r="E25">
        <v>1932</v>
      </c>
      <c r="F25">
        <v>1927</v>
      </c>
      <c r="G25">
        <v>0</v>
      </c>
      <c r="H25">
        <v>0</v>
      </c>
      <c r="I25">
        <v>5</v>
      </c>
      <c r="J25">
        <v>0</v>
      </c>
      <c r="K25" s="6">
        <v>2.5999999999999999E-3</v>
      </c>
      <c r="L25" s="6">
        <v>2.5999999999999999E-3</v>
      </c>
      <c r="M25" s="8">
        <v>0.99739999999999995</v>
      </c>
      <c r="N25" s="8">
        <v>106.56</v>
      </c>
      <c r="O25" s="8">
        <v>47.2</v>
      </c>
      <c r="P25" s="9" t="s">
        <v>130</v>
      </c>
    </row>
    <row r="26" spans="1:16" x14ac:dyDescent="0.25">
      <c r="A26" t="s">
        <v>123</v>
      </c>
      <c r="B26" t="s">
        <v>75</v>
      </c>
      <c r="C26" t="s">
        <v>127</v>
      </c>
      <c r="D26">
        <v>1932</v>
      </c>
      <c r="E26">
        <v>1932</v>
      </c>
      <c r="F26">
        <v>1895</v>
      </c>
      <c r="G26">
        <v>0</v>
      </c>
      <c r="H26">
        <v>0</v>
      </c>
      <c r="I26">
        <v>37</v>
      </c>
      <c r="J26">
        <v>0</v>
      </c>
      <c r="K26" s="6">
        <v>1.9199999999999998E-2</v>
      </c>
      <c r="L26" s="6">
        <v>1.9199999999999998E-2</v>
      </c>
      <c r="M26" s="8">
        <v>0.98080000000000001</v>
      </c>
      <c r="N26" s="8">
        <v>131.35</v>
      </c>
      <c r="O26" s="8">
        <v>58.2</v>
      </c>
      <c r="P26" s="9" t="s">
        <v>130</v>
      </c>
    </row>
    <row r="27" spans="1:16" x14ac:dyDescent="0.25">
      <c r="A27" t="s">
        <v>123</v>
      </c>
      <c r="B27" t="s">
        <v>75</v>
      </c>
      <c r="C27" t="s">
        <v>128</v>
      </c>
      <c r="D27">
        <v>1932</v>
      </c>
      <c r="E27">
        <v>1932</v>
      </c>
      <c r="F27">
        <v>1803</v>
      </c>
      <c r="G27">
        <v>0</v>
      </c>
      <c r="H27">
        <v>0</v>
      </c>
      <c r="I27">
        <v>129</v>
      </c>
      <c r="J27">
        <v>0</v>
      </c>
      <c r="K27" s="6">
        <v>6.6799999999999998E-2</v>
      </c>
      <c r="L27" s="6">
        <v>6.6799999999999998E-2</v>
      </c>
      <c r="M27" s="8">
        <v>0.93320000000000003</v>
      </c>
      <c r="N27" s="8">
        <v>265.56</v>
      </c>
      <c r="O27" s="8">
        <v>126.43</v>
      </c>
      <c r="P27" s="9" t="s">
        <v>130</v>
      </c>
    </row>
    <row r="28" spans="1:16" x14ac:dyDescent="0.25">
      <c r="A28" t="s">
        <v>123</v>
      </c>
      <c r="B28" t="s">
        <v>77</v>
      </c>
      <c r="C28" t="s">
        <v>124</v>
      </c>
      <c r="D28">
        <v>10</v>
      </c>
      <c r="E28">
        <v>10</v>
      </c>
      <c r="F28">
        <v>10</v>
      </c>
      <c r="G28">
        <v>0</v>
      </c>
      <c r="H28">
        <v>0</v>
      </c>
      <c r="I28">
        <v>0</v>
      </c>
      <c r="J28">
        <v>0</v>
      </c>
      <c r="K28" s="6">
        <v>0</v>
      </c>
      <c r="L28" s="6">
        <v>0</v>
      </c>
      <c r="M28" s="8">
        <v>1</v>
      </c>
      <c r="N28" s="8">
        <v>175.76</v>
      </c>
      <c r="O28" s="8">
        <v>149.58000000000001</v>
      </c>
      <c r="P28" s="10" t="s">
        <v>131</v>
      </c>
    </row>
    <row r="29" spans="1:16" x14ac:dyDescent="0.25">
      <c r="A29" t="s">
        <v>123</v>
      </c>
      <c r="B29" t="s">
        <v>77</v>
      </c>
      <c r="C29" t="s">
        <v>126</v>
      </c>
      <c r="D29">
        <v>10</v>
      </c>
      <c r="E29">
        <v>10</v>
      </c>
      <c r="F29">
        <v>10</v>
      </c>
      <c r="G29">
        <v>0</v>
      </c>
      <c r="H29">
        <v>0</v>
      </c>
      <c r="I29">
        <v>0</v>
      </c>
      <c r="J29">
        <v>0</v>
      </c>
      <c r="K29" s="6">
        <v>0</v>
      </c>
      <c r="L29" s="6">
        <v>0</v>
      </c>
      <c r="M29" s="8">
        <v>1</v>
      </c>
      <c r="N29" s="8">
        <v>122.06</v>
      </c>
      <c r="O29" s="8">
        <v>105.83</v>
      </c>
      <c r="P29" s="10" t="s">
        <v>131</v>
      </c>
    </row>
    <row r="30" spans="1:16" x14ac:dyDescent="0.25">
      <c r="A30" t="s">
        <v>123</v>
      </c>
      <c r="B30" t="s">
        <v>77</v>
      </c>
      <c r="C30" t="s">
        <v>127</v>
      </c>
      <c r="D30">
        <v>10</v>
      </c>
      <c r="E30">
        <v>10</v>
      </c>
      <c r="F30">
        <v>10</v>
      </c>
      <c r="G30">
        <v>0</v>
      </c>
      <c r="H30">
        <v>0</v>
      </c>
      <c r="I30">
        <v>0</v>
      </c>
      <c r="J30">
        <v>0</v>
      </c>
      <c r="K30" s="6">
        <v>0</v>
      </c>
      <c r="L30" s="6">
        <v>0</v>
      </c>
      <c r="M30" s="8">
        <v>1</v>
      </c>
      <c r="N30" s="8">
        <v>145.46</v>
      </c>
      <c r="O30" s="8">
        <v>128.75</v>
      </c>
      <c r="P30" s="10" t="s">
        <v>131</v>
      </c>
    </row>
    <row r="31" spans="1:16" x14ac:dyDescent="0.25">
      <c r="A31" t="s">
        <v>123</v>
      </c>
      <c r="B31" t="s">
        <v>77</v>
      </c>
      <c r="C31" t="s">
        <v>128</v>
      </c>
      <c r="D31">
        <v>10</v>
      </c>
      <c r="E31">
        <v>10</v>
      </c>
      <c r="F31">
        <v>10</v>
      </c>
      <c r="G31">
        <v>0</v>
      </c>
      <c r="H31">
        <v>0</v>
      </c>
      <c r="I31">
        <v>0</v>
      </c>
      <c r="J31">
        <v>0</v>
      </c>
      <c r="K31" s="6">
        <v>0</v>
      </c>
      <c r="L31" s="6">
        <v>0</v>
      </c>
      <c r="M31" s="8">
        <v>1</v>
      </c>
      <c r="N31" s="8">
        <v>353.21</v>
      </c>
      <c r="O31" s="8">
        <v>299.58</v>
      </c>
      <c r="P31" s="10" t="s">
        <v>131</v>
      </c>
    </row>
    <row r="32" spans="1:16" x14ac:dyDescent="0.25">
      <c r="A32" t="s">
        <v>123</v>
      </c>
      <c r="B32" t="s">
        <v>76</v>
      </c>
      <c r="C32" t="s">
        <v>124</v>
      </c>
      <c r="D32">
        <v>23</v>
      </c>
      <c r="E32">
        <v>23</v>
      </c>
      <c r="F32">
        <v>22</v>
      </c>
      <c r="G32">
        <v>0</v>
      </c>
      <c r="H32">
        <v>0</v>
      </c>
      <c r="I32">
        <v>1</v>
      </c>
      <c r="J32">
        <v>0</v>
      </c>
      <c r="K32" s="6">
        <v>4.3499999999999997E-2</v>
      </c>
      <c r="L32" s="6">
        <v>4.3499999999999997E-2</v>
      </c>
      <c r="M32" s="8">
        <v>0.95650000000000002</v>
      </c>
      <c r="N32" s="8">
        <v>173.59</v>
      </c>
      <c r="O32" s="8">
        <v>147.80000000000001</v>
      </c>
      <c r="P32" s="10" t="s">
        <v>132</v>
      </c>
    </row>
    <row r="33" spans="1:16" x14ac:dyDescent="0.25">
      <c r="A33" t="s">
        <v>123</v>
      </c>
      <c r="B33" t="s">
        <v>76</v>
      </c>
      <c r="C33" t="s">
        <v>126</v>
      </c>
      <c r="D33">
        <v>23</v>
      </c>
      <c r="E33">
        <v>23</v>
      </c>
      <c r="F33">
        <v>23</v>
      </c>
      <c r="G33">
        <v>0</v>
      </c>
      <c r="H33">
        <v>0</v>
      </c>
      <c r="I33">
        <v>0</v>
      </c>
      <c r="J33">
        <v>0</v>
      </c>
      <c r="K33" s="6">
        <v>0</v>
      </c>
      <c r="L33" s="6">
        <v>0</v>
      </c>
      <c r="M33" s="8">
        <v>1</v>
      </c>
      <c r="N33" s="8">
        <v>105.38</v>
      </c>
      <c r="O33" s="8">
        <v>74.8</v>
      </c>
      <c r="P33" s="10" t="s">
        <v>132</v>
      </c>
    </row>
    <row r="34" spans="1:16" x14ac:dyDescent="0.25">
      <c r="A34" t="s">
        <v>123</v>
      </c>
      <c r="B34" t="s">
        <v>76</v>
      </c>
      <c r="C34" t="s">
        <v>127</v>
      </c>
      <c r="D34">
        <v>23</v>
      </c>
      <c r="E34">
        <v>23</v>
      </c>
      <c r="F34">
        <v>20</v>
      </c>
      <c r="G34">
        <v>0</v>
      </c>
      <c r="H34">
        <v>0</v>
      </c>
      <c r="I34">
        <v>3</v>
      </c>
      <c r="J34">
        <v>0</v>
      </c>
      <c r="K34" s="6">
        <v>0.13039999999999999</v>
      </c>
      <c r="L34" s="6">
        <v>0.13039999999999999</v>
      </c>
      <c r="M34" s="8">
        <v>0.86960000000000004</v>
      </c>
      <c r="N34" s="8">
        <v>122.18</v>
      </c>
      <c r="O34" s="8">
        <v>98.8</v>
      </c>
      <c r="P34" s="10" t="s">
        <v>132</v>
      </c>
    </row>
    <row r="35" spans="1:16" x14ac:dyDescent="0.25">
      <c r="A35" t="s">
        <v>123</v>
      </c>
      <c r="B35" t="s">
        <v>76</v>
      </c>
      <c r="C35" t="s">
        <v>128</v>
      </c>
      <c r="D35">
        <v>23</v>
      </c>
      <c r="E35">
        <v>23</v>
      </c>
      <c r="F35">
        <v>18</v>
      </c>
      <c r="G35">
        <v>0</v>
      </c>
      <c r="H35">
        <v>0</v>
      </c>
      <c r="I35">
        <v>5</v>
      </c>
      <c r="J35">
        <v>0</v>
      </c>
      <c r="K35" s="6">
        <v>0.21740000000000001</v>
      </c>
      <c r="L35" s="6">
        <v>0.21740000000000001</v>
      </c>
      <c r="M35" s="8">
        <v>0.78259999999999996</v>
      </c>
      <c r="N35" s="8">
        <v>336.7</v>
      </c>
      <c r="O35" s="8">
        <v>243.2</v>
      </c>
      <c r="P35" s="10" t="s">
        <v>132</v>
      </c>
    </row>
    <row r="36" spans="1:16" x14ac:dyDescent="0.25">
      <c r="A36" t="s">
        <v>123</v>
      </c>
      <c r="B36" t="s">
        <v>80</v>
      </c>
      <c r="C36" t="s">
        <v>124</v>
      </c>
      <c r="D36">
        <v>5</v>
      </c>
      <c r="E36">
        <v>5</v>
      </c>
      <c r="F36">
        <v>5</v>
      </c>
      <c r="G36">
        <v>0</v>
      </c>
      <c r="H36">
        <v>0</v>
      </c>
      <c r="I36">
        <v>0</v>
      </c>
      <c r="J36">
        <v>0</v>
      </c>
      <c r="K36" s="6">
        <v>0</v>
      </c>
      <c r="L36" s="6">
        <v>0</v>
      </c>
      <c r="M36" s="8">
        <v>1</v>
      </c>
      <c r="N36" s="8">
        <v>122.52</v>
      </c>
      <c r="O36" s="8">
        <v>94.07</v>
      </c>
      <c r="P36" s="9" t="s">
        <v>133</v>
      </c>
    </row>
    <row r="37" spans="1:16" x14ac:dyDescent="0.25">
      <c r="A37" t="s">
        <v>123</v>
      </c>
      <c r="B37" t="s">
        <v>80</v>
      </c>
      <c r="C37" t="s">
        <v>126</v>
      </c>
      <c r="D37">
        <v>5</v>
      </c>
      <c r="E37">
        <v>5</v>
      </c>
      <c r="F37">
        <v>5</v>
      </c>
      <c r="G37">
        <v>0</v>
      </c>
      <c r="H37">
        <v>0</v>
      </c>
      <c r="I37">
        <v>0</v>
      </c>
      <c r="J37">
        <v>0</v>
      </c>
      <c r="K37" s="6">
        <v>0</v>
      </c>
      <c r="L37" s="6">
        <v>0</v>
      </c>
      <c r="M37" s="8">
        <v>1</v>
      </c>
      <c r="N37" s="8">
        <v>63.04</v>
      </c>
      <c r="O37" s="8">
        <v>54</v>
      </c>
      <c r="P37" s="9" t="s">
        <v>133</v>
      </c>
    </row>
    <row r="38" spans="1:16" x14ac:dyDescent="0.25">
      <c r="A38" t="s">
        <v>123</v>
      </c>
      <c r="B38" t="s">
        <v>80</v>
      </c>
      <c r="C38" t="s">
        <v>127</v>
      </c>
      <c r="D38">
        <v>5</v>
      </c>
      <c r="E38">
        <v>5</v>
      </c>
      <c r="F38">
        <v>4</v>
      </c>
      <c r="G38">
        <v>0</v>
      </c>
      <c r="H38">
        <v>0</v>
      </c>
      <c r="I38">
        <v>1</v>
      </c>
      <c r="J38">
        <v>0</v>
      </c>
      <c r="K38" s="6">
        <v>0.2</v>
      </c>
      <c r="L38" s="6">
        <v>0.2</v>
      </c>
      <c r="M38" s="8">
        <v>0.8</v>
      </c>
      <c r="N38" s="8">
        <v>85.08</v>
      </c>
      <c r="O38" s="8">
        <v>70.92</v>
      </c>
      <c r="P38" s="9" t="s">
        <v>133</v>
      </c>
    </row>
    <row r="39" spans="1:16" x14ac:dyDescent="0.25">
      <c r="A39" t="s">
        <v>123</v>
      </c>
      <c r="B39" t="s">
        <v>80</v>
      </c>
      <c r="C39" t="s">
        <v>128</v>
      </c>
      <c r="D39">
        <v>5</v>
      </c>
      <c r="E39">
        <v>5</v>
      </c>
      <c r="F39">
        <v>5</v>
      </c>
      <c r="G39">
        <v>0</v>
      </c>
      <c r="H39">
        <v>0</v>
      </c>
      <c r="I39">
        <v>0</v>
      </c>
      <c r="J39">
        <v>0</v>
      </c>
      <c r="K39" s="6">
        <v>0</v>
      </c>
      <c r="L39" s="6">
        <v>0</v>
      </c>
      <c r="M39" s="8">
        <v>1</v>
      </c>
      <c r="N39" s="8">
        <v>232.1</v>
      </c>
      <c r="O39" s="8">
        <v>176.47</v>
      </c>
      <c r="P39" s="9" t="s">
        <v>133</v>
      </c>
    </row>
    <row r="40" spans="1:16" x14ac:dyDescent="0.25">
      <c r="A40" t="s">
        <v>134</v>
      </c>
      <c r="B40" t="s">
        <v>79</v>
      </c>
      <c r="C40" t="s">
        <v>124</v>
      </c>
      <c r="D40">
        <v>338</v>
      </c>
      <c r="E40">
        <v>338</v>
      </c>
      <c r="F40">
        <v>338</v>
      </c>
      <c r="G40">
        <v>0</v>
      </c>
      <c r="H40">
        <v>0</v>
      </c>
      <c r="I40">
        <v>0</v>
      </c>
      <c r="J40">
        <v>0</v>
      </c>
      <c r="K40" s="6">
        <v>0</v>
      </c>
      <c r="L40" s="6">
        <v>0</v>
      </c>
      <c r="M40" s="8">
        <v>1</v>
      </c>
      <c r="N40" s="8">
        <v>594.88</v>
      </c>
      <c r="O40" s="8">
        <v>204.67</v>
      </c>
      <c r="P40" s="9" t="s">
        <v>135</v>
      </c>
    </row>
    <row r="41" spans="1:16" x14ac:dyDescent="0.25">
      <c r="A41" t="s">
        <v>134</v>
      </c>
      <c r="B41" t="s">
        <v>79</v>
      </c>
      <c r="C41" t="s">
        <v>126</v>
      </c>
      <c r="D41">
        <v>264</v>
      </c>
      <c r="E41">
        <v>169</v>
      </c>
      <c r="F41">
        <v>169</v>
      </c>
      <c r="G41">
        <v>0</v>
      </c>
      <c r="H41">
        <v>95</v>
      </c>
      <c r="I41">
        <v>0</v>
      </c>
      <c r="J41">
        <v>0</v>
      </c>
      <c r="K41" s="6">
        <v>0</v>
      </c>
      <c r="L41" s="6">
        <v>0</v>
      </c>
      <c r="M41" s="8">
        <v>1</v>
      </c>
      <c r="N41" s="8">
        <v>430.37</v>
      </c>
      <c r="O41" s="8">
        <v>108</v>
      </c>
      <c r="P41" s="9" t="s">
        <v>136</v>
      </c>
    </row>
    <row r="42" spans="1:16" x14ac:dyDescent="0.25">
      <c r="A42" t="s">
        <v>134</v>
      </c>
      <c r="B42" t="s">
        <v>79</v>
      </c>
      <c r="C42" t="s">
        <v>127</v>
      </c>
      <c r="D42">
        <v>169</v>
      </c>
      <c r="E42">
        <v>169</v>
      </c>
      <c r="F42">
        <v>169</v>
      </c>
      <c r="G42">
        <v>0</v>
      </c>
      <c r="H42">
        <v>0</v>
      </c>
      <c r="I42">
        <v>0</v>
      </c>
      <c r="J42">
        <v>0</v>
      </c>
      <c r="K42" s="6">
        <v>0</v>
      </c>
      <c r="L42" s="6">
        <v>0</v>
      </c>
      <c r="M42" s="8">
        <v>1</v>
      </c>
      <c r="N42" s="8">
        <v>500.42</v>
      </c>
      <c r="O42" s="8">
        <v>128</v>
      </c>
      <c r="P42" s="9" t="s">
        <v>136</v>
      </c>
    </row>
    <row r="43" spans="1:16" x14ac:dyDescent="0.25">
      <c r="A43" t="s">
        <v>134</v>
      </c>
      <c r="B43" t="s">
        <v>79</v>
      </c>
      <c r="C43" t="s">
        <v>128</v>
      </c>
      <c r="D43">
        <v>243</v>
      </c>
      <c r="E43">
        <v>243</v>
      </c>
      <c r="F43">
        <v>242</v>
      </c>
      <c r="G43">
        <v>0</v>
      </c>
      <c r="H43">
        <v>0</v>
      </c>
      <c r="I43">
        <v>1</v>
      </c>
      <c r="J43">
        <v>0</v>
      </c>
      <c r="K43" s="6">
        <v>4.1000000000000003E-3</v>
      </c>
      <c r="L43" s="6">
        <v>4.1000000000000003E-3</v>
      </c>
      <c r="M43" s="8">
        <v>0.99590000000000001</v>
      </c>
      <c r="N43" s="8">
        <v>973.09</v>
      </c>
      <c r="O43" s="8">
        <v>325.36</v>
      </c>
      <c r="P43" s="9" t="s">
        <v>137</v>
      </c>
    </row>
    <row r="44" spans="1:16" x14ac:dyDescent="0.25">
      <c r="A44" t="s">
        <v>134</v>
      </c>
      <c r="B44" t="s">
        <v>78</v>
      </c>
      <c r="C44" t="s">
        <v>124</v>
      </c>
      <c r="D44">
        <v>314</v>
      </c>
      <c r="E44">
        <v>314</v>
      </c>
      <c r="F44">
        <v>313</v>
      </c>
      <c r="G44">
        <v>0</v>
      </c>
      <c r="H44">
        <v>0</v>
      </c>
      <c r="I44">
        <v>1</v>
      </c>
      <c r="J44">
        <v>0</v>
      </c>
      <c r="K44" s="6">
        <v>3.2000000000000002E-3</v>
      </c>
      <c r="L44" s="6">
        <v>3.2000000000000002E-3</v>
      </c>
      <c r="M44" s="8">
        <v>0.99680000000000002</v>
      </c>
      <c r="N44" s="8">
        <v>275.81</v>
      </c>
      <c r="O44" s="8">
        <v>105.57</v>
      </c>
      <c r="P44" s="9" t="s">
        <v>138</v>
      </c>
    </row>
    <row r="45" spans="1:16" x14ac:dyDescent="0.25">
      <c r="A45" t="s">
        <v>134</v>
      </c>
      <c r="B45" t="s">
        <v>78</v>
      </c>
      <c r="C45" t="s">
        <v>126</v>
      </c>
      <c r="D45">
        <v>264</v>
      </c>
      <c r="E45">
        <v>157</v>
      </c>
      <c r="F45">
        <v>157</v>
      </c>
      <c r="G45">
        <v>0</v>
      </c>
      <c r="H45">
        <v>107</v>
      </c>
      <c r="I45">
        <v>0</v>
      </c>
      <c r="J45">
        <v>0</v>
      </c>
      <c r="K45" s="6">
        <v>0</v>
      </c>
      <c r="L45" s="6">
        <v>0</v>
      </c>
      <c r="M45" s="8">
        <v>1</v>
      </c>
      <c r="N45" s="8">
        <v>170.65</v>
      </c>
      <c r="O45" s="8">
        <v>85.57</v>
      </c>
      <c r="P45" s="9" t="s">
        <v>139</v>
      </c>
    </row>
    <row r="46" spans="1:16" x14ac:dyDescent="0.25">
      <c r="A46" t="s">
        <v>134</v>
      </c>
      <c r="B46" t="s">
        <v>78</v>
      </c>
      <c r="C46" t="s">
        <v>127</v>
      </c>
      <c r="D46">
        <v>157</v>
      </c>
      <c r="E46">
        <v>157</v>
      </c>
      <c r="F46">
        <v>157</v>
      </c>
      <c r="G46">
        <v>0</v>
      </c>
      <c r="H46">
        <v>0</v>
      </c>
      <c r="I46">
        <v>0</v>
      </c>
      <c r="J46">
        <v>0</v>
      </c>
      <c r="K46" s="6">
        <v>0</v>
      </c>
      <c r="L46" s="6">
        <v>0</v>
      </c>
      <c r="M46" s="8">
        <v>1</v>
      </c>
      <c r="N46" s="8">
        <v>198.98</v>
      </c>
      <c r="O46" s="8">
        <v>92.71</v>
      </c>
      <c r="P46" s="9" t="s">
        <v>139</v>
      </c>
    </row>
    <row r="47" spans="1:16" x14ac:dyDescent="0.25">
      <c r="A47" t="s">
        <v>134</v>
      </c>
      <c r="B47" t="s">
        <v>78</v>
      </c>
      <c r="C47" t="s">
        <v>128</v>
      </c>
      <c r="D47">
        <v>265</v>
      </c>
      <c r="E47">
        <v>265</v>
      </c>
      <c r="F47">
        <v>262</v>
      </c>
      <c r="G47">
        <v>0</v>
      </c>
      <c r="H47">
        <v>0</v>
      </c>
      <c r="I47">
        <v>3</v>
      </c>
      <c r="J47">
        <v>0</v>
      </c>
      <c r="K47" s="6">
        <v>1.1299999999999999E-2</v>
      </c>
      <c r="L47" s="6">
        <v>1.1299999999999999E-2</v>
      </c>
      <c r="M47" s="8">
        <v>0.98870000000000002</v>
      </c>
      <c r="N47" s="8">
        <v>563.97</v>
      </c>
      <c r="O47" s="8">
        <v>328.43</v>
      </c>
      <c r="P47" s="9" t="s">
        <v>140</v>
      </c>
    </row>
    <row r="48" spans="1:16" x14ac:dyDescent="0.25">
      <c r="A48" t="s">
        <v>134</v>
      </c>
      <c r="B48" t="s">
        <v>75</v>
      </c>
      <c r="C48" t="s">
        <v>124</v>
      </c>
      <c r="D48">
        <v>1888</v>
      </c>
      <c r="E48">
        <v>1888</v>
      </c>
      <c r="F48">
        <v>1880</v>
      </c>
      <c r="G48">
        <v>0</v>
      </c>
      <c r="H48">
        <v>0</v>
      </c>
      <c r="I48">
        <v>8</v>
      </c>
      <c r="J48">
        <v>0</v>
      </c>
      <c r="K48" s="6">
        <v>4.1999999999999997E-3</v>
      </c>
      <c r="L48" s="6">
        <v>4.1999999999999997E-3</v>
      </c>
      <c r="M48" s="8">
        <v>0.99580000000000002</v>
      </c>
      <c r="N48" s="8">
        <v>215.48</v>
      </c>
      <c r="O48" s="8">
        <v>87.25</v>
      </c>
      <c r="P48" s="9" t="s">
        <v>141</v>
      </c>
    </row>
    <row r="49" spans="1:16" x14ac:dyDescent="0.25">
      <c r="A49" t="s">
        <v>134</v>
      </c>
      <c r="B49" t="s">
        <v>75</v>
      </c>
      <c r="C49" t="s">
        <v>126</v>
      </c>
      <c r="D49">
        <v>1710</v>
      </c>
      <c r="E49">
        <v>944</v>
      </c>
      <c r="F49">
        <v>943</v>
      </c>
      <c r="G49">
        <v>0</v>
      </c>
      <c r="H49">
        <v>766</v>
      </c>
      <c r="I49">
        <v>1</v>
      </c>
      <c r="J49">
        <v>0</v>
      </c>
      <c r="K49" s="6">
        <v>1.1000000000000001E-3</v>
      </c>
      <c r="L49" s="6">
        <v>1.1000000000000001E-3</v>
      </c>
      <c r="M49" s="8">
        <v>0.99890000000000001</v>
      </c>
      <c r="N49" s="8">
        <v>142.99</v>
      </c>
      <c r="O49" s="8">
        <v>52.25</v>
      </c>
      <c r="P49" s="9" t="s">
        <v>142</v>
      </c>
    </row>
    <row r="50" spans="1:16" x14ac:dyDescent="0.25">
      <c r="A50" t="s">
        <v>134</v>
      </c>
      <c r="B50" t="s">
        <v>75</v>
      </c>
      <c r="C50" t="s">
        <v>127</v>
      </c>
      <c r="D50">
        <v>944</v>
      </c>
      <c r="E50">
        <v>944</v>
      </c>
      <c r="F50">
        <v>921</v>
      </c>
      <c r="G50">
        <v>0</v>
      </c>
      <c r="H50">
        <v>0</v>
      </c>
      <c r="I50">
        <v>23</v>
      </c>
      <c r="J50">
        <v>0</v>
      </c>
      <c r="K50" s="6">
        <v>2.4400000000000002E-2</v>
      </c>
      <c r="L50" s="6">
        <v>2.4400000000000002E-2</v>
      </c>
      <c r="M50" s="8">
        <v>0.97560000000000002</v>
      </c>
      <c r="N50" s="8">
        <v>163.16999999999999</v>
      </c>
      <c r="O50" s="8">
        <v>67.25</v>
      </c>
      <c r="P50" s="9" t="s">
        <v>142</v>
      </c>
    </row>
    <row r="51" spans="1:16" x14ac:dyDescent="0.25">
      <c r="A51" t="s">
        <v>134</v>
      </c>
      <c r="B51" t="s">
        <v>75</v>
      </c>
      <c r="C51" t="s">
        <v>128</v>
      </c>
      <c r="D51">
        <v>1473</v>
      </c>
      <c r="E51">
        <v>1473</v>
      </c>
      <c r="F51">
        <v>1462</v>
      </c>
      <c r="G51">
        <v>0</v>
      </c>
      <c r="H51">
        <v>0</v>
      </c>
      <c r="I51">
        <v>11</v>
      </c>
      <c r="J51">
        <v>0</v>
      </c>
      <c r="K51" s="6">
        <v>7.4999999999999997E-3</v>
      </c>
      <c r="L51" s="6">
        <v>7.4999999999999997E-3</v>
      </c>
      <c r="M51" s="8">
        <v>0.99250000000000005</v>
      </c>
      <c r="N51" s="8">
        <v>505.77</v>
      </c>
      <c r="O51" s="8">
        <v>176</v>
      </c>
      <c r="P51" s="9" t="s">
        <v>143</v>
      </c>
    </row>
    <row r="52" spans="1:16" x14ac:dyDescent="0.25">
      <c r="A52" t="s">
        <v>134</v>
      </c>
      <c r="B52" t="s">
        <v>77</v>
      </c>
      <c r="C52" t="s">
        <v>124</v>
      </c>
      <c r="D52">
        <v>192</v>
      </c>
      <c r="E52">
        <v>192</v>
      </c>
      <c r="F52">
        <v>191</v>
      </c>
      <c r="G52">
        <v>0</v>
      </c>
      <c r="H52">
        <v>0</v>
      </c>
      <c r="I52">
        <v>1</v>
      </c>
      <c r="J52">
        <v>0</v>
      </c>
      <c r="K52" s="6">
        <v>5.1999999999999998E-3</v>
      </c>
      <c r="L52" s="6">
        <v>5.1999999999999998E-3</v>
      </c>
      <c r="M52" s="8">
        <v>0.99480000000000002</v>
      </c>
      <c r="N52" s="8">
        <v>452.78</v>
      </c>
      <c r="O52" s="8">
        <v>133.25</v>
      </c>
      <c r="P52" s="9" t="s">
        <v>144</v>
      </c>
    </row>
    <row r="53" spans="1:16" x14ac:dyDescent="0.25">
      <c r="A53" t="s">
        <v>134</v>
      </c>
      <c r="B53" t="s">
        <v>77</v>
      </c>
      <c r="C53" t="s">
        <v>126</v>
      </c>
      <c r="D53">
        <v>125</v>
      </c>
      <c r="E53">
        <v>96</v>
      </c>
      <c r="F53">
        <v>96</v>
      </c>
      <c r="G53">
        <v>0</v>
      </c>
      <c r="H53">
        <v>29</v>
      </c>
      <c r="I53">
        <v>0</v>
      </c>
      <c r="J53">
        <v>0</v>
      </c>
      <c r="K53" s="6">
        <v>0</v>
      </c>
      <c r="L53" s="6">
        <v>0</v>
      </c>
      <c r="M53" s="8">
        <v>1</v>
      </c>
      <c r="N53" s="8">
        <v>292.20999999999998</v>
      </c>
      <c r="O53" s="8">
        <v>85.75</v>
      </c>
      <c r="P53" s="9" t="s">
        <v>145</v>
      </c>
    </row>
    <row r="54" spans="1:16" x14ac:dyDescent="0.25">
      <c r="A54" t="s">
        <v>134</v>
      </c>
      <c r="B54" t="s">
        <v>77</v>
      </c>
      <c r="C54" t="s">
        <v>127</v>
      </c>
      <c r="D54">
        <v>96</v>
      </c>
      <c r="E54">
        <v>96</v>
      </c>
      <c r="F54">
        <v>96</v>
      </c>
      <c r="G54">
        <v>0</v>
      </c>
      <c r="H54">
        <v>0</v>
      </c>
      <c r="I54">
        <v>0</v>
      </c>
      <c r="J54">
        <v>0</v>
      </c>
      <c r="K54" s="6">
        <v>0</v>
      </c>
      <c r="L54" s="6">
        <v>0</v>
      </c>
      <c r="M54" s="8">
        <v>1</v>
      </c>
      <c r="N54" s="8">
        <v>321.20999999999998</v>
      </c>
      <c r="O54" s="8">
        <v>91.58</v>
      </c>
      <c r="P54" s="9" t="s">
        <v>145</v>
      </c>
    </row>
    <row r="55" spans="1:16" x14ac:dyDescent="0.25">
      <c r="A55" t="s">
        <v>134</v>
      </c>
      <c r="B55" t="s">
        <v>77</v>
      </c>
      <c r="C55" t="s">
        <v>128</v>
      </c>
      <c r="D55">
        <v>137</v>
      </c>
      <c r="E55">
        <v>137</v>
      </c>
      <c r="F55">
        <v>134</v>
      </c>
      <c r="G55">
        <v>0</v>
      </c>
      <c r="H55">
        <v>0</v>
      </c>
      <c r="I55">
        <v>3</v>
      </c>
      <c r="J55">
        <v>0</v>
      </c>
      <c r="K55" s="6">
        <v>2.1899999999999999E-2</v>
      </c>
      <c r="L55" s="6">
        <v>2.1899999999999999E-2</v>
      </c>
      <c r="M55" s="8">
        <v>0.97809999999999997</v>
      </c>
      <c r="N55" s="8">
        <v>788.45</v>
      </c>
      <c r="O55" s="8">
        <v>360.9</v>
      </c>
      <c r="P55" s="9" t="s">
        <v>146</v>
      </c>
    </row>
    <row r="56" spans="1:16" x14ac:dyDescent="0.25">
      <c r="A56" t="s">
        <v>134</v>
      </c>
      <c r="B56" t="s">
        <v>76</v>
      </c>
      <c r="C56" t="s">
        <v>124</v>
      </c>
      <c r="D56">
        <v>418</v>
      </c>
      <c r="E56">
        <v>417</v>
      </c>
      <c r="F56">
        <v>410</v>
      </c>
      <c r="G56">
        <v>0</v>
      </c>
      <c r="H56">
        <v>1</v>
      </c>
      <c r="I56">
        <v>7</v>
      </c>
      <c r="J56">
        <v>0</v>
      </c>
      <c r="K56" s="6">
        <v>1.6799999999999999E-2</v>
      </c>
      <c r="L56" s="6">
        <v>1.6799999999999999E-2</v>
      </c>
      <c r="M56" s="8">
        <v>0.98319999999999996</v>
      </c>
      <c r="N56" s="8">
        <v>393.92</v>
      </c>
      <c r="O56" s="8">
        <v>108.5</v>
      </c>
      <c r="P56" s="9" t="s">
        <v>147</v>
      </c>
    </row>
    <row r="57" spans="1:16" x14ac:dyDescent="0.25">
      <c r="A57" t="s">
        <v>134</v>
      </c>
      <c r="B57" t="s">
        <v>76</v>
      </c>
      <c r="C57" t="s">
        <v>126</v>
      </c>
      <c r="D57">
        <v>295</v>
      </c>
      <c r="E57">
        <v>209</v>
      </c>
      <c r="F57">
        <v>205</v>
      </c>
      <c r="G57">
        <v>0</v>
      </c>
      <c r="H57">
        <v>86</v>
      </c>
      <c r="I57">
        <v>4</v>
      </c>
      <c r="J57">
        <v>0</v>
      </c>
      <c r="K57" s="6">
        <v>1.9099999999999999E-2</v>
      </c>
      <c r="L57" s="6">
        <v>1.9099999999999999E-2</v>
      </c>
      <c r="M57" s="8">
        <v>0.98089999999999999</v>
      </c>
      <c r="N57" s="8">
        <v>246.25</v>
      </c>
      <c r="O57" s="8">
        <v>69.209999999999994</v>
      </c>
      <c r="P57" s="9" t="s">
        <v>148</v>
      </c>
    </row>
    <row r="58" spans="1:16" x14ac:dyDescent="0.25">
      <c r="A58" t="s">
        <v>134</v>
      </c>
      <c r="B58" t="s">
        <v>76</v>
      </c>
      <c r="C58" t="s">
        <v>127</v>
      </c>
      <c r="D58">
        <v>209</v>
      </c>
      <c r="E58">
        <v>209</v>
      </c>
      <c r="F58">
        <v>181</v>
      </c>
      <c r="G58">
        <v>0</v>
      </c>
      <c r="H58">
        <v>0</v>
      </c>
      <c r="I58">
        <v>28</v>
      </c>
      <c r="J58">
        <v>0</v>
      </c>
      <c r="K58" s="6">
        <v>0.13400000000000001</v>
      </c>
      <c r="L58" s="6">
        <v>0.13400000000000001</v>
      </c>
      <c r="M58" s="8">
        <v>0.86599999999999999</v>
      </c>
      <c r="N58" s="8">
        <v>275.79000000000002</v>
      </c>
      <c r="O58" s="8">
        <v>78.5</v>
      </c>
      <c r="P58" s="9" t="s">
        <v>148</v>
      </c>
    </row>
    <row r="59" spans="1:16" x14ac:dyDescent="0.25">
      <c r="A59" t="s">
        <v>134</v>
      </c>
      <c r="B59" t="s">
        <v>76</v>
      </c>
      <c r="C59" t="s">
        <v>128</v>
      </c>
      <c r="D59">
        <v>308</v>
      </c>
      <c r="E59">
        <v>308</v>
      </c>
      <c r="F59">
        <v>302</v>
      </c>
      <c r="G59">
        <v>0</v>
      </c>
      <c r="H59">
        <v>0</v>
      </c>
      <c r="I59">
        <v>6</v>
      </c>
      <c r="J59">
        <v>0</v>
      </c>
      <c r="K59" s="6">
        <v>1.95E-2</v>
      </c>
      <c r="L59" s="6">
        <v>1.95E-2</v>
      </c>
      <c r="M59" s="8">
        <v>0.98050000000000004</v>
      </c>
      <c r="N59" s="8">
        <v>709.92</v>
      </c>
      <c r="O59" s="8">
        <v>177.18</v>
      </c>
      <c r="P59" s="9" t="s">
        <v>149</v>
      </c>
    </row>
  </sheetData>
  <autoFilter ref="A15:P59"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V97"/>
  <sheetViews>
    <sheetView zoomScale="70" zoomScaleNormal="70" workbookViewId="0">
      <pane ySplit="23" topLeftCell="A47" activePane="bottomLeft" state="frozen"/>
      <selection pane="bottomLeft" activeCell="L47" sqref="L47"/>
    </sheetView>
  </sheetViews>
  <sheetFormatPr defaultRowHeight="15" x14ac:dyDescent="0.25"/>
  <cols>
    <col min="1" max="1" width="23" customWidth="1"/>
    <col min="2" max="2" width="10" customWidth="1"/>
    <col min="3" max="3" width="17" customWidth="1"/>
    <col min="4" max="4" width="13" customWidth="1"/>
    <col min="5" max="5" width="10" customWidth="1"/>
    <col min="6" max="6" width="17" customWidth="1"/>
    <col min="7" max="7" width="9" customWidth="1"/>
    <col min="8" max="8" width="13" customWidth="1"/>
    <col min="9" max="10" width="10" customWidth="1"/>
    <col min="11" max="12" width="16" customWidth="1"/>
    <col min="13" max="13" width="26" customWidth="1"/>
    <col min="14" max="14" width="13" customWidth="1"/>
    <col min="15" max="15" width="16" customWidth="1"/>
    <col min="16" max="17" width="12" customWidth="1"/>
    <col min="18" max="18" width="15" customWidth="1"/>
    <col min="19" max="19" width="27" customWidth="1"/>
    <col min="20" max="20" width="21" customWidth="1"/>
    <col min="21" max="21" width="17" customWidth="1"/>
    <col min="22" max="22" width="23" customWidth="1"/>
  </cols>
  <sheetData>
    <row r="1" spans="1:1" ht="17.25" x14ac:dyDescent="0.3">
      <c r="A1" s="1" t="s">
        <v>34</v>
      </c>
    </row>
    <row r="2" spans="1:1" x14ac:dyDescent="0.25">
      <c r="A2" s="2" t="s">
        <v>36</v>
      </c>
    </row>
    <row r="3" spans="1:1" x14ac:dyDescent="0.25">
      <c r="A3" s="2" t="s">
        <v>98</v>
      </c>
    </row>
    <row r="4" spans="1:1" x14ac:dyDescent="0.25">
      <c r="A4" s="2" t="s">
        <v>150</v>
      </c>
    </row>
    <row r="6" spans="1:1" x14ac:dyDescent="0.25">
      <c r="A6" s="7" t="s">
        <v>100</v>
      </c>
    </row>
    <row r="7" spans="1:1" x14ac:dyDescent="0.25">
      <c r="A7" s="7" t="s">
        <v>151</v>
      </c>
    </row>
    <row r="8" spans="1:1" x14ac:dyDescent="0.25">
      <c r="A8" s="7" t="s">
        <v>152</v>
      </c>
    </row>
    <row r="9" spans="1:1" x14ac:dyDescent="0.25">
      <c r="A9" s="7" t="s">
        <v>153</v>
      </c>
    </row>
    <row r="10" spans="1:1" x14ac:dyDescent="0.25">
      <c r="A10" s="2" t="s">
        <v>154</v>
      </c>
    </row>
    <row r="11" spans="1:1" x14ac:dyDescent="0.25">
      <c r="A11" s="2" t="s">
        <v>155</v>
      </c>
    </row>
    <row r="12" spans="1:1" x14ac:dyDescent="0.25">
      <c r="A12" s="2" t="s">
        <v>156</v>
      </c>
    </row>
    <row r="13" spans="1:1" x14ac:dyDescent="0.25">
      <c r="A13" s="2" t="s">
        <v>157</v>
      </c>
    </row>
    <row r="14" spans="1:1" x14ac:dyDescent="0.25">
      <c r="A14" s="2" t="s">
        <v>158</v>
      </c>
    </row>
    <row r="15" spans="1:1" x14ac:dyDescent="0.25">
      <c r="A15" s="2" t="s">
        <v>159</v>
      </c>
    </row>
    <row r="16" spans="1:1" x14ac:dyDescent="0.25">
      <c r="A16" s="2" t="s">
        <v>160</v>
      </c>
    </row>
    <row r="17" spans="1:22" x14ac:dyDescent="0.25">
      <c r="A17" s="2" t="s">
        <v>161</v>
      </c>
    </row>
    <row r="18" spans="1:22" x14ac:dyDescent="0.25">
      <c r="A18" s="2" t="s">
        <v>162</v>
      </c>
    </row>
    <row r="19" spans="1:22" x14ac:dyDescent="0.25">
      <c r="A19" s="2" t="s">
        <v>163</v>
      </c>
    </row>
    <row r="20" spans="1:22" x14ac:dyDescent="0.25">
      <c r="A20" s="2" t="s">
        <v>164</v>
      </c>
    </row>
    <row r="21" spans="1:22" x14ac:dyDescent="0.25">
      <c r="A21" s="2" t="s">
        <v>165</v>
      </c>
    </row>
    <row r="23" spans="1:22" x14ac:dyDescent="0.25">
      <c r="A23" s="5" t="s">
        <v>108</v>
      </c>
      <c r="B23" s="5" t="s">
        <v>166</v>
      </c>
      <c r="C23" s="5" t="s">
        <v>69</v>
      </c>
      <c r="D23" s="5" t="s">
        <v>167</v>
      </c>
      <c r="E23" s="5" t="s">
        <v>71</v>
      </c>
      <c r="F23" s="5" t="s">
        <v>168</v>
      </c>
      <c r="G23" s="5" t="s">
        <v>110</v>
      </c>
      <c r="H23" s="5" t="s">
        <v>169</v>
      </c>
      <c r="I23" s="5" t="s">
        <v>170</v>
      </c>
      <c r="J23" s="5" t="s">
        <v>171</v>
      </c>
      <c r="K23" s="5" t="s">
        <v>172</v>
      </c>
      <c r="L23" s="5" t="s">
        <v>118</v>
      </c>
      <c r="M23" s="5" t="s">
        <v>173</v>
      </c>
      <c r="N23" s="5" t="s">
        <v>174</v>
      </c>
      <c r="O23" s="5" t="s">
        <v>111</v>
      </c>
      <c r="P23" s="5" t="s">
        <v>175</v>
      </c>
      <c r="Q23" s="5" t="s">
        <v>176</v>
      </c>
      <c r="R23" s="5" t="s">
        <v>177</v>
      </c>
      <c r="S23" s="5" t="s">
        <v>122</v>
      </c>
      <c r="T23" s="5" t="s">
        <v>178</v>
      </c>
      <c r="U23" s="5" t="s">
        <v>179</v>
      </c>
      <c r="V23" s="5" t="s">
        <v>180</v>
      </c>
    </row>
    <row r="24" spans="1:22" hidden="1" x14ac:dyDescent="0.25">
      <c r="A24" t="s">
        <v>123</v>
      </c>
      <c r="B24" t="s">
        <v>181</v>
      </c>
      <c r="C24" t="s">
        <v>79</v>
      </c>
      <c r="D24" t="s">
        <v>182</v>
      </c>
      <c r="E24">
        <v>1</v>
      </c>
      <c r="F24">
        <v>1</v>
      </c>
      <c r="G24">
        <v>3</v>
      </c>
      <c r="H24" s="8">
        <v>138.43</v>
      </c>
      <c r="I24" s="8">
        <v>138.43</v>
      </c>
      <c r="J24" s="8">
        <v>138.43</v>
      </c>
      <c r="K24" s="6">
        <v>0</v>
      </c>
      <c r="L24" s="6">
        <v>0</v>
      </c>
      <c r="M24" s="6">
        <v>0</v>
      </c>
      <c r="O24">
        <v>3</v>
      </c>
      <c r="P24" t="s">
        <v>183</v>
      </c>
      <c r="Q24" t="s">
        <v>183</v>
      </c>
      <c r="R24">
        <v>7</v>
      </c>
      <c r="S24" s="9" t="s">
        <v>184</v>
      </c>
      <c r="U24" t="s">
        <v>185</v>
      </c>
      <c r="V24" s="6">
        <v>74.8</v>
      </c>
    </row>
    <row r="25" spans="1:22" hidden="1" x14ac:dyDescent="0.25">
      <c r="A25" t="s">
        <v>134</v>
      </c>
      <c r="B25" t="s">
        <v>181</v>
      </c>
      <c r="C25" t="s">
        <v>79</v>
      </c>
      <c r="D25" t="s">
        <v>182</v>
      </c>
      <c r="E25">
        <v>1</v>
      </c>
      <c r="F25">
        <v>1</v>
      </c>
      <c r="G25">
        <v>4</v>
      </c>
      <c r="H25" s="8">
        <v>227</v>
      </c>
      <c r="I25" s="8">
        <v>227</v>
      </c>
      <c r="J25" s="8">
        <v>227</v>
      </c>
      <c r="K25" s="6">
        <v>0</v>
      </c>
      <c r="L25" s="6">
        <v>0</v>
      </c>
      <c r="M25" s="6">
        <v>0</v>
      </c>
      <c r="N25" s="6">
        <v>0.75</v>
      </c>
      <c r="O25">
        <v>3</v>
      </c>
      <c r="P25" t="s">
        <v>186</v>
      </c>
      <c r="Q25" t="s">
        <v>186</v>
      </c>
      <c r="R25">
        <v>7</v>
      </c>
      <c r="S25" s="9" t="s">
        <v>184</v>
      </c>
      <c r="T25" s="6">
        <v>64</v>
      </c>
      <c r="U25" t="s">
        <v>185</v>
      </c>
      <c r="V25" s="6">
        <v>92.4</v>
      </c>
    </row>
    <row r="26" spans="1:22" hidden="1" x14ac:dyDescent="0.25">
      <c r="A26" t="s">
        <v>123</v>
      </c>
      <c r="B26" t="s">
        <v>187</v>
      </c>
      <c r="C26" t="s">
        <v>79</v>
      </c>
      <c r="D26" t="s">
        <v>182</v>
      </c>
      <c r="E26">
        <v>9</v>
      </c>
      <c r="F26">
        <v>9</v>
      </c>
      <c r="G26">
        <v>27</v>
      </c>
      <c r="H26" s="8">
        <v>142</v>
      </c>
      <c r="I26" s="8">
        <v>139.86000000000001</v>
      </c>
      <c r="J26" s="8">
        <v>145.57</v>
      </c>
      <c r="K26" s="6">
        <v>4</v>
      </c>
      <c r="L26" s="6">
        <v>0</v>
      </c>
      <c r="M26" s="6">
        <v>0</v>
      </c>
      <c r="O26">
        <v>27</v>
      </c>
      <c r="P26" t="s">
        <v>188</v>
      </c>
      <c r="Q26" t="s">
        <v>189</v>
      </c>
      <c r="R26">
        <v>7</v>
      </c>
      <c r="S26" s="10" t="s">
        <v>190</v>
      </c>
      <c r="U26" t="s">
        <v>185</v>
      </c>
      <c r="V26" s="6">
        <v>76.7</v>
      </c>
    </row>
    <row r="27" spans="1:22" hidden="1" x14ac:dyDescent="0.25">
      <c r="A27" t="s">
        <v>134</v>
      </c>
      <c r="B27" t="s">
        <v>187</v>
      </c>
      <c r="C27" t="s">
        <v>79</v>
      </c>
      <c r="D27" t="s">
        <v>182</v>
      </c>
      <c r="E27">
        <v>4</v>
      </c>
      <c r="F27">
        <v>4</v>
      </c>
      <c r="G27">
        <v>16</v>
      </c>
      <c r="H27" s="8">
        <v>197.71</v>
      </c>
      <c r="I27" s="8">
        <v>191.29</v>
      </c>
      <c r="J27" s="8">
        <v>204.14</v>
      </c>
      <c r="K27" s="6">
        <v>6.5</v>
      </c>
      <c r="L27" s="6">
        <v>0</v>
      </c>
      <c r="M27" s="6">
        <v>0</v>
      </c>
      <c r="N27" s="6">
        <v>0.75</v>
      </c>
      <c r="O27">
        <v>12</v>
      </c>
      <c r="P27" t="s">
        <v>191</v>
      </c>
      <c r="Q27" t="s">
        <v>192</v>
      </c>
      <c r="R27">
        <v>7</v>
      </c>
      <c r="S27" s="9" t="s">
        <v>193</v>
      </c>
      <c r="T27" s="6">
        <v>39.200000000000003</v>
      </c>
      <c r="U27" t="s">
        <v>185</v>
      </c>
      <c r="V27" s="6">
        <v>80.5</v>
      </c>
    </row>
    <row r="28" spans="1:22" hidden="1" x14ac:dyDescent="0.25">
      <c r="A28" t="s">
        <v>123</v>
      </c>
      <c r="B28" t="s">
        <v>194</v>
      </c>
      <c r="C28" t="s">
        <v>79</v>
      </c>
      <c r="D28" t="s">
        <v>182</v>
      </c>
      <c r="E28">
        <v>9</v>
      </c>
      <c r="F28">
        <v>9</v>
      </c>
      <c r="G28">
        <v>27</v>
      </c>
      <c r="H28" s="8">
        <v>189.14</v>
      </c>
      <c r="I28" s="8">
        <v>186.29</v>
      </c>
      <c r="J28" s="8">
        <v>190.57</v>
      </c>
      <c r="K28" s="6">
        <v>2.2999999999999998</v>
      </c>
      <c r="L28" s="6">
        <v>0</v>
      </c>
      <c r="M28" s="6">
        <v>0</v>
      </c>
      <c r="O28">
        <v>27</v>
      </c>
      <c r="P28" t="s">
        <v>195</v>
      </c>
      <c r="Q28" t="s">
        <v>196</v>
      </c>
      <c r="R28">
        <v>7</v>
      </c>
      <c r="S28" s="10" t="s">
        <v>190</v>
      </c>
      <c r="U28" t="s">
        <v>185</v>
      </c>
      <c r="V28" s="6">
        <v>102.2</v>
      </c>
    </row>
    <row r="29" spans="1:22" hidden="1" x14ac:dyDescent="0.25">
      <c r="A29" t="s">
        <v>123</v>
      </c>
      <c r="B29" t="s">
        <v>185</v>
      </c>
      <c r="C29" t="s">
        <v>79</v>
      </c>
      <c r="D29" t="s">
        <v>182</v>
      </c>
      <c r="E29">
        <v>23</v>
      </c>
      <c r="F29">
        <v>23</v>
      </c>
      <c r="G29">
        <v>69</v>
      </c>
      <c r="H29" s="8">
        <v>185.14</v>
      </c>
      <c r="I29" s="8">
        <v>166.57</v>
      </c>
      <c r="J29" s="8">
        <v>200.86</v>
      </c>
      <c r="K29" s="6">
        <v>18.5</v>
      </c>
      <c r="L29" s="6">
        <v>0</v>
      </c>
      <c r="M29" s="6">
        <v>0</v>
      </c>
      <c r="O29">
        <v>69</v>
      </c>
      <c r="P29" t="s">
        <v>197</v>
      </c>
      <c r="Q29" t="s">
        <v>198</v>
      </c>
      <c r="R29">
        <v>7</v>
      </c>
      <c r="S29" s="10" t="s">
        <v>199</v>
      </c>
      <c r="U29" t="s">
        <v>185</v>
      </c>
      <c r="V29" s="6">
        <v>100</v>
      </c>
    </row>
    <row r="30" spans="1:22" hidden="1" x14ac:dyDescent="0.25">
      <c r="A30" t="s">
        <v>134</v>
      </c>
      <c r="B30" t="s">
        <v>185</v>
      </c>
      <c r="C30" t="s">
        <v>79</v>
      </c>
      <c r="D30" t="s">
        <v>182</v>
      </c>
      <c r="E30">
        <v>13</v>
      </c>
      <c r="F30">
        <v>13</v>
      </c>
      <c r="G30">
        <v>44</v>
      </c>
      <c r="H30" s="8">
        <v>245.57</v>
      </c>
      <c r="I30" s="8">
        <v>235.57</v>
      </c>
      <c r="J30" s="8">
        <v>261.29000000000002</v>
      </c>
      <c r="K30" s="6">
        <v>10.5</v>
      </c>
      <c r="L30" s="6">
        <v>0</v>
      </c>
      <c r="M30" s="6">
        <v>0</v>
      </c>
      <c r="N30" s="6">
        <v>0.88639999999999997</v>
      </c>
      <c r="O30">
        <v>39</v>
      </c>
      <c r="P30" t="s">
        <v>200</v>
      </c>
      <c r="Q30" t="s">
        <v>201</v>
      </c>
      <c r="R30">
        <v>7</v>
      </c>
      <c r="S30" s="10" t="s">
        <v>202</v>
      </c>
      <c r="T30" s="6">
        <v>32.6</v>
      </c>
      <c r="U30" t="s">
        <v>185</v>
      </c>
      <c r="V30" s="6">
        <v>100</v>
      </c>
    </row>
    <row r="31" spans="1:22" hidden="1" x14ac:dyDescent="0.25">
      <c r="A31" t="s">
        <v>134</v>
      </c>
      <c r="B31" t="s">
        <v>203</v>
      </c>
      <c r="C31" t="s">
        <v>79</v>
      </c>
      <c r="D31" t="s">
        <v>182</v>
      </c>
      <c r="E31">
        <v>4</v>
      </c>
      <c r="F31">
        <v>4</v>
      </c>
      <c r="G31">
        <v>16</v>
      </c>
      <c r="H31" s="8">
        <v>214.86</v>
      </c>
      <c r="I31" s="8">
        <v>214.14</v>
      </c>
      <c r="J31" s="8">
        <v>227</v>
      </c>
      <c r="K31" s="6">
        <v>6</v>
      </c>
      <c r="L31" s="6">
        <v>0</v>
      </c>
      <c r="M31" s="6">
        <v>0</v>
      </c>
      <c r="N31" s="6">
        <v>0.75</v>
      </c>
      <c r="O31">
        <v>12</v>
      </c>
      <c r="P31" t="s">
        <v>204</v>
      </c>
      <c r="Q31" t="s">
        <v>205</v>
      </c>
      <c r="R31">
        <v>7</v>
      </c>
      <c r="S31" s="9" t="s">
        <v>193</v>
      </c>
      <c r="U31" t="s">
        <v>185</v>
      </c>
      <c r="V31" s="6">
        <v>87.5</v>
      </c>
    </row>
    <row r="32" spans="1:22" hidden="1" x14ac:dyDescent="0.25">
      <c r="A32" t="s">
        <v>134</v>
      </c>
      <c r="B32" t="s">
        <v>206</v>
      </c>
      <c r="C32" t="s">
        <v>79</v>
      </c>
      <c r="D32" t="s">
        <v>182</v>
      </c>
      <c r="E32">
        <v>20</v>
      </c>
      <c r="F32">
        <v>20</v>
      </c>
      <c r="G32">
        <v>68</v>
      </c>
      <c r="H32" s="8">
        <v>244.14</v>
      </c>
      <c r="I32" s="8">
        <v>224.14</v>
      </c>
      <c r="J32" s="8">
        <v>285.57</v>
      </c>
      <c r="K32" s="6">
        <v>25.2</v>
      </c>
      <c r="L32" s="6">
        <v>0</v>
      </c>
      <c r="M32" s="6">
        <v>0</v>
      </c>
      <c r="N32" s="6">
        <v>0.88239999999999996</v>
      </c>
      <c r="O32">
        <v>60</v>
      </c>
      <c r="P32" t="s">
        <v>207</v>
      </c>
      <c r="Q32" t="s">
        <v>208</v>
      </c>
      <c r="R32">
        <v>7</v>
      </c>
      <c r="S32" s="10" t="s">
        <v>209</v>
      </c>
      <c r="U32" t="s">
        <v>185</v>
      </c>
      <c r="V32" s="6">
        <v>99.4</v>
      </c>
    </row>
    <row r="33" spans="1:22" hidden="1" x14ac:dyDescent="0.25">
      <c r="A33" t="s">
        <v>134</v>
      </c>
      <c r="B33" t="s">
        <v>210</v>
      </c>
      <c r="C33" t="s">
        <v>79</v>
      </c>
      <c r="D33" t="s">
        <v>182</v>
      </c>
      <c r="E33">
        <v>2</v>
      </c>
      <c r="F33">
        <v>2</v>
      </c>
      <c r="G33">
        <v>8</v>
      </c>
      <c r="H33" s="8">
        <v>233.43</v>
      </c>
      <c r="I33" s="8">
        <v>229.86</v>
      </c>
      <c r="J33" s="8">
        <v>237</v>
      </c>
      <c r="K33" s="6">
        <v>3.1</v>
      </c>
      <c r="L33" s="6">
        <v>0</v>
      </c>
      <c r="M33" s="6">
        <v>0</v>
      </c>
      <c r="N33" s="6">
        <v>0.75</v>
      </c>
      <c r="O33">
        <v>6</v>
      </c>
      <c r="P33" t="s">
        <v>211</v>
      </c>
      <c r="Q33" t="s">
        <v>212</v>
      </c>
      <c r="R33">
        <v>7</v>
      </c>
      <c r="S33" s="9" t="s">
        <v>213</v>
      </c>
      <c r="U33" t="s">
        <v>185</v>
      </c>
      <c r="V33" s="6">
        <v>95.1</v>
      </c>
    </row>
    <row r="34" spans="1:22" hidden="1" x14ac:dyDescent="0.25">
      <c r="A34" t="s">
        <v>123</v>
      </c>
      <c r="B34" t="s">
        <v>214</v>
      </c>
      <c r="C34" t="s">
        <v>78</v>
      </c>
      <c r="D34" t="s">
        <v>182</v>
      </c>
      <c r="E34">
        <v>1</v>
      </c>
      <c r="F34">
        <v>1</v>
      </c>
      <c r="G34">
        <v>3</v>
      </c>
      <c r="H34" s="8">
        <v>185</v>
      </c>
      <c r="I34" s="8">
        <v>185</v>
      </c>
      <c r="J34" s="8">
        <v>185</v>
      </c>
      <c r="K34" s="6">
        <v>0</v>
      </c>
      <c r="L34" s="6">
        <v>0</v>
      </c>
      <c r="M34" s="6">
        <v>0</v>
      </c>
      <c r="O34">
        <v>3</v>
      </c>
      <c r="P34" t="s">
        <v>215</v>
      </c>
      <c r="Q34" t="s">
        <v>215</v>
      </c>
      <c r="R34">
        <v>7</v>
      </c>
      <c r="S34" s="9" t="s">
        <v>184</v>
      </c>
      <c r="U34" t="s">
        <v>185</v>
      </c>
      <c r="V34" s="6">
        <v>107.8</v>
      </c>
    </row>
    <row r="35" spans="1:22" hidden="1" x14ac:dyDescent="0.25">
      <c r="A35" t="s">
        <v>134</v>
      </c>
      <c r="B35" t="s">
        <v>216</v>
      </c>
      <c r="C35" t="s">
        <v>78</v>
      </c>
      <c r="D35" t="s">
        <v>182</v>
      </c>
      <c r="E35">
        <v>2</v>
      </c>
      <c r="F35">
        <v>2</v>
      </c>
      <c r="G35">
        <v>8</v>
      </c>
      <c r="H35" s="8">
        <v>107</v>
      </c>
      <c r="I35" s="8">
        <v>94.14</v>
      </c>
      <c r="J35" s="8">
        <v>119.86</v>
      </c>
      <c r="K35" s="6">
        <v>24</v>
      </c>
      <c r="L35" s="6">
        <v>0</v>
      </c>
      <c r="M35" s="6">
        <v>0</v>
      </c>
      <c r="N35" s="6">
        <v>0.75</v>
      </c>
      <c r="O35">
        <v>6</v>
      </c>
      <c r="P35" t="s">
        <v>217</v>
      </c>
      <c r="Q35" t="s">
        <v>218</v>
      </c>
      <c r="R35">
        <v>7</v>
      </c>
      <c r="S35" s="9" t="s">
        <v>213</v>
      </c>
      <c r="U35" t="s">
        <v>185</v>
      </c>
      <c r="V35" s="6">
        <v>52.1</v>
      </c>
    </row>
    <row r="36" spans="1:22" hidden="1" x14ac:dyDescent="0.25">
      <c r="A36" t="s">
        <v>134</v>
      </c>
      <c r="B36" t="s">
        <v>219</v>
      </c>
      <c r="C36" t="s">
        <v>78</v>
      </c>
      <c r="D36" t="s">
        <v>182</v>
      </c>
      <c r="E36">
        <v>1</v>
      </c>
      <c r="F36">
        <v>1</v>
      </c>
      <c r="G36">
        <v>4</v>
      </c>
      <c r="H36" s="8">
        <v>92.71</v>
      </c>
      <c r="I36" s="8">
        <v>92.71</v>
      </c>
      <c r="J36" s="8">
        <v>92.71</v>
      </c>
      <c r="K36" s="6">
        <v>0</v>
      </c>
      <c r="L36" s="6">
        <v>0</v>
      </c>
      <c r="M36" s="6">
        <v>0</v>
      </c>
      <c r="N36" s="6">
        <v>0.75</v>
      </c>
      <c r="O36">
        <v>3</v>
      </c>
      <c r="P36" t="s">
        <v>220</v>
      </c>
      <c r="Q36" t="s">
        <v>220</v>
      </c>
      <c r="R36">
        <v>7</v>
      </c>
      <c r="S36" s="9" t="s">
        <v>184</v>
      </c>
      <c r="U36" t="s">
        <v>185</v>
      </c>
      <c r="V36" s="6">
        <v>45.1</v>
      </c>
    </row>
    <row r="37" spans="1:22" hidden="1" x14ac:dyDescent="0.25">
      <c r="A37" t="s">
        <v>134</v>
      </c>
      <c r="B37" t="s">
        <v>221</v>
      </c>
      <c r="C37" t="s">
        <v>78</v>
      </c>
      <c r="D37" t="s">
        <v>182</v>
      </c>
      <c r="E37">
        <v>2</v>
      </c>
      <c r="F37">
        <v>2</v>
      </c>
      <c r="G37">
        <v>6</v>
      </c>
      <c r="H37" s="8">
        <v>121.29</v>
      </c>
      <c r="I37" s="8">
        <v>114.14</v>
      </c>
      <c r="J37" s="8">
        <v>128.43</v>
      </c>
      <c r="K37" s="6">
        <v>11.8</v>
      </c>
      <c r="L37" s="6">
        <v>0</v>
      </c>
      <c r="M37" s="6">
        <v>0</v>
      </c>
      <c r="N37" s="6">
        <v>1</v>
      </c>
      <c r="O37">
        <v>6</v>
      </c>
      <c r="P37" t="s">
        <v>222</v>
      </c>
      <c r="Q37" t="s">
        <v>223</v>
      </c>
      <c r="R37">
        <v>7</v>
      </c>
      <c r="S37" s="9" t="s">
        <v>213</v>
      </c>
      <c r="U37" t="s">
        <v>185</v>
      </c>
      <c r="V37" s="6">
        <v>59</v>
      </c>
    </row>
    <row r="38" spans="1:22" hidden="1" x14ac:dyDescent="0.25">
      <c r="A38" t="s">
        <v>134</v>
      </c>
      <c r="B38" t="s">
        <v>224</v>
      </c>
      <c r="C38" t="s">
        <v>78</v>
      </c>
      <c r="D38" t="s">
        <v>182</v>
      </c>
      <c r="E38">
        <v>1</v>
      </c>
      <c r="F38">
        <v>1</v>
      </c>
      <c r="G38">
        <v>4</v>
      </c>
      <c r="H38" s="8">
        <v>164.14</v>
      </c>
      <c r="I38" s="8">
        <v>164.14</v>
      </c>
      <c r="J38" s="8">
        <v>164.14</v>
      </c>
      <c r="K38" s="6">
        <v>0</v>
      </c>
      <c r="L38" s="6">
        <v>0</v>
      </c>
      <c r="M38" s="6">
        <v>0</v>
      </c>
      <c r="N38" s="6">
        <v>0.75</v>
      </c>
      <c r="O38">
        <v>3</v>
      </c>
      <c r="P38" t="s">
        <v>225</v>
      </c>
      <c r="Q38" t="s">
        <v>225</v>
      </c>
      <c r="R38">
        <v>7</v>
      </c>
      <c r="S38" s="9" t="s">
        <v>184</v>
      </c>
      <c r="U38" t="s">
        <v>185</v>
      </c>
      <c r="V38" s="6">
        <v>79.8</v>
      </c>
    </row>
    <row r="39" spans="1:22" hidden="1" x14ac:dyDescent="0.25">
      <c r="A39" t="s">
        <v>134</v>
      </c>
      <c r="B39" t="s">
        <v>181</v>
      </c>
      <c r="C39" t="s">
        <v>78</v>
      </c>
      <c r="D39" t="s">
        <v>182</v>
      </c>
      <c r="E39">
        <v>9</v>
      </c>
      <c r="F39">
        <v>9</v>
      </c>
      <c r="G39">
        <v>33</v>
      </c>
      <c r="H39" s="8">
        <v>168.43</v>
      </c>
      <c r="I39" s="8">
        <v>151.29</v>
      </c>
      <c r="J39" s="8">
        <v>219.86</v>
      </c>
      <c r="K39" s="6">
        <v>40.700000000000003</v>
      </c>
      <c r="L39" s="6">
        <v>0</v>
      </c>
      <c r="M39" s="6">
        <v>0</v>
      </c>
      <c r="N39" s="6">
        <v>0.81820000000000004</v>
      </c>
      <c r="O39">
        <v>27</v>
      </c>
      <c r="P39" t="s">
        <v>226</v>
      </c>
      <c r="Q39" t="s">
        <v>186</v>
      </c>
      <c r="R39">
        <v>7</v>
      </c>
      <c r="S39" s="10" t="s">
        <v>190</v>
      </c>
      <c r="U39" t="s">
        <v>185</v>
      </c>
      <c r="V39" s="6">
        <v>81.900000000000006</v>
      </c>
    </row>
    <row r="40" spans="1:22" hidden="1" x14ac:dyDescent="0.25">
      <c r="A40" t="s">
        <v>134</v>
      </c>
      <c r="B40" t="s">
        <v>187</v>
      </c>
      <c r="C40" t="s">
        <v>78</v>
      </c>
      <c r="D40" t="s">
        <v>182</v>
      </c>
      <c r="E40">
        <v>12</v>
      </c>
      <c r="F40">
        <v>12</v>
      </c>
      <c r="G40">
        <v>44</v>
      </c>
      <c r="H40" s="8">
        <v>156.29</v>
      </c>
      <c r="I40" s="8">
        <v>151.29</v>
      </c>
      <c r="J40" s="8">
        <v>215.57</v>
      </c>
      <c r="K40" s="6">
        <v>41.1</v>
      </c>
      <c r="L40" s="6">
        <v>0</v>
      </c>
      <c r="M40" s="6">
        <v>0</v>
      </c>
      <c r="N40" s="6">
        <v>0.81820000000000004</v>
      </c>
      <c r="O40">
        <v>36</v>
      </c>
      <c r="P40" t="s">
        <v>227</v>
      </c>
      <c r="Q40" t="s">
        <v>228</v>
      </c>
      <c r="R40">
        <v>7</v>
      </c>
      <c r="S40" s="10" t="s">
        <v>229</v>
      </c>
      <c r="U40" t="s">
        <v>185</v>
      </c>
      <c r="V40" s="6">
        <v>76</v>
      </c>
    </row>
    <row r="41" spans="1:22" hidden="1" x14ac:dyDescent="0.25">
      <c r="A41" t="s">
        <v>134</v>
      </c>
      <c r="B41" t="s">
        <v>194</v>
      </c>
      <c r="C41" t="s">
        <v>78</v>
      </c>
      <c r="D41" t="s">
        <v>182</v>
      </c>
      <c r="E41">
        <v>13</v>
      </c>
      <c r="F41">
        <v>13</v>
      </c>
      <c r="G41">
        <v>47</v>
      </c>
      <c r="H41" s="8">
        <v>197</v>
      </c>
      <c r="I41" s="8">
        <v>164.14</v>
      </c>
      <c r="J41" s="8">
        <v>237</v>
      </c>
      <c r="K41" s="6">
        <v>37</v>
      </c>
      <c r="L41" s="6">
        <v>0</v>
      </c>
      <c r="M41" s="6">
        <v>0</v>
      </c>
      <c r="N41" s="6">
        <v>0.82979999999999998</v>
      </c>
      <c r="O41">
        <v>39</v>
      </c>
      <c r="P41" t="s">
        <v>195</v>
      </c>
      <c r="Q41" t="s">
        <v>196</v>
      </c>
      <c r="R41">
        <v>7</v>
      </c>
      <c r="S41" s="10" t="s">
        <v>202</v>
      </c>
      <c r="U41" t="s">
        <v>185</v>
      </c>
      <c r="V41" s="6">
        <v>95.8</v>
      </c>
    </row>
    <row r="42" spans="1:22" hidden="1" x14ac:dyDescent="0.25">
      <c r="A42" t="s">
        <v>123</v>
      </c>
      <c r="B42" t="s">
        <v>185</v>
      </c>
      <c r="C42" t="s">
        <v>78</v>
      </c>
      <c r="D42" t="s">
        <v>182</v>
      </c>
      <c r="E42">
        <v>8</v>
      </c>
      <c r="F42">
        <v>8</v>
      </c>
      <c r="G42">
        <v>24</v>
      </c>
      <c r="H42" s="8">
        <v>171.57</v>
      </c>
      <c r="I42" s="8">
        <v>155.13999999999999</v>
      </c>
      <c r="J42" s="8">
        <v>200.86</v>
      </c>
      <c r="K42" s="6">
        <v>26.6</v>
      </c>
      <c r="L42" s="6">
        <v>0</v>
      </c>
      <c r="M42" s="6">
        <v>0</v>
      </c>
      <c r="O42">
        <v>24</v>
      </c>
      <c r="P42" t="s">
        <v>230</v>
      </c>
      <c r="Q42" t="s">
        <v>231</v>
      </c>
      <c r="R42">
        <v>7</v>
      </c>
      <c r="S42" s="10" t="s">
        <v>232</v>
      </c>
      <c r="U42" t="s">
        <v>185</v>
      </c>
      <c r="V42" s="6">
        <v>100</v>
      </c>
    </row>
    <row r="43" spans="1:22" hidden="1" x14ac:dyDescent="0.25">
      <c r="A43" t="s">
        <v>134</v>
      </c>
      <c r="B43" t="s">
        <v>185</v>
      </c>
      <c r="C43" t="s">
        <v>78</v>
      </c>
      <c r="D43" t="s">
        <v>182</v>
      </c>
      <c r="E43">
        <v>27</v>
      </c>
      <c r="F43">
        <v>27</v>
      </c>
      <c r="G43">
        <v>99</v>
      </c>
      <c r="H43" s="8">
        <v>205.57</v>
      </c>
      <c r="I43" s="8">
        <v>177</v>
      </c>
      <c r="J43" s="8">
        <v>254.14</v>
      </c>
      <c r="K43" s="6">
        <v>37.5</v>
      </c>
      <c r="L43" s="6">
        <v>0</v>
      </c>
      <c r="M43" s="6">
        <v>0</v>
      </c>
      <c r="N43" s="6">
        <v>0.81820000000000004</v>
      </c>
      <c r="O43">
        <v>81</v>
      </c>
      <c r="P43" t="s">
        <v>233</v>
      </c>
      <c r="Q43" t="s">
        <v>234</v>
      </c>
      <c r="R43">
        <v>7</v>
      </c>
      <c r="S43" s="10" t="s">
        <v>235</v>
      </c>
      <c r="T43" s="6">
        <v>19.8</v>
      </c>
      <c r="U43" t="s">
        <v>185</v>
      </c>
      <c r="V43" s="6">
        <v>100</v>
      </c>
    </row>
    <row r="44" spans="1:22" hidden="1" x14ac:dyDescent="0.25">
      <c r="A44" t="s">
        <v>123</v>
      </c>
      <c r="B44" t="s">
        <v>203</v>
      </c>
      <c r="C44" t="s">
        <v>78</v>
      </c>
      <c r="D44" t="s">
        <v>182</v>
      </c>
      <c r="E44">
        <v>3</v>
      </c>
      <c r="F44">
        <v>3</v>
      </c>
      <c r="G44">
        <v>9</v>
      </c>
      <c r="H44" s="8">
        <v>153.86000000000001</v>
      </c>
      <c r="I44" s="8">
        <v>129.71</v>
      </c>
      <c r="J44" s="8">
        <v>153.86000000000001</v>
      </c>
      <c r="K44" s="6">
        <v>15.7</v>
      </c>
      <c r="L44" s="6">
        <v>0</v>
      </c>
      <c r="M44" s="6">
        <v>0</v>
      </c>
      <c r="O44">
        <v>9</v>
      </c>
      <c r="P44" t="s">
        <v>236</v>
      </c>
      <c r="Q44" t="s">
        <v>237</v>
      </c>
      <c r="R44">
        <v>7</v>
      </c>
      <c r="S44" s="9" t="s">
        <v>238</v>
      </c>
      <c r="U44" t="s">
        <v>185</v>
      </c>
      <c r="V44" s="6">
        <v>89.7</v>
      </c>
    </row>
    <row r="45" spans="1:22" hidden="1" x14ac:dyDescent="0.25">
      <c r="A45" t="s">
        <v>134</v>
      </c>
      <c r="B45" t="s">
        <v>203</v>
      </c>
      <c r="C45" t="s">
        <v>78</v>
      </c>
      <c r="D45" t="s">
        <v>182</v>
      </c>
      <c r="E45">
        <v>4</v>
      </c>
      <c r="F45">
        <v>4</v>
      </c>
      <c r="G45">
        <v>12</v>
      </c>
      <c r="H45" s="8">
        <v>147</v>
      </c>
      <c r="I45" s="8">
        <v>145.57</v>
      </c>
      <c r="J45" s="8">
        <v>152.71</v>
      </c>
      <c r="K45" s="6">
        <v>4.9000000000000004</v>
      </c>
      <c r="L45" s="6">
        <v>0</v>
      </c>
      <c r="M45" s="6">
        <v>0</v>
      </c>
      <c r="N45" s="6">
        <v>1</v>
      </c>
      <c r="O45">
        <v>12</v>
      </c>
      <c r="P45" t="s">
        <v>239</v>
      </c>
      <c r="Q45" t="s">
        <v>240</v>
      </c>
      <c r="R45">
        <v>7</v>
      </c>
      <c r="S45" s="9" t="s">
        <v>193</v>
      </c>
      <c r="T45" s="6">
        <v>-4.5</v>
      </c>
      <c r="U45" t="s">
        <v>185</v>
      </c>
      <c r="V45" s="6">
        <v>71.5</v>
      </c>
    </row>
    <row r="46" spans="1:22" hidden="1" x14ac:dyDescent="0.25">
      <c r="A46" t="s">
        <v>134</v>
      </c>
      <c r="B46" t="s">
        <v>206</v>
      </c>
      <c r="C46" t="s">
        <v>78</v>
      </c>
      <c r="D46" t="s">
        <v>182</v>
      </c>
      <c r="E46">
        <v>60</v>
      </c>
      <c r="F46">
        <v>60</v>
      </c>
      <c r="G46">
        <v>220</v>
      </c>
      <c r="H46" s="8">
        <v>198.43</v>
      </c>
      <c r="I46" s="8">
        <v>171.29</v>
      </c>
      <c r="J46" s="8">
        <v>225.57</v>
      </c>
      <c r="K46" s="6">
        <v>27.4</v>
      </c>
      <c r="L46" s="6">
        <v>0</v>
      </c>
      <c r="M46" s="6">
        <v>0</v>
      </c>
      <c r="N46" s="6">
        <v>0.81820000000000004</v>
      </c>
      <c r="O46">
        <v>180</v>
      </c>
      <c r="P46" t="s">
        <v>241</v>
      </c>
      <c r="Q46" t="s">
        <v>242</v>
      </c>
      <c r="R46">
        <v>7</v>
      </c>
      <c r="S46" s="9" t="s">
        <v>243</v>
      </c>
      <c r="U46" t="s">
        <v>185</v>
      </c>
      <c r="V46" s="6">
        <v>96.5</v>
      </c>
    </row>
    <row r="47" spans="1:22" x14ac:dyDescent="0.25">
      <c r="A47" t="s">
        <v>123</v>
      </c>
      <c r="B47" t="s">
        <v>214</v>
      </c>
      <c r="C47" t="s">
        <v>75</v>
      </c>
      <c r="D47" t="s">
        <v>182</v>
      </c>
      <c r="E47">
        <v>5</v>
      </c>
      <c r="F47">
        <v>5</v>
      </c>
      <c r="G47">
        <v>15</v>
      </c>
      <c r="H47" s="8">
        <v>144.13999999999999</v>
      </c>
      <c r="I47" s="8">
        <v>126.29</v>
      </c>
      <c r="J47" s="8">
        <v>189.29</v>
      </c>
      <c r="K47" s="6">
        <v>43.7</v>
      </c>
      <c r="L47" s="6">
        <v>0.1333</v>
      </c>
      <c r="M47" s="6">
        <v>0.1333</v>
      </c>
      <c r="O47">
        <v>15</v>
      </c>
      <c r="P47" t="s">
        <v>244</v>
      </c>
      <c r="Q47" t="s">
        <v>245</v>
      </c>
      <c r="R47">
        <v>7</v>
      </c>
      <c r="S47" s="10" t="s">
        <v>246</v>
      </c>
      <c r="U47" t="s">
        <v>206</v>
      </c>
      <c r="V47" s="6">
        <v>103.8</v>
      </c>
    </row>
    <row r="48" spans="1:22" x14ac:dyDescent="0.25">
      <c r="A48" t="s">
        <v>123</v>
      </c>
      <c r="B48" t="s">
        <v>216</v>
      </c>
      <c r="C48" t="s">
        <v>75</v>
      </c>
      <c r="D48" t="s">
        <v>182</v>
      </c>
      <c r="E48">
        <v>10</v>
      </c>
      <c r="F48">
        <v>10</v>
      </c>
      <c r="G48">
        <v>30</v>
      </c>
      <c r="H48" s="8">
        <v>117.88</v>
      </c>
      <c r="I48" s="8">
        <v>110.57</v>
      </c>
      <c r="J48" s="8">
        <v>124.79</v>
      </c>
      <c r="K48" s="6">
        <v>12.1</v>
      </c>
      <c r="L48" s="6">
        <v>0.1333</v>
      </c>
      <c r="M48" s="6">
        <v>0.1333</v>
      </c>
      <c r="O48">
        <v>30</v>
      </c>
      <c r="P48" t="s">
        <v>247</v>
      </c>
      <c r="Q48" t="s">
        <v>218</v>
      </c>
      <c r="R48">
        <v>7</v>
      </c>
      <c r="S48" s="10" t="s">
        <v>248</v>
      </c>
      <c r="U48" t="s">
        <v>206</v>
      </c>
      <c r="V48" s="6">
        <v>84.9</v>
      </c>
    </row>
    <row r="49" spans="1:22" x14ac:dyDescent="0.25">
      <c r="A49" t="s">
        <v>134</v>
      </c>
      <c r="B49" t="s">
        <v>216</v>
      </c>
      <c r="C49" t="s">
        <v>75</v>
      </c>
      <c r="D49" t="s">
        <v>182</v>
      </c>
      <c r="E49">
        <v>6</v>
      </c>
      <c r="F49">
        <v>6</v>
      </c>
      <c r="G49">
        <v>24</v>
      </c>
      <c r="H49" s="8">
        <v>100.57</v>
      </c>
      <c r="I49" s="8">
        <v>99.86</v>
      </c>
      <c r="J49" s="8">
        <v>117</v>
      </c>
      <c r="K49" s="6">
        <v>17</v>
      </c>
      <c r="L49" s="6">
        <v>0.1111</v>
      </c>
      <c r="M49" s="6">
        <v>0.1111</v>
      </c>
      <c r="N49" s="6">
        <v>0.66669999999999996</v>
      </c>
      <c r="O49">
        <v>18</v>
      </c>
      <c r="P49" t="s">
        <v>247</v>
      </c>
      <c r="Q49" t="s">
        <v>218</v>
      </c>
      <c r="R49">
        <v>7</v>
      </c>
      <c r="S49" s="10" t="s">
        <v>249</v>
      </c>
      <c r="T49" s="6">
        <v>-14.7</v>
      </c>
      <c r="U49" t="s">
        <v>206</v>
      </c>
      <c r="V49" s="6">
        <v>47</v>
      </c>
    </row>
    <row r="50" spans="1:22" x14ac:dyDescent="0.25">
      <c r="A50" t="s">
        <v>123</v>
      </c>
      <c r="B50" t="s">
        <v>219</v>
      </c>
      <c r="C50" t="s">
        <v>75</v>
      </c>
      <c r="D50" t="s">
        <v>182</v>
      </c>
      <c r="E50">
        <v>15</v>
      </c>
      <c r="F50">
        <v>15</v>
      </c>
      <c r="G50">
        <v>45</v>
      </c>
      <c r="H50" s="8">
        <v>110.88</v>
      </c>
      <c r="I50" s="8">
        <v>96.29</v>
      </c>
      <c r="J50" s="8">
        <v>124</v>
      </c>
      <c r="K50" s="6">
        <v>25</v>
      </c>
      <c r="L50" s="6">
        <v>0.1333</v>
      </c>
      <c r="M50" s="6">
        <v>0.1333</v>
      </c>
      <c r="O50">
        <v>45</v>
      </c>
      <c r="P50" t="s">
        <v>250</v>
      </c>
      <c r="Q50" t="s">
        <v>251</v>
      </c>
      <c r="R50">
        <v>7</v>
      </c>
      <c r="S50" s="10" t="s">
        <v>252</v>
      </c>
      <c r="U50" t="s">
        <v>206</v>
      </c>
      <c r="V50" s="6">
        <v>79.900000000000006</v>
      </c>
    </row>
    <row r="51" spans="1:22" x14ac:dyDescent="0.25">
      <c r="A51" t="s">
        <v>134</v>
      </c>
      <c r="B51" t="s">
        <v>219</v>
      </c>
      <c r="C51" t="s">
        <v>75</v>
      </c>
      <c r="D51" t="s">
        <v>182</v>
      </c>
      <c r="E51">
        <v>8</v>
      </c>
      <c r="F51">
        <v>8</v>
      </c>
      <c r="G51">
        <v>32</v>
      </c>
      <c r="H51" s="8">
        <v>112</v>
      </c>
      <c r="I51" s="8">
        <v>108.43</v>
      </c>
      <c r="J51" s="8">
        <v>127.38</v>
      </c>
      <c r="K51" s="6">
        <v>16.899999999999999</v>
      </c>
      <c r="L51" s="6">
        <v>0</v>
      </c>
      <c r="M51" s="6">
        <v>0</v>
      </c>
      <c r="N51" s="6">
        <v>0.75</v>
      </c>
      <c r="O51">
        <v>24</v>
      </c>
      <c r="P51" t="s">
        <v>250</v>
      </c>
      <c r="Q51" t="s">
        <v>251</v>
      </c>
      <c r="R51">
        <v>7</v>
      </c>
      <c r="S51" s="10" t="s">
        <v>232</v>
      </c>
      <c r="T51" s="6">
        <v>1</v>
      </c>
      <c r="U51" t="s">
        <v>206</v>
      </c>
      <c r="V51" s="6">
        <v>52.3</v>
      </c>
    </row>
    <row r="52" spans="1:22" x14ac:dyDescent="0.25">
      <c r="A52" t="s">
        <v>123</v>
      </c>
      <c r="B52" t="s">
        <v>221</v>
      </c>
      <c r="C52" t="s">
        <v>75</v>
      </c>
      <c r="D52" t="s">
        <v>182</v>
      </c>
      <c r="E52">
        <v>18</v>
      </c>
      <c r="F52">
        <v>18</v>
      </c>
      <c r="G52">
        <v>54</v>
      </c>
      <c r="H52" s="8">
        <v>120.42</v>
      </c>
      <c r="I52" s="8">
        <v>96</v>
      </c>
      <c r="J52" s="8">
        <v>148.69</v>
      </c>
      <c r="K52" s="6">
        <v>43.8</v>
      </c>
      <c r="L52" s="6">
        <v>1.8499999999999999E-2</v>
      </c>
      <c r="M52" s="6">
        <v>1.8499999999999999E-2</v>
      </c>
      <c r="O52">
        <v>54</v>
      </c>
      <c r="P52" t="s">
        <v>222</v>
      </c>
      <c r="Q52" t="s">
        <v>253</v>
      </c>
      <c r="R52">
        <v>7</v>
      </c>
      <c r="S52" s="10" t="s">
        <v>254</v>
      </c>
      <c r="U52" t="s">
        <v>206</v>
      </c>
      <c r="V52" s="6">
        <v>86.7</v>
      </c>
    </row>
    <row r="53" spans="1:22" x14ac:dyDescent="0.25">
      <c r="A53" t="s">
        <v>134</v>
      </c>
      <c r="B53" t="s">
        <v>221</v>
      </c>
      <c r="C53" t="s">
        <v>75</v>
      </c>
      <c r="D53" t="s">
        <v>182</v>
      </c>
      <c r="E53">
        <v>17</v>
      </c>
      <c r="F53">
        <v>17</v>
      </c>
      <c r="G53">
        <v>67</v>
      </c>
      <c r="H53" s="8">
        <v>112.71</v>
      </c>
      <c r="I53" s="8">
        <v>97</v>
      </c>
      <c r="J53" s="8">
        <v>137</v>
      </c>
      <c r="K53" s="6">
        <v>35.5</v>
      </c>
      <c r="L53" s="6">
        <v>3.9199999999999999E-2</v>
      </c>
      <c r="M53" s="6">
        <v>3.9199999999999999E-2</v>
      </c>
      <c r="N53" s="6">
        <v>0.73129999999999995</v>
      </c>
      <c r="O53">
        <v>51</v>
      </c>
      <c r="P53" t="s">
        <v>255</v>
      </c>
      <c r="Q53" t="s">
        <v>256</v>
      </c>
      <c r="R53">
        <v>7</v>
      </c>
      <c r="S53" s="10" t="s">
        <v>257</v>
      </c>
      <c r="T53" s="6">
        <v>-6.4</v>
      </c>
      <c r="U53" t="s">
        <v>206</v>
      </c>
      <c r="V53" s="6">
        <v>52.6</v>
      </c>
    </row>
    <row r="54" spans="1:22" x14ac:dyDescent="0.25">
      <c r="A54" t="s">
        <v>123</v>
      </c>
      <c r="B54" t="s">
        <v>258</v>
      </c>
      <c r="C54" t="s">
        <v>75</v>
      </c>
      <c r="D54" t="s">
        <v>182</v>
      </c>
      <c r="E54">
        <v>16</v>
      </c>
      <c r="F54">
        <v>16</v>
      </c>
      <c r="G54">
        <v>48</v>
      </c>
      <c r="H54" s="8">
        <v>102.34</v>
      </c>
      <c r="I54" s="8">
        <v>98.88</v>
      </c>
      <c r="J54" s="8">
        <v>121.57</v>
      </c>
      <c r="K54" s="6">
        <v>22.2</v>
      </c>
      <c r="L54" s="6">
        <v>0</v>
      </c>
      <c r="M54" s="6">
        <v>0</v>
      </c>
      <c r="O54">
        <v>48</v>
      </c>
      <c r="P54" t="s">
        <v>259</v>
      </c>
      <c r="Q54" t="s">
        <v>260</v>
      </c>
      <c r="R54">
        <v>7</v>
      </c>
      <c r="S54" s="10" t="s">
        <v>261</v>
      </c>
      <c r="U54" t="s">
        <v>206</v>
      </c>
      <c r="V54" s="6">
        <v>73.7</v>
      </c>
    </row>
    <row r="55" spans="1:22" x14ac:dyDescent="0.25">
      <c r="A55" t="s">
        <v>134</v>
      </c>
      <c r="B55" t="s">
        <v>258</v>
      </c>
      <c r="C55" t="s">
        <v>75</v>
      </c>
      <c r="D55" t="s">
        <v>182</v>
      </c>
      <c r="E55">
        <v>11</v>
      </c>
      <c r="F55">
        <v>11</v>
      </c>
      <c r="G55">
        <v>44</v>
      </c>
      <c r="H55" s="8">
        <v>101.29</v>
      </c>
      <c r="I55" s="8">
        <v>97</v>
      </c>
      <c r="J55" s="8">
        <v>122.71</v>
      </c>
      <c r="K55" s="6">
        <v>25.4</v>
      </c>
      <c r="L55" s="6">
        <v>3.0300000000000001E-2</v>
      </c>
      <c r="M55" s="6">
        <v>3.0300000000000001E-2</v>
      </c>
      <c r="N55" s="6">
        <v>0.72729999999999995</v>
      </c>
      <c r="O55">
        <v>33</v>
      </c>
      <c r="P55" t="s">
        <v>262</v>
      </c>
      <c r="Q55" t="s">
        <v>260</v>
      </c>
      <c r="R55">
        <v>7</v>
      </c>
      <c r="S55" s="10" t="s">
        <v>263</v>
      </c>
      <c r="T55" s="6">
        <v>-1</v>
      </c>
      <c r="U55" t="s">
        <v>206</v>
      </c>
      <c r="V55" s="6">
        <v>47.3</v>
      </c>
    </row>
    <row r="56" spans="1:22" x14ac:dyDescent="0.25">
      <c r="A56" t="s">
        <v>123</v>
      </c>
      <c r="B56" t="s">
        <v>264</v>
      </c>
      <c r="C56" t="s">
        <v>75</v>
      </c>
      <c r="D56" t="s">
        <v>182</v>
      </c>
      <c r="E56">
        <v>24</v>
      </c>
      <c r="F56">
        <v>24</v>
      </c>
      <c r="G56">
        <v>72</v>
      </c>
      <c r="H56" s="8">
        <v>163.95</v>
      </c>
      <c r="I56" s="8">
        <v>131.29</v>
      </c>
      <c r="J56" s="8">
        <v>195.14</v>
      </c>
      <c r="K56" s="6">
        <v>39</v>
      </c>
      <c r="L56" s="6">
        <v>1.3899999999999999E-2</v>
      </c>
      <c r="M56" s="6">
        <v>1.3899999999999999E-2</v>
      </c>
      <c r="O56">
        <v>72</v>
      </c>
      <c r="P56" t="s">
        <v>265</v>
      </c>
      <c r="Q56" t="s">
        <v>266</v>
      </c>
      <c r="R56">
        <v>8</v>
      </c>
      <c r="S56" s="10" t="s">
        <v>267</v>
      </c>
      <c r="U56" t="s">
        <v>206</v>
      </c>
      <c r="V56" s="6">
        <v>118.1</v>
      </c>
    </row>
    <row r="57" spans="1:22" x14ac:dyDescent="0.25">
      <c r="A57" t="s">
        <v>134</v>
      </c>
      <c r="B57" t="s">
        <v>264</v>
      </c>
      <c r="C57" t="s">
        <v>75</v>
      </c>
      <c r="D57" t="s">
        <v>182</v>
      </c>
      <c r="E57">
        <v>9</v>
      </c>
      <c r="F57">
        <v>9</v>
      </c>
      <c r="G57">
        <v>35</v>
      </c>
      <c r="H57" s="8">
        <v>139.86000000000001</v>
      </c>
      <c r="I57" s="8">
        <v>112.71</v>
      </c>
      <c r="J57" s="8">
        <v>201.29</v>
      </c>
      <c r="K57" s="6">
        <v>63.3</v>
      </c>
      <c r="L57" s="6">
        <v>0</v>
      </c>
      <c r="M57" s="6">
        <v>0</v>
      </c>
      <c r="N57" s="6">
        <v>0.77139999999999997</v>
      </c>
      <c r="O57">
        <v>27</v>
      </c>
      <c r="P57" t="s">
        <v>265</v>
      </c>
      <c r="Q57" t="s">
        <v>266</v>
      </c>
      <c r="R57">
        <v>7</v>
      </c>
      <c r="S57" s="10" t="s">
        <v>190</v>
      </c>
      <c r="T57" s="6">
        <v>-14.7</v>
      </c>
      <c r="U57" t="s">
        <v>206</v>
      </c>
      <c r="V57" s="6">
        <v>65.3</v>
      </c>
    </row>
    <row r="58" spans="1:22" x14ac:dyDescent="0.25">
      <c r="A58" t="s">
        <v>123</v>
      </c>
      <c r="B58" t="s">
        <v>268</v>
      </c>
      <c r="C58" t="s">
        <v>75</v>
      </c>
      <c r="D58" t="s">
        <v>182</v>
      </c>
      <c r="E58">
        <v>20</v>
      </c>
      <c r="F58">
        <v>20</v>
      </c>
      <c r="G58">
        <v>60</v>
      </c>
      <c r="H58" s="8">
        <v>108.21</v>
      </c>
      <c r="I58" s="8">
        <v>87.75</v>
      </c>
      <c r="J58" s="8">
        <v>193.43</v>
      </c>
      <c r="K58" s="6">
        <v>97.7</v>
      </c>
      <c r="L58" s="6">
        <v>6.6699999999999995E-2</v>
      </c>
      <c r="M58" s="6">
        <v>6.6699999999999995E-2</v>
      </c>
      <c r="O58">
        <v>60</v>
      </c>
      <c r="P58" t="s">
        <v>269</v>
      </c>
      <c r="Q58" t="s">
        <v>270</v>
      </c>
      <c r="R58">
        <v>7</v>
      </c>
      <c r="S58" s="10" t="s">
        <v>209</v>
      </c>
      <c r="U58" t="s">
        <v>206</v>
      </c>
      <c r="V58" s="6">
        <v>77.900000000000006</v>
      </c>
    </row>
    <row r="59" spans="1:22" x14ac:dyDescent="0.25">
      <c r="A59" t="s">
        <v>134</v>
      </c>
      <c r="B59" t="s">
        <v>268</v>
      </c>
      <c r="C59" t="s">
        <v>75</v>
      </c>
      <c r="D59" t="s">
        <v>182</v>
      </c>
      <c r="E59">
        <v>13</v>
      </c>
      <c r="F59">
        <v>13</v>
      </c>
      <c r="G59">
        <v>51</v>
      </c>
      <c r="H59" s="8">
        <v>138.43</v>
      </c>
      <c r="I59" s="8">
        <v>103.43</v>
      </c>
      <c r="J59" s="8">
        <v>184.14</v>
      </c>
      <c r="K59" s="6">
        <v>58.3</v>
      </c>
      <c r="L59" s="6">
        <v>5.1299999999999998E-2</v>
      </c>
      <c r="M59" s="6">
        <v>5.1299999999999998E-2</v>
      </c>
      <c r="N59" s="6">
        <v>0.72550000000000003</v>
      </c>
      <c r="O59">
        <v>39</v>
      </c>
      <c r="P59" t="s">
        <v>269</v>
      </c>
      <c r="Q59" t="s">
        <v>270</v>
      </c>
      <c r="R59">
        <v>7</v>
      </c>
      <c r="S59" s="10" t="s">
        <v>202</v>
      </c>
      <c r="T59" s="6">
        <v>27.9</v>
      </c>
      <c r="U59" t="s">
        <v>206</v>
      </c>
      <c r="V59" s="6">
        <v>64.599999999999994</v>
      </c>
    </row>
    <row r="60" spans="1:22" x14ac:dyDescent="0.25">
      <c r="A60" t="s">
        <v>123</v>
      </c>
      <c r="B60" t="s">
        <v>271</v>
      </c>
      <c r="C60" t="s">
        <v>75</v>
      </c>
      <c r="D60" t="s">
        <v>182</v>
      </c>
      <c r="E60">
        <v>15</v>
      </c>
      <c r="F60">
        <v>15</v>
      </c>
      <c r="G60">
        <v>45</v>
      </c>
      <c r="H60" s="8">
        <v>100</v>
      </c>
      <c r="I60" s="8">
        <v>90.5</v>
      </c>
      <c r="J60" s="8">
        <v>112</v>
      </c>
      <c r="K60" s="6">
        <v>21.5</v>
      </c>
      <c r="L60" s="6">
        <v>0</v>
      </c>
      <c r="M60" s="6">
        <v>0</v>
      </c>
      <c r="O60">
        <v>45</v>
      </c>
      <c r="P60" t="s">
        <v>272</v>
      </c>
      <c r="Q60" t="s">
        <v>273</v>
      </c>
      <c r="R60">
        <v>7</v>
      </c>
      <c r="S60" s="10" t="s">
        <v>252</v>
      </c>
      <c r="U60" t="s">
        <v>206</v>
      </c>
      <c r="V60" s="6">
        <v>72</v>
      </c>
    </row>
    <row r="61" spans="1:22" x14ac:dyDescent="0.25">
      <c r="A61" t="s">
        <v>134</v>
      </c>
      <c r="B61" t="s">
        <v>271</v>
      </c>
      <c r="C61" t="s">
        <v>75</v>
      </c>
      <c r="D61" t="s">
        <v>182</v>
      </c>
      <c r="E61">
        <v>14</v>
      </c>
      <c r="F61">
        <v>14</v>
      </c>
      <c r="G61">
        <v>56</v>
      </c>
      <c r="H61" s="8">
        <v>131.29</v>
      </c>
      <c r="I61" s="8">
        <v>110.57</v>
      </c>
      <c r="J61" s="8">
        <v>165.57</v>
      </c>
      <c r="K61" s="6">
        <v>41.9</v>
      </c>
      <c r="L61" s="6">
        <v>4.7600000000000003E-2</v>
      </c>
      <c r="M61" s="6">
        <v>4.7600000000000003E-2</v>
      </c>
      <c r="N61" s="6">
        <v>0.71430000000000005</v>
      </c>
      <c r="O61">
        <v>42</v>
      </c>
      <c r="P61" t="s">
        <v>274</v>
      </c>
      <c r="Q61" t="s">
        <v>273</v>
      </c>
      <c r="R61">
        <v>7</v>
      </c>
      <c r="S61" s="10" t="s">
        <v>275</v>
      </c>
      <c r="T61" s="6">
        <v>31.3</v>
      </c>
      <c r="U61" t="s">
        <v>206</v>
      </c>
      <c r="V61" s="6">
        <v>61.3</v>
      </c>
    </row>
    <row r="62" spans="1:22" x14ac:dyDescent="0.25">
      <c r="A62" t="s">
        <v>123</v>
      </c>
      <c r="B62" t="s">
        <v>276</v>
      </c>
      <c r="C62" t="s">
        <v>75</v>
      </c>
      <c r="D62" t="s">
        <v>182</v>
      </c>
      <c r="E62">
        <v>18</v>
      </c>
      <c r="F62">
        <v>18</v>
      </c>
      <c r="G62">
        <v>54</v>
      </c>
      <c r="H62" s="8">
        <v>101.21</v>
      </c>
      <c r="I62" s="8">
        <v>92.57</v>
      </c>
      <c r="J62" s="8">
        <v>116</v>
      </c>
      <c r="K62" s="6">
        <v>23.1</v>
      </c>
      <c r="L62" s="6">
        <v>0</v>
      </c>
      <c r="M62" s="6">
        <v>0</v>
      </c>
      <c r="O62">
        <v>54</v>
      </c>
      <c r="P62" t="s">
        <v>277</v>
      </c>
      <c r="Q62" t="s">
        <v>278</v>
      </c>
      <c r="R62">
        <v>7</v>
      </c>
      <c r="S62" s="10" t="s">
        <v>254</v>
      </c>
      <c r="U62" t="s">
        <v>206</v>
      </c>
      <c r="V62" s="6">
        <v>72.900000000000006</v>
      </c>
    </row>
    <row r="63" spans="1:22" x14ac:dyDescent="0.25">
      <c r="A63" t="s">
        <v>134</v>
      </c>
      <c r="B63" t="s">
        <v>276</v>
      </c>
      <c r="C63" t="s">
        <v>75</v>
      </c>
      <c r="D63" t="s">
        <v>182</v>
      </c>
      <c r="E63">
        <v>13</v>
      </c>
      <c r="F63">
        <v>13</v>
      </c>
      <c r="G63">
        <v>51</v>
      </c>
      <c r="H63" s="8">
        <v>148.43</v>
      </c>
      <c r="I63" s="8">
        <v>127</v>
      </c>
      <c r="J63" s="8">
        <v>169.86</v>
      </c>
      <c r="K63" s="6">
        <v>28.9</v>
      </c>
      <c r="L63" s="6">
        <v>2.5600000000000001E-2</v>
      </c>
      <c r="M63" s="6">
        <v>2.5600000000000001E-2</v>
      </c>
      <c r="N63" s="6">
        <v>0.74509999999999998</v>
      </c>
      <c r="O63">
        <v>39</v>
      </c>
      <c r="P63" t="s">
        <v>279</v>
      </c>
      <c r="Q63" t="s">
        <v>278</v>
      </c>
      <c r="R63">
        <v>7</v>
      </c>
      <c r="S63" s="10" t="s">
        <v>202</v>
      </c>
      <c r="T63" s="6">
        <v>46.7</v>
      </c>
      <c r="U63" t="s">
        <v>206</v>
      </c>
      <c r="V63" s="6">
        <v>69.3</v>
      </c>
    </row>
    <row r="64" spans="1:22" x14ac:dyDescent="0.25">
      <c r="A64" t="s">
        <v>123</v>
      </c>
      <c r="B64" t="s">
        <v>280</v>
      </c>
      <c r="C64" t="s">
        <v>75</v>
      </c>
      <c r="D64" t="s">
        <v>182</v>
      </c>
      <c r="E64">
        <v>20</v>
      </c>
      <c r="F64">
        <v>20</v>
      </c>
      <c r="G64">
        <v>60</v>
      </c>
      <c r="H64" s="8">
        <v>111.29</v>
      </c>
      <c r="I64" s="8">
        <v>101</v>
      </c>
      <c r="J64" s="8">
        <v>129.13999999999999</v>
      </c>
      <c r="K64" s="6">
        <v>25.3</v>
      </c>
      <c r="L64" s="6">
        <v>1.67E-2</v>
      </c>
      <c r="M64" s="6">
        <v>1.67E-2</v>
      </c>
      <c r="O64">
        <v>60</v>
      </c>
      <c r="P64" t="s">
        <v>281</v>
      </c>
      <c r="Q64" t="s">
        <v>282</v>
      </c>
      <c r="R64">
        <v>7</v>
      </c>
      <c r="S64" s="10" t="s">
        <v>209</v>
      </c>
      <c r="U64" t="s">
        <v>206</v>
      </c>
      <c r="V64" s="6">
        <v>80.099999999999994</v>
      </c>
    </row>
    <row r="65" spans="1:22" x14ac:dyDescent="0.25">
      <c r="A65" t="s">
        <v>134</v>
      </c>
      <c r="B65" t="s">
        <v>280</v>
      </c>
      <c r="C65" t="s">
        <v>75</v>
      </c>
      <c r="D65" t="s">
        <v>182</v>
      </c>
      <c r="E65">
        <v>15</v>
      </c>
      <c r="F65">
        <v>15</v>
      </c>
      <c r="G65">
        <v>59</v>
      </c>
      <c r="H65" s="8">
        <v>128.43</v>
      </c>
      <c r="I65" s="8">
        <v>122</v>
      </c>
      <c r="J65" s="8">
        <v>187</v>
      </c>
      <c r="K65" s="6">
        <v>50.6</v>
      </c>
      <c r="L65" s="6">
        <v>4.4400000000000002E-2</v>
      </c>
      <c r="M65" s="6">
        <v>4.4400000000000002E-2</v>
      </c>
      <c r="N65" s="6">
        <v>0.7288</v>
      </c>
      <c r="O65">
        <v>45</v>
      </c>
      <c r="P65" t="s">
        <v>283</v>
      </c>
      <c r="Q65" t="s">
        <v>282</v>
      </c>
      <c r="R65">
        <v>7</v>
      </c>
      <c r="S65" s="10" t="s">
        <v>252</v>
      </c>
      <c r="T65" s="6">
        <v>15.4</v>
      </c>
      <c r="U65" t="s">
        <v>206</v>
      </c>
      <c r="V65" s="6">
        <v>60</v>
      </c>
    </row>
    <row r="66" spans="1:22" x14ac:dyDescent="0.25">
      <c r="A66" t="s">
        <v>123</v>
      </c>
      <c r="B66" t="s">
        <v>224</v>
      </c>
      <c r="C66" t="s">
        <v>75</v>
      </c>
      <c r="D66" t="s">
        <v>182</v>
      </c>
      <c r="E66">
        <v>37</v>
      </c>
      <c r="F66">
        <v>37</v>
      </c>
      <c r="G66">
        <v>111</v>
      </c>
      <c r="H66" s="8">
        <v>131.5</v>
      </c>
      <c r="I66" s="8">
        <v>115.71</v>
      </c>
      <c r="J66" s="8">
        <v>146.13999999999999</v>
      </c>
      <c r="K66" s="6">
        <v>23.1</v>
      </c>
      <c r="L66" s="6">
        <v>8.9999999999999993E-3</v>
      </c>
      <c r="M66" s="6">
        <v>8.9999999999999993E-3</v>
      </c>
      <c r="O66">
        <v>111</v>
      </c>
      <c r="P66" t="s">
        <v>284</v>
      </c>
      <c r="Q66" t="s">
        <v>225</v>
      </c>
      <c r="R66">
        <v>7</v>
      </c>
      <c r="S66" s="9" t="s">
        <v>285</v>
      </c>
      <c r="U66" t="s">
        <v>206</v>
      </c>
      <c r="V66" s="6">
        <v>94.7</v>
      </c>
    </row>
    <row r="67" spans="1:22" x14ac:dyDescent="0.25">
      <c r="A67" t="s">
        <v>134</v>
      </c>
      <c r="B67" t="s">
        <v>224</v>
      </c>
      <c r="C67" t="s">
        <v>75</v>
      </c>
      <c r="D67" t="s">
        <v>182</v>
      </c>
      <c r="E67">
        <v>30</v>
      </c>
      <c r="F67">
        <v>30</v>
      </c>
      <c r="G67">
        <v>116</v>
      </c>
      <c r="H67" s="8">
        <v>141.13999999999999</v>
      </c>
      <c r="I67" s="8">
        <v>126.29</v>
      </c>
      <c r="J67" s="8">
        <v>181.29</v>
      </c>
      <c r="K67" s="6">
        <v>39</v>
      </c>
      <c r="L67" s="6">
        <v>1.11E-2</v>
      </c>
      <c r="M67" s="6">
        <v>1.11E-2</v>
      </c>
      <c r="N67" s="6">
        <v>0.76719999999999999</v>
      </c>
      <c r="O67">
        <v>90</v>
      </c>
      <c r="P67" t="s">
        <v>286</v>
      </c>
      <c r="Q67" t="s">
        <v>287</v>
      </c>
      <c r="R67">
        <v>7</v>
      </c>
      <c r="S67" s="9" t="s">
        <v>288</v>
      </c>
      <c r="T67" s="6">
        <v>7.3</v>
      </c>
      <c r="U67" t="s">
        <v>206</v>
      </c>
      <c r="V67" s="6">
        <v>65.900000000000006</v>
      </c>
    </row>
    <row r="68" spans="1:22" x14ac:dyDescent="0.25">
      <c r="A68" t="s">
        <v>123</v>
      </c>
      <c r="B68" t="s">
        <v>181</v>
      </c>
      <c r="C68" t="s">
        <v>75</v>
      </c>
      <c r="D68" t="s">
        <v>182</v>
      </c>
      <c r="E68">
        <v>42</v>
      </c>
      <c r="F68">
        <v>42</v>
      </c>
      <c r="G68">
        <v>126</v>
      </c>
      <c r="H68" s="8">
        <v>121.93</v>
      </c>
      <c r="I68" s="8">
        <v>107.75</v>
      </c>
      <c r="J68" s="8">
        <v>133.75</v>
      </c>
      <c r="K68" s="6">
        <v>21.3</v>
      </c>
      <c r="L68" s="6">
        <v>0</v>
      </c>
      <c r="M68" s="6">
        <v>0</v>
      </c>
      <c r="O68">
        <v>126</v>
      </c>
      <c r="P68" t="s">
        <v>289</v>
      </c>
      <c r="Q68" t="s">
        <v>186</v>
      </c>
      <c r="R68">
        <v>7</v>
      </c>
      <c r="S68" s="9" t="s">
        <v>290</v>
      </c>
      <c r="U68" t="s">
        <v>206</v>
      </c>
      <c r="V68" s="6">
        <v>87.8</v>
      </c>
    </row>
    <row r="69" spans="1:22" x14ac:dyDescent="0.25">
      <c r="A69" t="s">
        <v>134</v>
      </c>
      <c r="B69" t="s">
        <v>181</v>
      </c>
      <c r="C69" t="s">
        <v>75</v>
      </c>
      <c r="D69" t="s">
        <v>182</v>
      </c>
      <c r="E69">
        <v>15</v>
      </c>
      <c r="F69">
        <v>15</v>
      </c>
      <c r="G69">
        <v>59</v>
      </c>
      <c r="H69" s="8">
        <v>154.13999999999999</v>
      </c>
      <c r="I69" s="8">
        <v>141.29</v>
      </c>
      <c r="J69" s="8">
        <v>192.71</v>
      </c>
      <c r="K69" s="6">
        <v>33.4</v>
      </c>
      <c r="L69" s="6">
        <v>6.6699999999999995E-2</v>
      </c>
      <c r="M69" s="6">
        <v>6.6699999999999995E-2</v>
      </c>
      <c r="N69" s="6">
        <v>0.71189999999999998</v>
      </c>
      <c r="O69">
        <v>45</v>
      </c>
      <c r="P69" t="s">
        <v>289</v>
      </c>
      <c r="Q69" t="s">
        <v>186</v>
      </c>
      <c r="R69">
        <v>7</v>
      </c>
      <c r="S69" s="10" t="s">
        <v>252</v>
      </c>
      <c r="T69" s="6">
        <v>26.4</v>
      </c>
      <c r="U69" t="s">
        <v>206</v>
      </c>
      <c r="V69" s="6">
        <v>72</v>
      </c>
    </row>
    <row r="70" spans="1:22" x14ac:dyDescent="0.25">
      <c r="A70" t="s">
        <v>123</v>
      </c>
      <c r="B70" t="s">
        <v>187</v>
      </c>
      <c r="C70" t="s">
        <v>75</v>
      </c>
      <c r="D70" t="s">
        <v>182</v>
      </c>
      <c r="E70">
        <v>32</v>
      </c>
      <c r="F70">
        <v>32</v>
      </c>
      <c r="G70">
        <v>96</v>
      </c>
      <c r="H70" s="8">
        <v>130.13999999999999</v>
      </c>
      <c r="I70" s="8">
        <v>119</v>
      </c>
      <c r="J70" s="8">
        <v>138.5</v>
      </c>
      <c r="K70" s="6">
        <v>15</v>
      </c>
      <c r="L70" s="6">
        <v>0</v>
      </c>
      <c r="M70" s="6">
        <v>0</v>
      </c>
      <c r="O70">
        <v>96</v>
      </c>
      <c r="P70" t="s">
        <v>191</v>
      </c>
      <c r="Q70" t="s">
        <v>228</v>
      </c>
      <c r="R70">
        <v>7</v>
      </c>
      <c r="S70" s="9" t="s">
        <v>291</v>
      </c>
      <c r="U70" t="s">
        <v>206</v>
      </c>
      <c r="V70" s="6">
        <v>93.7</v>
      </c>
    </row>
    <row r="71" spans="1:22" x14ac:dyDescent="0.25">
      <c r="A71" t="s">
        <v>134</v>
      </c>
      <c r="B71" t="s">
        <v>187</v>
      </c>
      <c r="C71" t="s">
        <v>75</v>
      </c>
      <c r="D71" t="s">
        <v>182</v>
      </c>
      <c r="E71">
        <v>7</v>
      </c>
      <c r="F71">
        <v>7</v>
      </c>
      <c r="G71">
        <v>28</v>
      </c>
      <c r="H71" s="8">
        <v>222.71</v>
      </c>
      <c r="I71" s="8">
        <v>168.43</v>
      </c>
      <c r="J71" s="8">
        <v>234.14</v>
      </c>
      <c r="K71" s="6">
        <v>29.5</v>
      </c>
      <c r="L71" s="6">
        <v>0</v>
      </c>
      <c r="M71" s="6">
        <v>0</v>
      </c>
      <c r="N71" s="6">
        <v>0.75</v>
      </c>
      <c r="O71">
        <v>21</v>
      </c>
      <c r="P71" t="s">
        <v>292</v>
      </c>
      <c r="Q71" t="s">
        <v>228</v>
      </c>
      <c r="R71">
        <v>7</v>
      </c>
      <c r="S71" s="10" t="s">
        <v>293</v>
      </c>
      <c r="T71" s="6">
        <v>71.099999999999994</v>
      </c>
      <c r="U71" t="s">
        <v>206</v>
      </c>
      <c r="V71" s="6">
        <v>104</v>
      </c>
    </row>
    <row r="72" spans="1:22" x14ac:dyDescent="0.25">
      <c r="A72" t="s">
        <v>123</v>
      </c>
      <c r="B72" t="s">
        <v>194</v>
      </c>
      <c r="C72" t="s">
        <v>75</v>
      </c>
      <c r="D72" t="s">
        <v>182</v>
      </c>
      <c r="E72">
        <v>32</v>
      </c>
      <c r="F72">
        <v>32</v>
      </c>
      <c r="G72">
        <v>96</v>
      </c>
      <c r="H72" s="8">
        <v>168.64</v>
      </c>
      <c r="I72" s="8">
        <v>151</v>
      </c>
      <c r="J72" s="8">
        <v>181.71</v>
      </c>
      <c r="K72" s="6">
        <v>18.2</v>
      </c>
      <c r="L72" s="6">
        <v>3.1199999999999999E-2</v>
      </c>
      <c r="M72" s="6">
        <v>3.1199999999999999E-2</v>
      </c>
      <c r="O72">
        <v>96</v>
      </c>
      <c r="P72" t="s">
        <v>294</v>
      </c>
      <c r="Q72" t="s">
        <v>295</v>
      </c>
      <c r="R72">
        <v>7</v>
      </c>
      <c r="S72" s="9" t="s">
        <v>291</v>
      </c>
      <c r="U72" t="s">
        <v>206</v>
      </c>
      <c r="V72" s="6">
        <v>121.4</v>
      </c>
    </row>
    <row r="73" spans="1:22" x14ac:dyDescent="0.25">
      <c r="A73" t="s">
        <v>134</v>
      </c>
      <c r="B73" t="s">
        <v>194</v>
      </c>
      <c r="C73" t="s">
        <v>75</v>
      </c>
      <c r="D73" t="s">
        <v>182</v>
      </c>
      <c r="E73">
        <v>5</v>
      </c>
      <c r="F73">
        <v>5</v>
      </c>
      <c r="G73">
        <v>20</v>
      </c>
      <c r="H73" s="8">
        <v>262.70999999999998</v>
      </c>
      <c r="I73" s="8">
        <v>258.43</v>
      </c>
      <c r="J73" s="8">
        <v>265.57</v>
      </c>
      <c r="K73" s="6">
        <v>2.7</v>
      </c>
      <c r="L73" s="6">
        <v>0</v>
      </c>
      <c r="M73" s="6">
        <v>0</v>
      </c>
      <c r="N73" s="6">
        <v>0.75</v>
      </c>
      <c r="O73">
        <v>15</v>
      </c>
      <c r="P73" t="s">
        <v>296</v>
      </c>
      <c r="Q73" t="s">
        <v>297</v>
      </c>
      <c r="R73">
        <v>7</v>
      </c>
      <c r="S73" s="10" t="s">
        <v>246</v>
      </c>
      <c r="T73" s="6">
        <v>55.8</v>
      </c>
      <c r="U73" t="s">
        <v>206</v>
      </c>
      <c r="V73" s="6">
        <v>122.7</v>
      </c>
    </row>
    <row r="74" spans="1:22" x14ac:dyDescent="0.25">
      <c r="A74" t="s">
        <v>123</v>
      </c>
      <c r="B74" t="s">
        <v>185</v>
      </c>
      <c r="C74" t="s">
        <v>75</v>
      </c>
      <c r="D74" t="s">
        <v>182</v>
      </c>
      <c r="E74">
        <v>105</v>
      </c>
      <c r="F74">
        <v>105</v>
      </c>
      <c r="G74">
        <v>315</v>
      </c>
      <c r="H74" s="8">
        <v>145.38</v>
      </c>
      <c r="I74" s="8">
        <v>116.14</v>
      </c>
      <c r="J74" s="8">
        <v>167</v>
      </c>
      <c r="K74" s="6">
        <v>35</v>
      </c>
      <c r="L74" s="6">
        <v>0</v>
      </c>
      <c r="M74" s="6">
        <v>0</v>
      </c>
      <c r="O74">
        <v>315</v>
      </c>
      <c r="P74" t="s">
        <v>233</v>
      </c>
      <c r="Q74" t="s">
        <v>201</v>
      </c>
      <c r="R74">
        <v>7</v>
      </c>
      <c r="S74" s="9" t="s">
        <v>298</v>
      </c>
      <c r="U74" t="s">
        <v>206</v>
      </c>
      <c r="V74" s="6">
        <v>104.7</v>
      </c>
    </row>
    <row r="75" spans="1:22" x14ac:dyDescent="0.25">
      <c r="A75" t="s">
        <v>134</v>
      </c>
      <c r="B75" t="s">
        <v>185</v>
      </c>
      <c r="C75" t="s">
        <v>75</v>
      </c>
      <c r="D75" t="s">
        <v>182</v>
      </c>
      <c r="E75">
        <v>28</v>
      </c>
      <c r="F75">
        <v>28</v>
      </c>
      <c r="G75">
        <v>112</v>
      </c>
      <c r="H75" s="8">
        <v>224.86</v>
      </c>
      <c r="I75" s="8">
        <v>208.43</v>
      </c>
      <c r="J75" s="8">
        <v>247</v>
      </c>
      <c r="K75" s="6">
        <v>17.2</v>
      </c>
      <c r="L75" s="6">
        <v>0</v>
      </c>
      <c r="M75" s="6">
        <v>0</v>
      </c>
      <c r="N75" s="6">
        <v>0.75</v>
      </c>
      <c r="O75">
        <v>84</v>
      </c>
      <c r="P75" t="s">
        <v>233</v>
      </c>
      <c r="Q75" t="s">
        <v>201</v>
      </c>
      <c r="R75">
        <v>7</v>
      </c>
      <c r="S75" s="10" t="s">
        <v>299</v>
      </c>
      <c r="T75" s="6">
        <v>54.7</v>
      </c>
      <c r="U75" t="s">
        <v>206</v>
      </c>
      <c r="V75" s="6">
        <v>105</v>
      </c>
    </row>
    <row r="76" spans="1:22" x14ac:dyDescent="0.25">
      <c r="A76" t="s">
        <v>123</v>
      </c>
      <c r="B76" t="s">
        <v>203</v>
      </c>
      <c r="C76" t="s">
        <v>75</v>
      </c>
      <c r="D76" t="s">
        <v>182</v>
      </c>
      <c r="E76">
        <v>88</v>
      </c>
      <c r="F76">
        <v>88</v>
      </c>
      <c r="G76">
        <v>264</v>
      </c>
      <c r="H76" s="8">
        <v>114.21</v>
      </c>
      <c r="I76" s="8">
        <v>106.71</v>
      </c>
      <c r="J76" s="8">
        <v>139.12</v>
      </c>
      <c r="K76" s="6">
        <v>28.4</v>
      </c>
      <c r="L76" s="6">
        <v>3.8E-3</v>
      </c>
      <c r="M76" s="6">
        <v>3.8E-3</v>
      </c>
      <c r="O76">
        <v>264</v>
      </c>
      <c r="P76" t="s">
        <v>204</v>
      </c>
      <c r="Q76" t="s">
        <v>300</v>
      </c>
      <c r="R76">
        <v>7</v>
      </c>
      <c r="S76" s="9" t="s">
        <v>301</v>
      </c>
      <c r="U76" t="s">
        <v>206</v>
      </c>
      <c r="V76" s="6">
        <v>82.2</v>
      </c>
    </row>
    <row r="77" spans="1:22" x14ac:dyDescent="0.25">
      <c r="A77" t="s">
        <v>134</v>
      </c>
      <c r="B77" t="s">
        <v>203</v>
      </c>
      <c r="C77" t="s">
        <v>75</v>
      </c>
      <c r="D77" t="s">
        <v>182</v>
      </c>
      <c r="E77">
        <v>51</v>
      </c>
      <c r="F77">
        <v>51</v>
      </c>
      <c r="G77">
        <v>204</v>
      </c>
      <c r="H77" s="8">
        <v>174.14</v>
      </c>
      <c r="I77" s="8">
        <v>167</v>
      </c>
      <c r="J77" s="8">
        <v>191.29</v>
      </c>
      <c r="K77" s="6">
        <v>13.9</v>
      </c>
      <c r="L77" s="6">
        <v>6.4999999999999997E-3</v>
      </c>
      <c r="M77" s="6">
        <v>6.4999999999999997E-3</v>
      </c>
      <c r="N77" s="6">
        <v>0.74509999999999998</v>
      </c>
      <c r="O77">
        <v>153</v>
      </c>
      <c r="P77" t="s">
        <v>204</v>
      </c>
      <c r="Q77" t="s">
        <v>300</v>
      </c>
      <c r="R77">
        <v>7</v>
      </c>
      <c r="S77" s="9" t="s">
        <v>302</v>
      </c>
      <c r="T77" s="6">
        <v>52.5</v>
      </c>
      <c r="U77" t="s">
        <v>206</v>
      </c>
      <c r="V77" s="6">
        <v>81.3</v>
      </c>
    </row>
    <row r="78" spans="1:22" x14ac:dyDescent="0.25">
      <c r="A78" t="s">
        <v>123</v>
      </c>
      <c r="B78" t="s">
        <v>303</v>
      </c>
      <c r="C78" t="s">
        <v>75</v>
      </c>
      <c r="D78" t="s">
        <v>182</v>
      </c>
      <c r="E78">
        <v>98</v>
      </c>
      <c r="F78">
        <v>98</v>
      </c>
      <c r="G78">
        <v>294</v>
      </c>
      <c r="H78" s="8">
        <v>121.12</v>
      </c>
      <c r="I78" s="8">
        <v>108.88</v>
      </c>
      <c r="J78" s="8">
        <v>136</v>
      </c>
      <c r="K78" s="6">
        <v>22.4</v>
      </c>
      <c r="L78" s="6">
        <v>0</v>
      </c>
      <c r="M78" s="6">
        <v>0</v>
      </c>
      <c r="O78">
        <v>294</v>
      </c>
      <c r="P78" t="s">
        <v>304</v>
      </c>
      <c r="Q78" t="s">
        <v>305</v>
      </c>
      <c r="R78">
        <v>7</v>
      </c>
      <c r="S78" s="9" t="s">
        <v>306</v>
      </c>
      <c r="U78" t="s">
        <v>206</v>
      </c>
      <c r="V78" s="6">
        <v>87.2</v>
      </c>
    </row>
    <row r="79" spans="1:22" x14ac:dyDescent="0.25">
      <c r="A79" t="s">
        <v>134</v>
      </c>
      <c r="B79" t="s">
        <v>303</v>
      </c>
      <c r="C79" t="s">
        <v>75</v>
      </c>
      <c r="D79" t="s">
        <v>182</v>
      </c>
      <c r="E79">
        <v>95</v>
      </c>
      <c r="F79">
        <v>95</v>
      </c>
      <c r="G79">
        <v>378</v>
      </c>
      <c r="H79" s="8">
        <v>175.57</v>
      </c>
      <c r="I79" s="8">
        <v>151.29</v>
      </c>
      <c r="J79" s="8">
        <v>197</v>
      </c>
      <c r="K79" s="6">
        <v>26</v>
      </c>
      <c r="L79" s="6">
        <v>1.0500000000000001E-2</v>
      </c>
      <c r="M79" s="6">
        <v>1.0500000000000001E-2</v>
      </c>
      <c r="N79" s="6">
        <v>0.746</v>
      </c>
      <c r="O79">
        <v>285</v>
      </c>
      <c r="P79" t="s">
        <v>307</v>
      </c>
      <c r="Q79" t="s">
        <v>305</v>
      </c>
      <c r="R79">
        <v>7</v>
      </c>
      <c r="S79" s="9" t="s">
        <v>308</v>
      </c>
      <c r="T79" s="6">
        <v>45</v>
      </c>
      <c r="U79" t="s">
        <v>206</v>
      </c>
      <c r="V79" s="6">
        <v>82</v>
      </c>
    </row>
    <row r="80" spans="1:22" x14ac:dyDescent="0.25">
      <c r="A80" t="s">
        <v>123</v>
      </c>
      <c r="B80" t="s">
        <v>206</v>
      </c>
      <c r="C80" t="s">
        <v>75</v>
      </c>
      <c r="D80" t="s">
        <v>182</v>
      </c>
      <c r="E80">
        <v>45</v>
      </c>
      <c r="F80">
        <v>45</v>
      </c>
      <c r="G80">
        <v>135</v>
      </c>
      <c r="H80" s="8">
        <v>138.86000000000001</v>
      </c>
      <c r="I80" s="8">
        <v>128</v>
      </c>
      <c r="J80" s="8">
        <v>150.38</v>
      </c>
      <c r="K80" s="6">
        <v>16.100000000000001</v>
      </c>
      <c r="L80" s="6">
        <v>0</v>
      </c>
      <c r="M80" s="6">
        <v>0</v>
      </c>
      <c r="O80">
        <v>135</v>
      </c>
      <c r="P80" t="s">
        <v>309</v>
      </c>
      <c r="Q80" t="s">
        <v>310</v>
      </c>
      <c r="R80">
        <v>8</v>
      </c>
      <c r="S80" s="9" t="s">
        <v>311</v>
      </c>
      <c r="U80" t="s">
        <v>206</v>
      </c>
      <c r="V80" s="6">
        <v>100</v>
      </c>
    </row>
    <row r="81" spans="1:22" x14ac:dyDescent="0.25">
      <c r="A81" t="s">
        <v>134</v>
      </c>
      <c r="B81" t="s">
        <v>206</v>
      </c>
      <c r="C81" t="s">
        <v>75</v>
      </c>
      <c r="D81" t="s">
        <v>182</v>
      </c>
      <c r="E81">
        <v>92</v>
      </c>
      <c r="F81">
        <v>92</v>
      </c>
      <c r="G81">
        <v>366</v>
      </c>
      <c r="H81" s="8">
        <v>214.14</v>
      </c>
      <c r="I81" s="8">
        <v>174.14</v>
      </c>
      <c r="J81" s="8">
        <v>227</v>
      </c>
      <c r="K81" s="6">
        <v>24.7</v>
      </c>
      <c r="L81" s="6">
        <v>0</v>
      </c>
      <c r="M81" s="6">
        <v>0</v>
      </c>
      <c r="N81" s="6">
        <v>0.75409999999999999</v>
      </c>
      <c r="O81">
        <v>276</v>
      </c>
      <c r="P81" t="s">
        <v>312</v>
      </c>
      <c r="Q81" t="s">
        <v>208</v>
      </c>
      <c r="R81">
        <v>7</v>
      </c>
      <c r="S81" s="9" t="s">
        <v>313</v>
      </c>
      <c r="T81" s="6">
        <v>54.2</v>
      </c>
      <c r="U81" t="s">
        <v>206</v>
      </c>
      <c r="V81" s="6">
        <v>100</v>
      </c>
    </row>
    <row r="82" spans="1:22" x14ac:dyDescent="0.25">
      <c r="A82" t="s">
        <v>123</v>
      </c>
      <c r="B82" t="s">
        <v>210</v>
      </c>
      <c r="C82" t="s">
        <v>75</v>
      </c>
      <c r="D82" t="s">
        <v>182</v>
      </c>
      <c r="E82">
        <v>3</v>
      </c>
      <c r="F82">
        <v>3</v>
      </c>
      <c r="G82">
        <v>9</v>
      </c>
      <c r="H82" s="8">
        <v>140.38</v>
      </c>
      <c r="I82" s="8">
        <v>140.38</v>
      </c>
      <c r="J82" s="8">
        <v>141.62</v>
      </c>
      <c r="K82" s="6">
        <v>0.9</v>
      </c>
      <c r="L82" s="6">
        <v>0</v>
      </c>
      <c r="M82" s="6">
        <v>0</v>
      </c>
      <c r="O82">
        <v>9</v>
      </c>
      <c r="P82" t="s">
        <v>314</v>
      </c>
      <c r="Q82" t="s">
        <v>315</v>
      </c>
      <c r="R82">
        <v>8</v>
      </c>
      <c r="S82" s="9" t="s">
        <v>238</v>
      </c>
      <c r="U82" t="s">
        <v>206</v>
      </c>
      <c r="V82" s="6">
        <v>101.1</v>
      </c>
    </row>
    <row r="83" spans="1:22" x14ac:dyDescent="0.25">
      <c r="A83" t="s">
        <v>134</v>
      </c>
      <c r="B83" t="s">
        <v>210</v>
      </c>
      <c r="C83" t="s">
        <v>75</v>
      </c>
      <c r="D83" t="s">
        <v>182</v>
      </c>
      <c r="E83">
        <v>9</v>
      </c>
      <c r="F83">
        <v>9</v>
      </c>
      <c r="G83">
        <v>36</v>
      </c>
      <c r="H83" s="8">
        <v>167</v>
      </c>
      <c r="I83" s="8">
        <v>155.57</v>
      </c>
      <c r="J83" s="8">
        <v>207</v>
      </c>
      <c r="K83" s="6">
        <v>30.8</v>
      </c>
      <c r="L83" s="6">
        <v>0</v>
      </c>
      <c r="M83" s="6">
        <v>0</v>
      </c>
      <c r="N83" s="6">
        <v>0.75</v>
      </c>
      <c r="O83">
        <v>27</v>
      </c>
      <c r="P83" t="s">
        <v>314</v>
      </c>
      <c r="Q83" t="s">
        <v>316</v>
      </c>
      <c r="R83">
        <v>7</v>
      </c>
      <c r="S83" s="10" t="s">
        <v>190</v>
      </c>
      <c r="T83" s="6">
        <v>19</v>
      </c>
      <c r="U83" t="s">
        <v>206</v>
      </c>
      <c r="V83" s="6">
        <v>78</v>
      </c>
    </row>
    <row r="84" spans="1:22" hidden="1" x14ac:dyDescent="0.25">
      <c r="A84" t="s">
        <v>134</v>
      </c>
      <c r="B84" t="s">
        <v>194</v>
      </c>
      <c r="C84" t="s">
        <v>77</v>
      </c>
      <c r="D84" t="s">
        <v>182</v>
      </c>
      <c r="E84">
        <v>1</v>
      </c>
      <c r="F84">
        <v>1</v>
      </c>
      <c r="G84">
        <v>3</v>
      </c>
      <c r="H84" s="8">
        <v>255.57</v>
      </c>
      <c r="I84" s="8">
        <v>255.57</v>
      </c>
      <c r="J84" s="8">
        <v>255.57</v>
      </c>
      <c r="K84" s="6">
        <v>0</v>
      </c>
      <c r="L84" s="6">
        <v>0</v>
      </c>
      <c r="M84" s="6">
        <v>0</v>
      </c>
      <c r="N84" s="6">
        <v>1</v>
      </c>
      <c r="O84">
        <v>3</v>
      </c>
      <c r="P84" t="s">
        <v>297</v>
      </c>
      <c r="Q84" t="s">
        <v>297</v>
      </c>
      <c r="R84">
        <v>7</v>
      </c>
      <c r="S84" s="9" t="s">
        <v>184</v>
      </c>
    </row>
    <row r="85" spans="1:22" hidden="1" x14ac:dyDescent="0.25">
      <c r="A85" t="s">
        <v>123</v>
      </c>
      <c r="B85" t="s">
        <v>185</v>
      </c>
      <c r="C85" t="s">
        <v>77</v>
      </c>
      <c r="D85" t="s">
        <v>182</v>
      </c>
      <c r="E85">
        <v>1</v>
      </c>
      <c r="F85">
        <v>1</v>
      </c>
      <c r="G85">
        <v>3</v>
      </c>
      <c r="H85" s="8">
        <v>154.88</v>
      </c>
      <c r="I85" s="8">
        <v>154.88</v>
      </c>
      <c r="J85" s="8">
        <v>154.88</v>
      </c>
      <c r="K85" s="6">
        <v>0</v>
      </c>
      <c r="L85" s="6">
        <v>0</v>
      </c>
      <c r="M85" s="6">
        <v>0</v>
      </c>
      <c r="O85">
        <v>3</v>
      </c>
      <c r="P85" t="s">
        <v>317</v>
      </c>
      <c r="Q85" t="s">
        <v>317</v>
      </c>
      <c r="R85">
        <v>8</v>
      </c>
      <c r="S85" s="9" t="s">
        <v>184</v>
      </c>
    </row>
    <row r="86" spans="1:22" hidden="1" x14ac:dyDescent="0.25">
      <c r="A86" t="s">
        <v>134</v>
      </c>
      <c r="B86" t="s">
        <v>206</v>
      </c>
      <c r="C86" t="s">
        <v>77</v>
      </c>
      <c r="D86" t="s">
        <v>182</v>
      </c>
      <c r="E86">
        <v>4</v>
      </c>
      <c r="F86">
        <v>4</v>
      </c>
      <c r="G86">
        <v>12</v>
      </c>
      <c r="H86" s="8">
        <v>244.86</v>
      </c>
      <c r="I86" s="8">
        <v>234.14</v>
      </c>
      <c r="J86" s="8">
        <v>264.14</v>
      </c>
      <c r="K86" s="6">
        <v>12.3</v>
      </c>
      <c r="L86" s="6">
        <v>0</v>
      </c>
      <c r="M86" s="6">
        <v>0</v>
      </c>
      <c r="N86" s="6">
        <v>1</v>
      </c>
      <c r="O86">
        <v>12</v>
      </c>
      <c r="P86" t="s">
        <v>318</v>
      </c>
      <c r="Q86" t="s">
        <v>319</v>
      </c>
      <c r="R86">
        <v>7</v>
      </c>
      <c r="S86" s="9" t="s">
        <v>193</v>
      </c>
    </row>
    <row r="87" spans="1:22" hidden="1" x14ac:dyDescent="0.25">
      <c r="A87" t="s">
        <v>134</v>
      </c>
      <c r="B87" t="s">
        <v>214</v>
      </c>
      <c r="C87" t="s">
        <v>76</v>
      </c>
      <c r="D87" t="s">
        <v>182</v>
      </c>
      <c r="E87">
        <v>5</v>
      </c>
      <c r="F87">
        <v>5</v>
      </c>
      <c r="G87">
        <v>15</v>
      </c>
      <c r="H87" s="8">
        <v>234.86</v>
      </c>
      <c r="I87" s="8">
        <v>172.71</v>
      </c>
      <c r="J87" s="8">
        <v>268.43</v>
      </c>
      <c r="K87" s="6">
        <v>40.799999999999997</v>
      </c>
      <c r="L87" s="6">
        <v>0.2</v>
      </c>
      <c r="M87" s="6">
        <v>0.2</v>
      </c>
      <c r="N87" s="6">
        <v>0.8</v>
      </c>
      <c r="O87">
        <v>15</v>
      </c>
      <c r="P87" t="s">
        <v>215</v>
      </c>
      <c r="Q87" t="s">
        <v>245</v>
      </c>
      <c r="R87">
        <v>7</v>
      </c>
      <c r="S87" s="10" t="s">
        <v>246</v>
      </c>
      <c r="U87" t="s">
        <v>206</v>
      </c>
      <c r="V87" s="6">
        <v>100.3</v>
      </c>
    </row>
    <row r="88" spans="1:22" hidden="1" x14ac:dyDescent="0.25">
      <c r="A88" t="s">
        <v>134</v>
      </c>
      <c r="B88" t="s">
        <v>216</v>
      </c>
      <c r="C88" t="s">
        <v>76</v>
      </c>
      <c r="D88" t="s">
        <v>182</v>
      </c>
      <c r="E88">
        <v>6</v>
      </c>
      <c r="F88">
        <v>6</v>
      </c>
      <c r="G88">
        <v>20</v>
      </c>
      <c r="H88" s="8">
        <v>186.29</v>
      </c>
      <c r="I88" s="8">
        <v>158.43</v>
      </c>
      <c r="J88" s="8">
        <v>234.14</v>
      </c>
      <c r="K88" s="6">
        <v>40.6</v>
      </c>
      <c r="L88" s="6">
        <v>0.27779999999999999</v>
      </c>
      <c r="M88" s="6">
        <v>0.27779999999999999</v>
      </c>
      <c r="N88" s="6">
        <v>0.65</v>
      </c>
      <c r="O88">
        <v>18</v>
      </c>
      <c r="P88" t="s">
        <v>217</v>
      </c>
      <c r="Q88" t="s">
        <v>218</v>
      </c>
      <c r="R88">
        <v>7</v>
      </c>
      <c r="S88" s="10" t="s">
        <v>249</v>
      </c>
      <c r="U88" t="s">
        <v>206</v>
      </c>
      <c r="V88" s="6">
        <v>79.599999999999994</v>
      </c>
    </row>
    <row r="89" spans="1:22" hidden="1" x14ac:dyDescent="0.25">
      <c r="A89" t="s">
        <v>134</v>
      </c>
      <c r="B89" t="s">
        <v>187</v>
      </c>
      <c r="C89" t="s">
        <v>76</v>
      </c>
      <c r="D89" t="s">
        <v>182</v>
      </c>
      <c r="E89">
        <v>8</v>
      </c>
      <c r="F89">
        <v>8</v>
      </c>
      <c r="G89">
        <v>27</v>
      </c>
      <c r="H89" s="8">
        <v>200.21</v>
      </c>
      <c r="I89" s="8">
        <v>197</v>
      </c>
      <c r="J89" s="8">
        <v>222.71</v>
      </c>
      <c r="K89" s="6">
        <v>12.8</v>
      </c>
      <c r="L89" s="6">
        <v>8.3299999999999999E-2</v>
      </c>
      <c r="M89" s="6">
        <v>8.3299999999999999E-2</v>
      </c>
      <c r="N89" s="6">
        <v>0.81479999999999997</v>
      </c>
      <c r="O89">
        <v>24</v>
      </c>
      <c r="P89" t="s">
        <v>292</v>
      </c>
      <c r="Q89" t="s">
        <v>228</v>
      </c>
      <c r="R89">
        <v>7</v>
      </c>
      <c r="S89" s="10" t="s">
        <v>232</v>
      </c>
      <c r="U89" t="s">
        <v>206</v>
      </c>
      <c r="V89" s="6">
        <v>85.5</v>
      </c>
    </row>
    <row r="90" spans="1:22" hidden="1" x14ac:dyDescent="0.25">
      <c r="A90" t="s">
        <v>123</v>
      </c>
      <c r="B90" t="s">
        <v>194</v>
      </c>
      <c r="C90" t="s">
        <v>76</v>
      </c>
      <c r="D90" t="s">
        <v>182</v>
      </c>
      <c r="E90">
        <v>1</v>
      </c>
      <c r="F90">
        <v>1</v>
      </c>
      <c r="G90">
        <v>3</v>
      </c>
      <c r="H90" s="8">
        <v>115.62</v>
      </c>
      <c r="I90" s="8">
        <v>115.62</v>
      </c>
      <c r="J90" s="8">
        <v>115.62</v>
      </c>
      <c r="K90" s="6">
        <v>0</v>
      </c>
      <c r="L90" s="6">
        <v>0</v>
      </c>
      <c r="M90" s="6">
        <v>0</v>
      </c>
      <c r="O90">
        <v>3</v>
      </c>
      <c r="P90" t="s">
        <v>320</v>
      </c>
      <c r="Q90" t="s">
        <v>320</v>
      </c>
      <c r="R90">
        <v>8</v>
      </c>
      <c r="S90" s="9" t="s">
        <v>184</v>
      </c>
    </row>
    <row r="91" spans="1:22" hidden="1" x14ac:dyDescent="0.25">
      <c r="A91" t="s">
        <v>134</v>
      </c>
      <c r="B91" t="s">
        <v>194</v>
      </c>
      <c r="C91" t="s">
        <v>76</v>
      </c>
      <c r="D91" t="s">
        <v>182</v>
      </c>
      <c r="E91">
        <v>4</v>
      </c>
      <c r="F91">
        <v>4</v>
      </c>
      <c r="G91">
        <v>12</v>
      </c>
      <c r="H91" s="8">
        <v>232</v>
      </c>
      <c r="I91" s="8">
        <v>214.14</v>
      </c>
      <c r="J91" s="8">
        <v>258.43</v>
      </c>
      <c r="K91" s="6">
        <v>19.100000000000001</v>
      </c>
      <c r="L91" s="6">
        <v>0</v>
      </c>
      <c r="M91" s="6">
        <v>0</v>
      </c>
      <c r="N91" s="6">
        <v>1</v>
      </c>
      <c r="O91">
        <v>12</v>
      </c>
      <c r="P91" t="s">
        <v>296</v>
      </c>
      <c r="Q91" t="s">
        <v>321</v>
      </c>
      <c r="R91">
        <v>7</v>
      </c>
      <c r="S91" s="9" t="s">
        <v>193</v>
      </c>
      <c r="T91" s="6">
        <v>100.7</v>
      </c>
      <c r="U91" t="s">
        <v>206</v>
      </c>
      <c r="V91" s="6">
        <v>99.1</v>
      </c>
    </row>
    <row r="92" spans="1:22" hidden="1" x14ac:dyDescent="0.25">
      <c r="A92" t="s">
        <v>123</v>
      </c>
      <c r="B92" t="s">
        <v>185</v>
      </c>
      <c r="C92" t="s">
        <v>76</v>
      </c>
      <c r="D92" t="s">
        <v>182</v>
      </c>
      <c r="E92">
        <v>3</v>
      </c>
      <c r="F92">
        <v>3</v>
      </c>
      <c r="G92">
        <v>9</v>
      </c>
      <c r="H92" s="8">
        <v>119.62</v>
      </c>
      <c r="I92" s="8">
        <v>110.38</v>
      </c>
      <c r="J92" s="8">
        <v>135.38</v>
      </c>
      <c r="K92" s="6">
        <v>20.9</v>
      </c>
      <c r="L92" s="6">
        <v>0</v>
      </c>
      <c r="M92" s="6">
        <v>0</v>
      </c>
      <c r="O92">
        <v>9</v>
      </c>
      <c r="P92" t="s">
        <v>322</v>
      </c>
      <c r="Q92" t="s">
        <v>317</v>
      </c>
      <c r="R92">
        <v>8</v>
      </c>
      <c r="S92" s="9" t="s">
        <v>238</v>
      </c>
    </row>
    <row r="93" spans="1:22" hidden="1" x14ac:dyDescent="0.25">
      <c r="A93" t="s">
        <v>134</v>
      </c>
      <c r="B93" t="s">
        <v>185</v>
      </c>
      <c r="C93" t="s">
        <v>76</v>
      </c>
      <c r="D93" t="s">
        <v>182</v>
      </c>
      <c r="E93">
        <v>9</v>
      </c>
      <c r="F93">
        <v>9</v>
      </c>
      <c r="G93">
        <v>29</v>
      </c>
      <c r="H93" s="8">
        <v>199.86</v>
      </c>
      <c r="I93" s="8">
        <v>191.29</v>
      </c>
      <c r="J93" s="8">
        <v>214.86</v>
      </c>
      <c r="K93" s="6">
        <v>11.8</v>
      </c>
      <c r="L93" s="6">
        <v>3.6999999999999998E-2</v>
      </c>
      <c r="M93" s="6">
        <v>3.6999999999999998E-2</v>
      </c>
      <c r="N93" s="6">
        <v>0.89659999999999995</v>
      </c>
      <c r="O93">
        <v>27</v>
      </c>
      <c r="P93" t="s">
        <v>230</v>
      </c>
      <c r="Q93" t="s">
        <v>231</v>
      </c>
      <c r="R93">
        <v>7</v>
      </c>
      <c r="S93" s="10" t="s">
        <v>190</v>
      </c>
      <c r="T93" s="6">
        <v>67.099999999999994</v>
      </c>
      <c r="U93" t="s">
        <v>206</v>
      </c>
      <c r="V93" s="6">
        <v>85.4</v>
      </c>
    </row>
    <row r="94" spans="1:22" hidden="1" x14ac:dyDescent="0.25">
      <c r="A94" t="s">
        <v>123</v>
      </c>
      <c r="B94" t="s">
        <v>203</v>
      </c>
      <c r="C94" t="s">
        <v>76</v>
      </c>
      <c r="D94" t="s">
        <v>182</v>
      </c>
      <c r="E94">
        <v>2</v>
      </c>
      <c r="F94">
        <v>2</v>
      </c>
      <c r="G94">
        <v>6</v>
      </c>
      <c r="H94" s="8">
        <v>146.12</v>
      </c>
      <c r="I94" s="8">
        <v>133</v>
      </c>
      <c r="J94" s="8">
        <v>159.25</v>
      </c>
      <c r="K94" s="6">
        <v>18</v>
      </c>
      <c r="L94" s="6">
        <v>0</v>
      </c>
      <c r="M94" s="6">
        <v>0</v>
      </c>
      <c r="O94">
        <v>6</v>
      </c>
      <c r="P94" t="s">
        <v>323</v>
      </c>
      <c r="Q94" t="s">
        <v>324</v>
      </c>
      <c r="R94">
        <v>7.5</v>
      </c>
      <c r="S94" s="9" t="s">
        <v>213</v>
      </c>
    </row>
    <row r="95" spans="1:22" hidden="1" x14ac:dyDescent="0.25">
      <c r="A95" t="s">
        <v>134</v>
      </c>
      <c r="B95" t="s">
        <v>203</v>
      </c>
      <c r="C95" t="s">
        <v>76</v>
      </c>
      <c r="D95" t="s">
        <v>182</v>
      </c>
      <c r="E95">
        <v>4</v>
      </c>
      <c r="F95">
        <v>4</v>
      </c>
      <c r="G95">
        <v>13</v>
      </c>
      <c r="H95" s="8">
        <v>221.29</v>
      </c>
      <c r="I95" s="8">
        <v>217</v>
      </c>
      <c r="J95" s="8">
        <v>228.43</v>
      </c>
      <c r="K95" s="6">
        <v>5.2</v>
      </c>
      <c r="L95" s="6">
        <v>8.3299999999999999E-2</v>
      </c>
      <c r="M95" s="6">
        <v>8.3299999999999999E-2</v>
      </c>
      <c r="N95" s="6">
        <v>0.84619999999999995</v>
      </c>
      <c r="O95">
        <v>12</v>
      </c>
      <c r="P95" t="s">
        <v>236</v>
      </c>
      <c r="Q95" t="s">
        <v>237</v>
      </c>
      <c r="R95">
        <v>7</v>
      </c>
      <c r="S95" s="9" t="s">
        <v>193</v>
      </c>
      <c r="T95" s="6">
        <v>51.4</v>
      </c>
      <c r="U95" t="s">
        <v>206</v>
      </c>
      <c r="V95" s="6">
        <v>94.5</v>
      </c>
    </row>
    <row r="96" spans="1:22" hidden="1" x14ac:dyDescent="0.25">
      <c r="A96" t="s">
        <v>134</v>
      </c>
      <c r="B96" t="s">
        <v>206</v>
      </c>
      <c r="C96" t="s">
        <v>76</v>
      </c>
      <c r="D96" t="s">
        <v>182</v>
      </c>
      <c r="E96">
        <v>23</v>
      </c>
      <c r="F96">
        <v>23</v>
      </c>
      <c r="G96">
        <v>69</v>
      </c>
      <c r="H96" s="8">
        <v>234.14</v>
      </c>
      <c r="I96" s="8">
        <v>228.43</v>
      </c>
      <c r="J96" s="8">
        <v>239.86</v>
      </c>
      <c r="K96" s="6">
        <v>4.9000000000000004</v>
      </c>
      <c r="L96" s="6">
        <v>0</v>
      </c>
      <c r="M96" s="6">
        <v>0</v>
      </c>
      <c r="N96" s="6">
        <v>1</v>
      </c>
      <c r="O96">
        <v>69</v>
      </c>
      <c r="P96" t="s">
        <v>325</v>
      </c>
      <c r="Q96" t="s">
        <v>208</v>
      </c>
      <c r="R96">
        <v>7</v>
      </c>
      <c r="S96" s="10" t="s">
        <v>199</v>
      </c>
      <c r="U96" t="s">
        <v>206</v>
      </c>
      <c r="V96" s="6">
        <v>100</v>
      </c>
    </row>
    <row r="97" spans="1:22" hidden="1" x14ac:dyDescent="0.25">
      <c r="A97" t="s">
        <v>134</v>
      </c>
      <c r="B97" t="s">
        <v>210</v>
      </c>
      <c r="C97" t="s">
        <v>76</v>
      </c>
      <c r="D97" t="s">
        <v>182</v>
      </c>
      <c r="E97">
        <v>3</v>
      </c>
      <c r="F97">
        <v>3</v>
      </c>
      <c r="G97">
        <v>9</v>
      </c>
      <c r="H97" s="8">
        <v>232.71</v>
      </c>
      <c r="I97" s="8">
        <v>231.29</v>
      </c>
      <c r="J97" s="8">
        <v>237</v>
      </c>
      <c r="K97" s="6">
        <v>2.5</v>
      </c>
      <c r="L97" s="6">
        <v>0</v>
      </c>
      <c r="M97" s="6">
        <v>0</v>
      </c>
      <c r="N97" s="6">
        <v>1</v>
      </c>
      <c r="O97">
        <v>9</v>
      </c>
      <c r="P97" t="s">
        <v>211</v>
      </c>
      <c r="Q97" t="s">
        <v>326</v>
      </c>
      <c r="R97">
        <v>7</v>
      </c>
      <c r="S97" s="9" t="s">
        <v>238</v>
      </c>
      <c r="U97" t="s">
        <v>206</v>
      </c>
      <c r="V97" s="6">
        <v>99.4</v>
      </c>
    </row>
  </sheetData>
  <autoFilter ref="A23:V97" xr:uid="{00000000-0009-0000-0000-000002000000}">
    <filterColumn colId="2">
      <filters>
        <filter val="Caribbean"/>
      </filters>
    </filterColumn>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V147"/>
  <sheetViews>
    <sheetView workbookViewId="0">
      <pane ySplit="24" topLeftCell="A25" activePane="bottomLeft" state="frozen"/>
      <selection pane="bottomLeft"/>
    </sheetView>
  </sheetViews>
  <sheetFormatPr defaultRowHeight="15" x14ac:dyDescent="0.25"/>
  <cols>
    <col min="1" max="1" width="23" customWidth="1"/>
    <col min="2" max="2" width="10" customWidth="1"/>
    <col min="3" max="3" width="17" customWidth="1"/>
    <col min="4" max="4" width="13" customWidth="1"/>
    <col min="5" max="5" width="10" customWidth="1"/>
    <col min="6" max="6" width="17" customWidth="1"/>
    <col min="7" max="7" width="9" customWidth="1"/>
    <col min="8" max="8" width="13" customWidth="1"/>
    <col min="9" max="10" width="10" customWidth="1"/>
    <col min="11" max="12" width="16" customWidth="1"/>
    <col min="13" max="13" width="26" customWidth="1"/>
    <col min="14" max="14" width="13" customWidth="1"/>
    <col min="15" max="15" width="16" customWidth="1"/>
    <col min="16" max="17" width="12" customWidth="1"/>
    <col min="18" max="18" width="15" customWidth="1"/>
    <col min="19" max="19" width="27" customWidth="1"/>
    <col min="20" max="20" width="21" customWidth="1"/>
    <col min="21" max="21" width="17" customWidth="1"/>
    <col min="22" max="22" width="23" customWidth="1"/>
  </cols>
  <sheetData>
    <row r="1" spans="1:1" ht="17.25" x14ac:dyDescent="0.3">
      <c r="A1" s="1" t="s">
        <v>37</v>
      </c>
    </row>
    <row r="2" spans="1:1" x14ac:dyDescent="0.25">
      <c r="A2" s="2" t="s">
        <v>39</v>
      </c>
    </row>
    <row r="3" spans="1:1" x14ac:dyDescent="0.25">
      <c r="A3" s="2" t="s">
        <v>98</v>
      </c>
    </row>
    <row r="4" spans="1:1" x14ac:dyDescent="0.25">
      <c r="A4" s="2" t="s">
        <v>327</v>
      </c>
    </row>
    <row r="6" spans="1:1" x14ac:dyDescent="0.25">
      <c r="A6" s="7" t="s">
        <v>100</v>
      </c>
    </row>
    <row r="7" spans="1:1" x14ac:dyDescent="0.25">
      <c r="A7" s="7" t="s">
        <v>328</v>
      </c>
    </row>
    <row r="8" spans="1:1" x14ac:dyDescent="0.25">
      <c r="A8" s="7" t="s">
        <v>329</v>
      </c>
    </row>
    <row r="9" spans="1:1" x14ac:dyDescent="0.25">
      <c r="A9" s="7" t="s">
        <v>330</v>
      </c>
    </row>
    <row r="10" spans="1:1" x14ac:dyDescent="0.25">
      <c r="A10" s="7" t="s">
        <v>153</v>
      </c>
    </row>
    <row r="11" spans="1:1" x14ac:dyDescent="0.25">
      <c r="A11" s="2" t="s">
        <v>154</v>
      </c>
    </row>
    <row r="12" spans="1:1" x14ac:dyDescent="0.25">
      <c r="A12" s="2" t="s">
        <v>155</v>
      </c>
    </row>
    <row r="13" spans="1:1" x14ac:dyDescent="0.25">
      <c r="A13" s="2" t="s">
        <v>156</v>
      </c>
    </row>
    <row r="14" spans="1:1" x14ac:dyDescent="0.25">
      <c r="A14" s="2" t="s">
        <v>157</v>
      </c>
    </row>
    <row r="15" spans="1:1" x14ac:dyDescent="0.25">
      <c r="A15" s="2" t="s">
        <v>158</v>
      </c>
    </row>
    <row r="16" spans="1:1" x14ac:dyDescent="0.25">
      <c r="A16" s="2" t="s">
        <v>159</v>
      </c>
    </row>
    <row r="17" spans="1:22" x14ac:dyDescent="0.25">
      <c r="A17" s="2" t="s">
        <v>160</v>
      </c>
    </row>
    <row r="18" spans="1:22" x14ac:dyDescent="0.25">
      <c r="A18" s="2" t="s">
        <v>161</v>
      </c>
    </row>
    <row r="19" spans="1:22" x14ac:dyDescent="0.25">
      <c r="A19" s="2" t="s">
        <v>162</v>
      </c>
    </row>
    <row r="20" spans="1:22" x14ac:dyDescent="0.25">
      <c r="A20" s="2" t="s">
        <v>163</v>
      </c>
    </row>
    <row r="21" spans="1:22" x14ac:dyDescent="0.25">
      <c r="A21" s="2" t="s">
        <v>164</v>
      </c>
    </row>
    <row r="22" spans="1:22" x14ac:dyDescent="0.25">
      <c r="A22" s="2" t="s">
        <v>165</v>
      </c>
    </row>
    <row r="24" spans="1:22" x14ac:dyDescent="0.25">
      <c r="A24" s="5" t="s">
        <v>108</v>
      </c>
      <c r="B24" s="5" t="s">
        <v>166</v>
      </c>
      <c r="C24" s="5" t="s">
        <v>331</v>
      </c>
      <c r="D24" s="5" t="s">
        <v>167</v>
      </c>
      <c r="E24" s="5" t="s">
        <v>71</v>
      </c>
      <c r="F24" s="5" t="s">
        <v>168</v>
      </c>
      <c r="G24" s="5" t="s">
        <v>110</v>
      </c>
      <c r="H24" s="5" t="s">
        <v>169</v>
      </c>
      <c r="I24" s="5" t="s">
        <v>170</v>
      </c>
      <c r="J24" s="5" t="s">
        <v>171</v>
      </c>
      <c r="K24" s="5" t="s">
        <v>172</v>
      </c>
      <c r="L24" s="5" t="s">
        <v>118</v>
      </c>
      <c r="M24" s="5" t="s">
        <v>173</v>
      </c>
      <c r="N24" s="5" t="s">
        <v>174</v>
      </c>
      <c r="O24" s="5" t="s">
        <v>111</v>
      </c>
      <c r="P24" s="5" t="s">
        <v>175</v>
      </c>
      <c r="Q24" s="5" t="s">
        <v>176</v>
      </c>
      <c r="R24" s="5" t="s">
        <v>177</v>
      </c>
      <c r="S24" s="5" t="s">
        <v>122</v>
      </c>
      <c r="T24" s="5" t="s">
        <v>178</v>
      </c>
      <c r="U24" s="5" t="s">
        <v>179</v>
      </c>
      <c r="V24" s="5" t="s">
        <v>180</v>
      </c>
    </row>
    <row r="25" spans="1:22" x14ac:dyDescent="0.25">
      <c r="A25" t="s">
        <v>123</v>
      </c>
      <c r="B25" t="s">
        <v>214</v>
      </c>
      <c r="C25" t="s">
        <v>332</v>
      </c>
      <c r="D25" t="s">
        <v>182</v>
      </c>
      <c r="E25">
        <v>1</v>
      </c>
      <c r="F25">
        <v>1</v>
      </c>
      <c r="G25">
        <v>3</v>
      </c>
      <c r="H25" s="8">
        <v>189.29</v>
      </c>
      <c r="I25" s="8">
        <v>189.29</v>
      </c>
      <c r="J25" s="8">
        <v>189.29</v>
      </c>
      <c r="K25" s="6">
        <v>0</v>
      </c>
      <c r="L25" s="6">
        <v>0</v>
      </c>
      <c r="M25" s="6">
        <v>0</v>
      </c>
      <c r="O25">
        <v>3</v>
      </c>
      <c r="P25" t="s">
        <v>333</v>
      </c>
      <c r="Q25" t="s">
        <v>333</v>
      </c>
      <c r="R25">
        <v>7</v>
      </c>
      <c r="S25" s="9" t="s">
        <v>184</v>
      </c>
      <c r="U25" t="s">
        <v>303</v>
      </c>
      <c r="V25" s="6">
        <v>159.80000000000001</v>
      </c>
    </row>
    <row r="26" spans="1:22" x14ac:dyDescent="0.25">
      <c r="A26" t="s">
        <v>123</v>
      </c>
      <c r="B26" t="s">
        <v>219</v>
      </c>
      <c r="C26" t="s">
        <v>332</v>
      </c>
      <c r="D26" t="s">
        <v>182</v>
      </c>
      <c r="E26">
        <v>3</v>
      </c>
      <c r="F26">
        <v>3</v>
      </c>
      <c r="G26">
        <v>9</v>
      </c>
      <c r="H26" s="8">
        <v>112.43</v>
      </c>
      <c r="I26" s="8">
        <v>81.31</v>
      </c>
      <c r="J26" s="8">
        <v>122.93</v>
      </c>
      <c r="K26" s="6">
        <v>37</v>
      </c>
      <c r="L26" s="6">
        <v>0.22220000000000001</v>
      </c>
      <c r="M26" s="6">
        <v>0.22220000000000001</v>
      </c>
      <c r="O26">
        <v>9</v>
      </c>
      <c r="P26" t="s">
        <v>250</v>
      </c>
      <c r="Q26" t="s">
        <v>334</v>
      </c>
      <c r="R26">
        <v>7</v>
      </c>
      <c r="S26" s="9" t="s">
        <v>238</v>
      </c>
      <c r="U26" t="s">
        <v>303</v>
      </c>
      <c r="V26" s="6">
        <v>94.9</v>
      </c>
    </row>
    <row r="27" spans="1:22" x14ac:dyDescent="0.25">
      <c r="A27" t="s">
        <v>123</v>
      </c>
      <c r="B27" t="s">
        <v>221</v>
      </c>
      <c r="C27" t="s">
        <v>332</v>
      </c>
      <c r="D27" t="s">
        <v>182</v>
      </c>
      <c r="E27">
        <v>3</v>
      </c>
      <c r="F27">
        <v>3</v>
      </c>
      <c r="G27">
        <v>9</v>
      </c>
      <c r="H27" s="8">
        <v>103.86</v>
      </c>
      <c r="I27" s="8">
        <v>84</v>
      </c>
      <c r="J27" s="8">
        <v>212.43</v>
      </c>
      <c r="K27" s="6">
        <v>123.7</v>
      </c>
      <c r="L27" s="6">
        <v>0</v>
      </c>
      <c r="M27" s="6">
        <v>0</v>
      </c>
      <c r="O27">
        <v>9</v>
      </c>
      <c r="P27" t="s">
        <v>222</v>
      </c>
      <c r="Q27" t="s">
        <v>223</v>
      </c>
      <c r="R27">
        <v>7</v>
      </c>
      <c r="S27" s="9" t="s">
        <v>238</v>
      </c>
      <c r="U27" t="s">
        <v>303</v>
      </c>
      <c r="V27" s="6">
        <v>87.7</v>
      </c>
    </row>
    <row r="28" spans="1:22" x14ac:dyDescent="0.25">
      <c r="A28" t="s">
        <v>134</v>
      </c>
      <c r="B28" t="s">
        <v>221</v>
      </c>
      <c r="C28" t="s">
        <v>332</v>
      </c>
      <c r="D28" t="s">
        <v>182</v>
      </c>
      <c r="E28">
        <v>2</v>
      </c>
      <c r="F28">
        <v>2</v>
      </c>
      <c r="G28">
        <v>8</v>
      </c>
      <c r="H28" s="8">
        <v>102.36</v>
      </c>
      <c r="I28" s="8">
        <v>89.14</v>
      </c>
      <c r="J28" s="8">
        <v>115.57</v>
      </c>
      <c r="K28" s="6">
        <v>25.8</v>
      </c>
      <c r="L28" s="6">
        <v>0.33329999999999999</v>
      </c>
      <c r="M28" s="6">
        <v>0.33329999999999999</v>
      </c>
      <c r="N28" s="6">
        <v>0.5</v>
      </c>
      <c r="O28">
        <v>6</v>
      </c>
      <c r="P28" t="s">
        <v>335</v>
      </c>
      <c r="Q28" t="s">
        <v>253</v>
      </c>
      <c r="R28">
        <v>7</v>
      </c>
      <c r="S28" s="9" t="s">
        <v>213</v>
      </c>
      <c r="T28" s="6">
        <v>-1.4</v>
      </c>
      <c r="U28" t="s">
        <v>303</v>
      </c>
      <c r="V28" s="6">
        <v>59.8</v>
      </c>
    </row>
    <row r="29" spans="1:22" x14ac:dyDescent="0.25">
      <c r="A29" t="s">
        <v>123</v>
      </c>
      <c r="B29" t="s">
        <v>258</v>
      </c>
      <c r="C29" t="s">
        <v>332</v>
      </c>
      <c r="D29" t="s">
        <v>182</v>
      </c>
      <c r="E29">
        <v>3</v>
      </c>
      <c r="F29">
        <v>3</v>
      </c>
      <c r="G29">
        <v>9</v>
      </c>
      <c r="H29" s="8">
        <v>102.43</v>
      </c>
      <c r="I29" s="8">
        <v>102.25</v>
      </c>
      <c r="J29" s="8">
        <v>126.57</v>
      </c>
      <c r="K29" s="6">
        <v>23.7</v>
      </c>
      <c r="L29" s="6">
        <v>0</v>
      </c>
      <c r="M29" s="6">
        <v>0</v>
      </c>
      <c r="O29">
        <v>9</v>
      </c>
      <c r="P29" t="s">
        <v>259</v>
      </c>
      <c r="Q29" t="s">
        <v>336</v>
      </c>
      <c r="R29">
        <v>7</v>
      </c>
      <c r="S29" s="9" t="s">
        <v>238</v>
      </c>
      <c r="U29" t="s">
        <v>303</v>
      </c>
      <c r="V29" s="6">
        <v>86.5</v>
      </c>
    </row>
    <row r="30" spans="1:22" x14ac:dyDescent="0.25">
      <c r="A30" t="s">
        <v>134</v>
      </c>
      <c r="B30" t="s">
        <v>258</v>
      </c>
      <c r="C30" t="s">
        <v>332</v>
      </c>
      <c r="D30" t="s">
        <v>182</v>
      </c>
      <c r="E30">
        <v>1</v>
      </c>
      <c r="F30">
        <v>1</v>
      </c>
      <c r="G30">
        <v>4</v>
      </c>
      <c r="H30" s="8">
        <v>97</v>
      </c>
      <c r="I30" s="8">
        <v>97</v>
      </c>
      <c r="J30" s="8">
        <v>97</v>
      </c>
      <c r="K30" s="6">
        <v>0</v>
      </c>
      <c r="L30" s="6">
        <v>0.33329999999999999</v>
      </c>
      <c r="M30" s="6">
        <v>0.33329999999999999</v>
      </c>
      <c r="N30" s="6">
        <v>0.5</v>
      </c>
      <c r="O30">
        <v>3</v>
      </c>
      <c r="P30" t="s">
        <v>337</v>
      </c>
      <c r="Q30" t="s">
        <v>337</v>
      </c>
      <c r="R30">
        <v>7</v>
      </c>
      <c r="S30" s="9" t="s">
        <v>184</v>
      </c>
      <c r="T30" s="6">
        <v>-5.3</v>
      </c>
      <c r="U30" t="s">
        <v>303</v>
      </c>
      <c r="V30" s="6">
        <v>56.6</v>
      </c>
    </row>
    <row r="31" spans="1:22" x14ac:dyDescent="0.25">
      <c r="A31" t="s">
        <v>123</v>
      </c>
      <c r="B31" t="s">
        <v>264</v>
      </c>
      <c r="C31" t="s">
        <v>332</v>
      </c>
      <c r="D31" t="s">
        <v>182</v>
      </c>
      <c r="E31">
        <v>4</v>
      </c>
      <c r="F31">
        <v>4</v>
      </c>
      <c r="G31">
        <v>12</v>
      </c>
      <c r="H31" s="8">
        <v>155.25</v>
      </c>
      <c r="I31" s="8">
        <v>134.5</v>
      </c>
      <c r="J31" s="8">
        <v>210.88</v>
      </c>
      <c r="K31" s="6">
        <v>49.2</v>
      </c>
      <c r="L31" s="6">
        <v>0</v>
      </c>
      <c r="M31" s="6">
        <v>0</v>
      </c>
      <c r="O31">
        <v>12</v>
      </c>
      <c r="P31" t="s">
        <v>265</v>
      </c>
      <c r="Q31" t="s">
        <v>266</v>
      </c>
      <c r="R31">
        <v>8</v>
      </c>
      <c r="S31" s="9" t="s">
        <v>193</v>
      </c>
      <c r="U31" t="s">
        <v>303</v>
      </c>
      <c r="V31" s="6">
        <v>131.1</v>
      </c>
    </row>
    <row r="32" spans="1:22" x14ac:dyDescent="0.25">
      <c r="A32" t="s">
        <v>123</v>
      </c>
      <c r="B32" t="s">
        <v>268</v>
      </c>
      <c r="C32" t="s">
        <v>332</v>
      </c>
      <c r="D32" t="s">
        <v>182</v>
      </c>
      <c r="E32">
        <v>1</v>
      </c>
      <c r="F32">
        <v>1</v>
      </c>
      <c r="G32">
        <v>3</v>
      </c>
      <c r="H32" s="8">
        <v>76.5</v>
      </c>
      <c r="I32" s="8">
        <v>76.5</v>
      </c>
      <c r="J32" s="8">
        <v>76.5</v>
      </c>
      <c r="K32" s="6">
        <v>0</v>
      </c>
      <c r="L32" s="6">
        <v>0</v>
      </c>
      <c r="M32" s="6">
        <v>0</v>
      </c>
      <c r="O32">
        <v>3</v>
      </c>
      <c r="P32" t="s">
        <v>338</v>
      </c>
      <c r="Q32" t="s">
        <v>338</v>
      </c>
      <c r="R32">
        <v>8</v>
      </c>
      <c r="S32" s="9" t="s">
        <v>184</v>
      </c>
      <c r="U32" t="s">
        <v>303</v>
      </c>
      <c r="V32" s="6">
        <v>64.599999999999994</v>
      </c>
    </row>
    <row r="33" spans="1:22" x14ac:dyDescent="0.25">
      <c r="A33" t="s">
        <v>134</v>
      </c>
      <c r="B33" t="s">
        <v>268</v>
      </c>
      <c r="C33" t="s">
        <v>332</v>
      </c>
      <c r="D33" t="s">
        <v>182</v>
      </c>
      <c r="E33">
        <v>2</v>
      </c>
      <c r="F33">
        <v>2</v>
      </c>
      <c r="G33">
        <v>8</v>
      </c>
      <c r="H33" s="8">
        <v>103.43</v>
      </c>
      <c r="I33" s="8">
        <v>103.43</v>
      </c>
      <c r="J33" s="8">
        <v>103.43</v>
      </c>
      <c r="K33" s="6">
        <v>0</v>
      </c>
      <c r="L33" s="6">
        <v>0.33329999999999999</v>
      </c>
      <c r="M33" s="6">
        <v>0.33329999999999999</v>
      </c>
      <c r="N33" s="6">
        <v>0.5</v>
      </c>
      <c r="O33">
        <v>6</v>
      </c>
      <c r="P33" t="s">
        <v>339</v>
      </c>
      <c r="Q33" t="s">
        <v>270</v>
      </c>
      <c r="R33">
        <v>7</v>
      </c>
      <c r="S33" s="9" t="s">
        <v>213</v>
      </c>
      <c r="T33" s="6">
        <v>35.200000000000003</v>
      </c>
      <c r="U33" t="s">
        <v>303</v>
      </c>
      <c r="V33" s="6">
        <v>60.4</v>
      </c>
    </row>
    <row r="34" spans="1:22" x14ac:dyDescent="0.25">
      <c r="A34" t="s">
        <v>123</v>
      </c>
      <c r="B34" t="s">
        <v>271</v>
      </c>
      <c r="C34" t="s">
        <v>332</v>
      </c>
      <c r="D34" t="s">
        <v>182</v>
      </c>
      <c r="E34">
        <v>1</v>
      </c>
      <c r="F34">
        <v>1</v>
      </c>
      <c r="G34">
        <v>3</v>
      </c>
      <c r="H34" s="8">
        <v>89.12</v>
      </c>
      <c r="I34" s="8">
        <v>89.12</v>
      </c>
      <c r="J34" s="8">
        <v>89.12</v>
      </c>
      <c r="K34" s="6">
        <v>0</v>
      </c>
      <c r="L34" s="6">
        <v>0</v>
      </c>
      <c r="M34" s="6">
        <v>0</v>
      </c>
      <c r="O34">
        <v>3</v>
      </c>
      <c r="P34" t="s">
        <v>340</v>
      </c>
      <c r="Q34" t="s">
        <v>340</v>
      </c>
      <c r="R34">
        <v>8</v>
      </c>
      <c r="S34" s="9" t="s">
        <v>184</v>
      </c>
      <c r="U34" t="s">
        <v>303</v>
      </c>
      <c r="V34" s="6">
        <v>75.3</v>
      </c>
    </row>
    <row r="35" spans="1:22" x14ac:dyDescent="0.25">
      <c r="A35" t="s">
        <v>134</v>
      </c>
      <c r="B35" t="s">
        <v>271</v>
      </c>
      <c r="C35" t="s">
        <v>332</v>
      </c>
      <c r="D35" t="s">
        <v>182</v>
      </c>
      <c r="E35">
        <v>2</v>
      </c>
      <c r="F35">
        <v>2</v>
      </c>
      <c r="G35">
        <v>8</v>
      </c>
      <c r="H35" s="8">
        <v>116.64</v>
      </c>
      <c r="I35" s="8">
        <v>110.57</v>
      </c>
      <c r="J35" s="8">
        <v>122.71</v>
      </c>
      <c r="K35" s="6">
        <v>10.4</v>
      </c>
      <c r="L35" s="6">
        <v>0.33329999999999999</v>
      </c>
      <c r="M35" s="6">
        <v>0.33329999999999999</v>
      </c>
      <c r="N35" s="6">
        <v>0.5</v>
      </c>
      <c r="O35">
        <v>6</v>
      </c>
      <c r="P35" t="s">
        <v>341</v>
      </c>
      <c r="Q35" t="s">
        <v>273</v>
      </c>
      <c r="R35">
        <v>7</v>
      </c>
      <c r="S35" s="9" t="s">
        <v>213</v>
      </c>
      <c r="T35" s="6">
        <v>30.9</v>
      </c>
      <c r="U35" t="s">
        <v>303</v>
      </c>
      <c r="V35" s="6">
        <v>68.099999999999994</v>
      </c>
    </row>
    <row r="36" spans="1:22" x14ac:dyDescent="0.25">
      <c r="A36" t="s">
        <v>123</v>
      </c>
      <c r="B36" t="s">
        <v>276</v>
      </c>
      <c r="C36" t="s">
        <v>332</v>
      </c>
      <c r="D36" t="s">
        <v>182</v>
      </c>
      <c r="E36">
        <v>3</v>
      </c>
      <c r="F36">
        <v>3</v>
      </c>
      <c r="G36">
        <v>9</v>
      </c>
      <c r="H36" s="8">
        <v>113.29</v>
      </c>
      <c r="I36" s="8">
        <v>93.38</v>
      </c>
      <c r="J36" s="8">
        <v>124</v>
      </c>
      <c r="K36" s="6">
        <v>27</v>
      </c>
      <c r="L36" s="6">
        <v>0</v>
      </c>
      <c r="M36" s="6">
        <v>0</v>
      </c>
      <c r="O36">
        <v>9</v>
      </c>
      <c r="P36" t="s">
        <v>277</v>
      </c>
      <c r="Q36" t="s">
        <v>342</v>
      </c>
      <c r="R36">
        <v>7</v>
      </c>
      <c r="S36" s="9" t="s">
        <v>238</v>
      </c>
      <c r="U36" t="s">
        <v>303</v>
      </c>
      <c r="V36" s="6">
        <v>95.7</v>
      </c>
    </row>
    <row r="37" spans="1:22" x14ac:dyDescent="0.25">
      <c r="A37" t="s">
        <v>134</v>
      </c>
      <c r="B37" t="s">
        <v>276</v>
      </c>
      <c r="C37" t="s">
        <v>332</v>
      </c>
      <c r="D37" t="s">
        <v>182</v>
      </c>
      <c r="E37">
        <v>2</v>
      </c>
      <c r="F37">
        <v>2</v>
      </c>
      <c r="G37">
        <v>8</v>
      </c>
      <c r="H37" s="8">
        <v>124.14</v>
      </c>
      <c r="I37" s="8">
        <v>117</v>
      </c>
      <c r="J37" s="8">
        <v>131.29</v>
      </c>
      <c r="K37" s="6">
        <v>11.5</v>
      </c>
      <c r="L37" s="6">
        <v>0.16669999999999999</v>
      </c>
      <c r="M37" s="6">
        <v>0.16669999999999999</v>
      </c>
      <c r="N37" s="6">
        <v>0.625</v>
      </c>
      <c r="O37">
        <v>6</v>
      </c>
      <c r="P37" t="s">
        <v>343</v>
      </c>
      <c r="Q37" t="s">
        <v>278</v>
      </c>
      <c r="R37">
        <v>7</v>
      </c>
      <c r="S37" s="9" t="s">
        <v>213</v>
      </c>
      <c r="T37" s="6">
        <v>9.6</v>
      </c>
      <c r="U37" t="s">
        <v>303</v>
      </c>
      <c r="V37" s="6">
        <v>72.5</v>
      </c>
    </row>
    <row r="38" spans="1:22" x14ac:dyDescent="0.25">
      <c r="A38" t="s">
        <v>123</v>
      </c>
      <c r="B38" t="s">
        <v>280</v>
      </c>
      <c r="C38" t="s">
        <v>332</v>
      </c>
      <c r="D38" t="s">
        <v>182</v>
      </c>
      <c r="E38">
        <v>3</v>
      </c>
      <c r="F38">
        <v>3</v>
      </c>
      <c r="G38">
        <v>9</v>
      </c>
      <c r="H38" s="8">
        <v>113.29</v>
      </c>
      <c r="I38" s="8">
        <v>101</v>
      </c>
      <c r="J38" s="8">
        <v>129.71</v>
      </c>
      <c r="K38" s="6">
        <v>25.3</v>
      </c>
      <c r="L38" s="6">
        <v>0</v>
      </c>
      <c r="M38" s="6">
        <v>0</v>
      </c>
      <c r="O38">
        <v>9</v>
      </c>
      <c r="P38" t="s">
        <v>281</v>
      </c>
      <c r="Q38" t="s">
        <v>344</v>
      </c>
      <c r="R38">
        <v>7</v>
      </c>
      <c r="S38" s="9" t="s">
        <v>238</v>
      </c>
      <c r="U38" t="s">
        <v>303</v>
      </c>
      <c r="V38" s="6">
        <v>95.7</v>
      </c>
    </row>
    <row r="39" spans="1:22" x14ac:dyDescent="0.25">
      <c r="A39" t="s">
        <v>134</v>
      </c>
      <c r="B39" t="s">
        <v>280</v>
      </c>
      <c r="C39" t="s">
        <v>332</v>
      </c>
      <c r="D39" t="s">
        <v>182</v>
      </c>
      <c r="E39">
        <v>2</v>
      </c>
      <c r="F39">
        <v>2</v>
      </c>
      <c r="G39">
        <v>8</v>
      </c>
      <c r="H39" s="8">
        <v>125.21</v>
      </c>
      <c r="I39" s="8">
        <v>122</v>
      </c>
      <c r="J39" s="8">
        <v>128.43</v>
      </c>
      <c r="K39" s="6">
        <v>5.0999999999999996</v>
      </c>
      <c r="L39" s="6">
        <v>0.33329999999999999</v>
      </c>
      <c r="M39" s="6">
        <v>0.33329999999999999</v>
      </c>
      <c r="N39" s="6">
        <v>0.5</v>
      </c>
      <c r="O39">
        <v>6</v>
      </c>
      <c r="P39" t="s">
        <v>345</v>
      </c>
      <c r="Q39" t="s">
        <v>282</v>
      </c>
      <c r="R39">
        <v>7</v>
      </c>
      <c r="S39" s="9" t="s">
        <v>213</v>
      </c>
      <c r="T39" s="6">
        <v>10.5</v>
      </c>
      <c r="U39" t="s">
        <v>303</v>
      </c>
      <c r="V39" s="6">
        <v>73.099999999999994</v>
      </c>
    </row>
    <row r="40" spans="1:22" x14ac:dyDescent="0.25">
      <c r="A40" t="s">
        <v>123</v>
      </c>
      <c r="B40" t="s">
        <v>224</v>
      </c>
      <c r="C40" t="s">
        <v>332</v>
      </c>
      <c r="D40" t="s">
        <v>182</v>
      </c>
      <c r="E40">
        <v>6</v>
      </c>
      <c r="F40">
        <v>6</v>
      </c>
      <c r="G40">
        <v>18</v>
      </c>
      <c r="H40" s="8">
        <v>134.36000000000001</v>
      </c>
      <c r="I40" s="8">
        <v>117.12</v>
      </c>
      <c r="J40" s="8">
        <v>146.13999999999999</v>
      </c>
      <c r="K40" s="6">
        <v>21.6</v>
      </c>
      <c r="L40" s="6">
        <v>0</v>
      </c>
      <c r="M40" s="6">
        <v>0</v>
      </c>
      <c r="O40">
        <v>18</v>
      </c>
      <c r="P40" t="s">
        <v>284</v>
      </c>
      <c r="Q40" t="s">
        <v>346</v>
      </c>
      <c r="R40">
        <v>7</v>
      </c>
      <c r="S40" s="10" t="s">
        <v>249</v>
      </c>
      <c r="U40" t="s">
        <v>303</v>
      </c>
      <c r="V40" s="6">
        <v>113.5</v>
      </c>
    </row>
    <row r="41" spans="1:22" x14ac:dyDescent="0.25">
      <c r="A41" t="s">
        <v>134</v>
      </c>
      <c r="B41" t="s">
        <v>224</v>
      </c>
      <c r="C41" t="s">
        <v>332</v>
      </c>
      <c r="D41" t="s">
        <v>182</v>
      </c>
      <c r="E41">
        <v>4</v>
      </c>
      <c r="F41">
        <v>4</v>
      </c>
      <c r="G41">
        <v>16</v>
      </c>
      <c r="H41" s="8">
        <v>149.13999999999999</v>
      </c>
      <c r="I41" s="8">
        <v>145.57</v>
      </c>
      <c r="J41" s="8">
        <v>164.14</v>
      </c>
      <c r="K41" s="6">
        <v>12.5</v>
      </c>
      <c r="L41" s="6">
        <v>8.3299999999999999E-2</v>
      </c>
      <c r="M41" s="6">
        <v>8.3299999999999999E-2</v>
      </c>
      <c r="N41" s="6">
        <v>0.6875</v>
      </c>
      <c r="O41">
        <v>12</v>
      </c>
      <c r="P41" t="s">
        <v>347</v>
      </c>
      <c r="Q41" t="s">
        <v>225</v>
      </c>
      <c r="R41">
        <v>7</v>
      </c>
      <c r="S41" s="9" t="s">
        <v>193</v>
      </c>
      <c r="T41" s="6">
        <v>11</v>
      </c>
      <c r="U41" t="s">
        <v>303</v>
      </c>
      <c r="V41" s="6">
        <v>87.1</v>
      </c>
    </row>
    <row r="42" spans="1:22" x14ac:dyDescent="0.25">
      <c r="A42" t="s">
        <v>123</v>
      </c>
      <c r="B42" t="s">
        <v>181</v>
      </c>
      <c r="C42" t="s">
        <v>332</v>
      </c>
      <c r="D42" t="s">
        <v>182</v>
      </c>
      <c r="E42">
        <v>7</v>
      </c>
      <c r="F42">
        <v>7</v>
      </c>
      <c r="G42">
        <v>21</v>
      </c>
      <c r="H42" s="8">
        <v>123.29</v>
      </c>
      <c r="I42" s="8">
        <v>110.5</v>
      </c>
      <c r="J42" s="8">
        <v>136.13999999999999</v>
      </c>
      <c r="K42" s="6">
        <v>20.8</v>
      </c>
      <c r="L42" s="6">
        <v>0</v>
      </c>
      <c r="M42" s="6">
        <v>0</v>
      </c>
      <c r="O42">
        <v>21</v>
      </c>
      <c r="P42" t="s">
        <v>289</v>
      </c>
      <c r="Q42" t="s">
        <v>348</v>
      </c>
      <c r="R42">
        <v>7</v>
      </c>
      <c r="S42" s="10" t="s">
        <v>293</v>
      </c>
      <c r="U42" t="s">
        <v>303</v>
      </c>
      <c r="V42" s="6">
        <v>104.1</v>
      </c>
    </row>
    <row r="43" spans="1:22" x14ac:dyDescent="0.25">
      <c r="A43" t="s">
        <v>134</v>
      </c>
      <c r="B43" t="s">
        <v>181</v>
      </c>
      <c r="C43" t="s">
        <v>332</v>
      </c>
      <c r="D43" t="s">
        <v>182</v>
      </c>
      <c r="E43">
        <v>3</v>
      </c>
      <c r="F43">
        <v>3</v>
      </c>
      <c r="G43">
        <v>12</v>
      </c>
      <c r="H43" s="8">
        <v>142.71</v>
      </c>
      <c r="I43" s="8">
        <v>140.57</v>
      </c>
      <c r="J43" s="8">
        <v>143.43</v>
      </c>
      <c r="K43" s="6">
        <v>2</v>
      </c>
      <c r="L43" s="6">
        <v>0.33329999999999999</v>
      </c>
      <c r="M43" s="6">
        <v>0.33329999999999999</v>
      </c>
      <c r="N43" s="6">
        <v>0.5</v>
      </c>
      <c r="O43">
        <v>9</v>
      </c>
      <c r="P43" t="s">
        <v>226</v>
      </c>
      <c r="Q43" t="s">
        <v>349</v>
      </c>
      <c r="R43">
        <v>7</v>
      </c>
      <c r="S43" s="9" t="s">
        <v>238</v>
      </c>
      <c r="T43" s="6">
        <v>15.8</v>
      </c>
      <c r="U43" t="s">
        <v>303</v>
      </c>
      <c r="V43" s="6">
        <v>83.3</v>
      </c>
    </row>
    <row r="44" spans="1:22" x14ac:dyDescent="0.25">
      <c r="A44" t="s">
        <v>123</v>
      </c>
      <c r="B44" t="s">
        <v>187</v>
      </c>
      <c r="C44" t="s">
        <v>332</v>
      </c>
      <c r="D44" t="s">
        <v>182</v>
      </c>
      <c r="E44">
        <v>6</v>
      </c>
      <c r="F44">
        <v>6</v>
      </c>
      <c r="G44">
        <v>18</v>
      </c>
      <c r="H44" s="8">
        <v>130.4</v>
      </c>
      <c r="I44" s="8">
        <v>121.86</v>
      </c>
      <c r="J44" s="8">
        <v>140.38</v>
      </c>
      <c r="K44" s="6">
        <v>14.2</v>
      </c>
      <c r="L44" s="6">
        <v>0</v>
      </c>
      <c r="M44" s="6">
        <v>0</v>
      </c>
      <c r="O44">
        <v>18</v>
      </c>
      <c r="P44" t="s">
        <v>191</v>
      </c>
      <c r="Q44" t="s">
        <v>350</v>
      </c>
      <c r="R44">
        <v>7</v>
      </c>
      <c r="S44" s="10" t="s">
        <v>249</v>
      </c>
      <c r="U44" t="s">
        <v>303</v>
      </c>
      <c r="V44" s="6">
        <v>110.1</v>
      </c>
    </row>
    <row r="45" spans="1:22" x14ac:dyDescent="0.25">
      <c r="A45" t="s">
        <v>123</v>
      </c>
      <c r="B45" t="s">
        <v>194</v>
      </c>
      <c r="C45" t="s">
        <v>332</v>
      </c>
      <c r="D45" t="s">
        <v>182</v>
      </c>
      <c r="E45">
        <v>5</v>
      </c>
      <c r="F45">
        <v>5</v>
      </c>
      <c r="G45">
        <v>15</v>
      </c>
      <c r="H45" s="8">
        <v>185.43</v>
      </c>
      <c r="I45" s="8">
        <v>167.57</v>
      </c>
      <c r="J45" s="8">
        <v>194.71</v>
      </c>
      <c r="K45" s="6">
        <v>14.6</v>
      </c>
      <c r="L45" s="6">
        <v>0</v>
      </c>
      <c r="M45" s="6">
        <v>0</v>
      </c>
      <c r="O45">
        <v>15</v>
      </c>
      <c r="P45" t="s">
        <v>294</v>
      </c>
      <c r="Q45" t="s">
        <v>320</v>
      </c>
      <c r="R45">
        <v>7</v>
      </c>
      <c r="S45" s="10" t="s">
        <v>246</v>
      </c>
      <c r="U45" t="s">
        <v>303</v>
      </c>
      <c r="V45" s="6">
        <v>156.6</v>
      </c>
    </row>
    <row r="46" spans="1:22" x14ac:dyDescent="0.25">
      <c r="A46" t="s">
        <v>123</v>
      </c>
      <c r="B46" t="s">
        <v>185</v>
      </c>
      <c r="C46" t="s">
        <v>332</v>
      </c>
      <c r="D46" t="s">
        <v>182</v>
      </c>
      <c r="E46">
        <v>21</v>
      </c>
      <c r="F46">
        <v>21</v>
      </c>
      <c r="G46">
        <v>63</v>
      </c>
      <c r="H46" s="8">
        <v>139</v>
      </c>
      <c r="I46" s="8">
        <v>119</v>
      </c>
      <c r="J46" s="8">
        <v>172.86</v>
      </c>
      <c r="K46" s="6">
        <v>38.700000000000003</v>
      </c>
      <c r="L46" s="6">
        <v>0</v>
      </c>
      <c r="M46" s="6">
        <v>0</v>
      </c>
      <c r="O46">
        <v>63</v>
      </c>
      <c r="P46" t="s">
        <v>233</v>
      </c>
      <c r="Q46" t="s">
        <v>351</v>
      </c>
      <c r="R46">
        <v>7</v>
      </c>
      <c r="S46" s="10" t="s">
        <v>352</v>
      </c>
      <c r="U46" t="s">
        <v>303</v>
      </c>
      <c r="V46" s="6">
        <v>117.4</v>
      </c>
    </row>
    <row r="47" spans="1:22" x14ac:dyDescent="0.25">
      <c r="A47" t="s">
        <v>123</v>
      </c>
      <c r="B47" t="s">
        <v>203</v>
      </c>
      <c r="C47" t="s">
        <v>332</v>
      </c>
      <c r="D47" t="s">
        <v>182</v>
      </c>
      <c r="E47">
        <v>16</v>
      </c>
      <c r="F47">
        <v>16</v>
      </c>
      <c r="G47">
        <v>48</v>
      </c>
      <c r="H47" s="8">
        <v>117.57</v>
      </c>
      <c r="I47" s="8">
        <v>116.14</v>
      </c>
      <c r="J47" s="8">
        <v>131.38</v>
      </c>
      <c r="K47" s="6">
        <v>13</v>
      </c>
      <c r="L47" s="6">
        <v>0</v>
      </c>
      <c r="M47" s="6">
        <v>0</v>
      </c>
      <c r="O47">
        <v>48</v>
      </c>
      <c r="P47" t="s">
        <v>204</v>
      </c>
      <c r="Q47" t="s">
        <v>353</v>
      </c>
      <c r="R47">
        <v>7</v>
      </c>
      <c r="S47" s="10" t="s">
        <v>261</v>
      </c>
      <c r="U47" t="s">
        <v>303</v>
      </c>
      <c r="V47" s="6">
        <v>99.3</v>
      </c>
    </row>
    <row r="48" spans="1:22" x14ac:dyDescent="0.25">
      <c r="A48" t="s">
        <v>134</v>
      </c>
      <c r="B48" t="s">
        <v>203</v>
      </c>
      <c r="C48" t="s">
        <v>332</v>
      </c>
      <c r="D48" t="s">
        <v>182</v>
      </c>
      <c r="E48">
        <v>3</v>
      </c>
      <c r="F48">
        <v>3</v>
      </c>
      <c r="G48">
        <v>12</v>
      </c>
      <c r="H48" s="8">
        <v>179.88</v>
      </c>
      <c r="I48" s="8">
        <v>152.71</v>
      </c>
      <c r="J48" s="8">
        <v>181.29</v>
      </c>
      <c r="K48" s="6">
        <v>15.9</v>
      </c>
      <c r="L48" s="6">
        <v>0.1111</v>
      </c>
      <c r="M48" s="6">
        <v>0.1111</v>
      </c>
      <c r="N48" s="6">
        <v>0.66669999999999996</v>
      </c>
      <c r="O48">
        <v>9</v>
      </c>
      <c r="P48" t="s">
        <v>354</v>
      </c>
      <c r="Q48" t="s">
        <v>355</v>
      </c>
      <c r="R48">
        <v>7</v>
      </c>
      <c r="S48" s="9" t="s">
        <v>238</v>
      </c>
      <c r="T48" s="6">
        <v>53</v>
      </c>
      <c r="U48" t="s">
        <v>303</v>
      </c>
      <c r="V48" s="6">
        <v>105</v>
      </c>
    </row>
    <row r="49" spans="1:22" x14ac:dyDescent="0.25">
      <c r="A49" t="s">
        <v>123</v>
      </c>
      <c r="B49" t="s">
        <v>303</v>
      </c>
      <c r="C49" t="s">
        <v>332</v>
      </c>
      <c r="D49" t="s">
        <v>182</v>
      </c>
      <c r="E49">
        <v>14</v>
      </c>
      <c r="F49">
        <v>14</v>
      </c>
      <c r="G49">
        <v>42</v>
      </c>
      <c r="H49" s="8">
        <v>118.43</v>
      </c>
      <c r="I49" s="8">
        <v>110.38</v>
      </c>
      <c r="J49" s="8">
        <v>138</v>
      </c>
      <c r="K49" s="6">
        <v>23.3</v>
      </c>
      <c r="L49" s="6">
        <v>0</v>
      </c>
      <c r="M49" s="6">
        <v>0</v>
      </c>
      <c r="O49">
        <v>42</v>
      </c>
      <c r="P49" t="s">
        <v>304</v>
      </c>
      <c r="Q49" t="s">
        <v>356</v>
      </c>
      <c r="R49">
        <v>7</v>
      </c>
      <c r="S49" s="10" t="s">
        <v>275</v>
      </c>
      <c r="U49" t="s">
        <v>303</v>
      </c>
      <c r="V49" s="6">
        <v>100</v>
      </c>
    </row>
    <row r="50" spans="1:22" x14ac:dyDescent="0.25">
      <c r="A50" t="s">
        <v>134</v>
      </c>
      <c r="B50" t="s">
        <v>303</v>
      </c>
      <c r="C50" t="s">
        <v>332</v>
      </c>
      <c r="D50" t="s">
        <v>182</v>
      </c>
      <c r="E50">
        <v>12</v>
      </c>
      <c r="F50">
        <v>12</v>
      </c>
      <c r="G50">
        <v>48</v>
      </c>
      <c r="H50" s="8">
        <v>171.29</v>
      </c>
      <c r="I50" s="8">
        <v>144.86000000000001</v>
      </c>
      <c r="J50" s="8">
        <v>183.62</v>
      </c>
      <c r="K50" s="6">
        <v>22.6</v>
      </c>
      <c r="L50" s="6">
        <v>8.3299999999999999E-2</v>
      </c>
      <c r="M50" s="6">
        <v>8.3299999999999999E-2</v>
      </c>
      <c r="N50" s="6">
        <v>0.6875</v>
      </c>
      <c r="O50">
        <v>36</v>
      </c>
      <c r="P50" t="s">
        <v>307</v>
      </c>
      <c r="Q50" t="s">
        <v>357</v>
      </c>
      <c r="R50">
        <v>7</v>
      </c>
      <c r="S50" s="10" t="s">
        <v>229</v>
      </c>
      <c r="T50" s="6">
        <v>44.6</v>
      </c>
      <c r="U50" t="s">
        <v>303</v>
      </c>
      <c r="V50" s="6">
        <v>100</v>
      </c>
    </row>
    <row r="51" spans="1:22" x14ac:dyDescent="0.25">
      <c r="A51" t="s">
        <v>123</v>
      </c>
      <c r="B51" t="s">
        <v>206</v>
      </c>
      <c r="C51" t="s">
        <v>332</v>
      </c>
      <c r="D51" t="s">
        <v>182</v>
      </c>
      <c r="E51">
        <v>3</v>
      </c>
      <c r="F51">
        <v>3</v>
      </c>
      <c r="G51">
        <v>9</v>
      </c>
      <c r="H51" s="8">
        <v>128</v>
      </c>
      <c r="I51" s="8">
        <v>108.88</v>
      </c>
      <c r="J51" s="8">
        <v>130.29</v>
      </c>
      <c r="K51" s="6">
        <v>16.7</v>
      </c>
      <c r="L51" s="6">
        <v>0</v>
      </c>
      <c r="M51" s="6">
        <v>0</v>
      </c>
      <c r="O51">
        <v>9</v>
      </c>
      <c r="P51" t="s">
        <v>309</v>
      </c>
      <c r="Q51" t="s">
        <v>358</v>
      </c>
      <c r="R51">
        <v>7</v>
      </c>
      <c r="S51" s="9" t="s">
        <v>238</v>
      </c>
      <c r="U51" t="s">
        <v>303</v>
      </c>
      <c r="V51" s="6">
        <v>108.1</v>
      </c>
    </row>
    <row r="52" spans="1:22" x14ac:dyDescent="0.25">
      <c r="A52" t="s">
        <v>134</v>
      </c>
      <c r="B52" t="s">
        <v>206</v>
      </c>
      <c r="C52" t="s">
        <v>332</v>
      </c>
      <c r="D52" t="s">
        <v>182</v>
      </c>
      <c r="E52">
        <v>1</v>
      </c>
      <c r="F52">
        <v>1</v>
      </c>
      <c r="G52">
        <v>4</v>
      </c>
      <c r="H52" s="8">
        <v>151.29</v>
      </c>
      <c r="I52" s="8">
        <v>151.29</v>
      </c>
      <c r="J52" s="8">
        <v>151.29</v>
      </c>
      <c r="K52" s="6">
        <v>0</v>
      </c>
      <c r="L52" s="6">
        <v>0</v>
      </c>
      <c r="M52" s="6">
        <v>0</v>
      </c>
      <c r="N52" s="6">
        <v>0.75</v>
      </c>
      <c r="O52">
        <v>3</v>
      </c>
      <c r="P52" t="s">
        <v>312</v>
      </c>
      <c r="Q52" t="s">
        <v>312</v>
      </c>
      <c r="R52">
        <v>7</v>
      </c>
      <c r="S52" s="9" t="s">
        <v>184</v>
      </c>
      <c r="T52" s="6">
        <v>18.2</v>
      </c>
      <c r="U52" t="s">
        <v>303</v>
      </c>
      <c r="V52" s="6">
        <v>88.3</v>
      </c>
    </row>
    <row r="53" spans="1:22" x14ac:dyDescent="0.25">
      <c r="A53" t="s">
        <v>123</v>
      </c>
      <c r="B53" t="s">
        <v>214</v>
      </c>
      <c r="C53" t="s">
        <v>359</v>
      </c>
      <c r="D53" t="s">
        <v>182</v>
      </c>
      <c r="E53">
        <v>3</v>
      </c>
      <c r="F53">
        <v>3</v>
      </c>
      <c r="G53">
        <v>9</v>
      </c>
      <c r="H53" s="8">
        <v>126.29</v>
      </c>
      <c r="I53" s="8">
        <v>102.43</v>
      </c>
      <c r="J53" s="8">
        <v>144.13999999999999</v>
      </c>
      <c r="K53" s="6">
        <v>33</v>
      </c>
      <c r="L53" s="6">
        <v>0.22220000000000001</v>
      </c>
      <c r="M53" s="6">
        <v>0.22220000000000001</v>
      </c>
      <c r="O53">
        <v>9</v>
      </c>
      <c r="P53" t="s">
        <v>244</v>
      </c>
      <c r="Q53" t="s">
        <v>245</v>
      </c>
      <c r="R53">
        <v>7</v>
      </c>
      <c r="S53" s="9" t="s">
        <v>238</v>
      </c>
      <c r="U53" t="s">
        <v>206</v>
      </c>
      <c r="V53" s="6">
        <v>82.6</v>
      </c>
    </row>
    <row r="54" spans="1:22" x14ac:dyDescent="0.25">
      <c r="A54" t="s">
        <v>123</v>
      </c>
      <c r="B54" t="s">
        <v>216</v>
      </c>
      <c r="C54" t="s">
        <v>359</v>
      </c>
      <c r="D54" t="s">
        <v>182</v>
      </c>
      <c r="E54">
        <v>5</v>
      </c>
      <c r="F54">
        <v>5</v>
      </c>
      <c r="G54">
        <v>15</v>
      </c>
      <c r="H54" s="8">
        <v>110.57</v>
      </c>
      <c r="I54" s="8">
        <v>88.29</v>
      </c>
      <c r="J54" s="8">
        <v>123.88</v>
      </c>
      <c r="K54" s="6">
        <v>32.200000000000003</v>
      </c>
      <c r="L54" s="6">
        <v>0.2</v>
      </c>
      <c r="M54" s="6">
        <v>0.2</v>
      </c>
      <c r="O54">
        <v>15</v>
      </c>
      <c r="P54" t="s">
        <v>247</v>
      </c>
      <c r="Q54" t="s">
        <v>218</v>
      </c>
      <c r="R54">
        <v>7</v>
      </c>
      <c r="S54" s="10" t="s">
        <v>246</v>
      </c>
      <c r="U54" t="s">
        <v>206</v>
      </c>
      <c r="V54" s="6">
        <v>72.3</v>
      </c>
    </row>
    <row r="55" spans="1:22" x14ac:dyDescent="0.25">
      <c r="A55" t="s">
        <v>134</v>
      </c>
      <c r="B55" t="s">
        <v>216</v>
      </c>
      <c r="C55" t="s">
        <v>359</v>
      </c>
      <c r="D55" t="s">
        <v>182</v>
      </c>
      <c r="E55">
        <v>6</v>
      </c>
      <c r="F55">
        <v>6</v>
      </c>
      <c r="G55">
        <v>24</v>
      </c>
      <c r="H55" s="8">
        <v>100.57</v>
      </c>
      <c r="I55" s="8">
        <v>99.86</v>
      </c>
      <c r="J55" s="8">
        <v>117</v>
      </c>
      <c r="K55" s="6">
        <v>17</v>
      </c>
      <c r="L55" s="6">
        <v>0.1111</v>
      </c>
      <c r="M55" s="6">
        <v>0.1111</v>
      </c>
      <c r="N55" s="6">
        <v>0.66669999999999996</v>
      </c>
      <c r="O55">
        <v>18</v>
      </c>
      <c r="P55" t="s">
        <v>247</v>
      </c>
      <c r="Q55" t="s">
        <v>218</v>
      </c>
      <c r="R55">
        <v>7</v>
      </c>
      <c r="S55" s="10" t="s">
        <v>249</v>
      </c>
      <c r="T55" s="6">
        <v>-9</v>
      </c>
      <c r="U55" t="s">
        <v>206</v>
      </c>
      <c r="V55" s="6">
        <v>45.7</v>
      </c>
    </row>
    <row r="56" spans="1:22" x14ac:dyDescent="0.25">
      <c r="A56" t="s">
        <v>123</v>
      </c>
      <c r="B56" t="s">
        <v>219</v>
      </c>
      <c r="C56" t="s">
        <v>359</v>
      </c>
      <c r="D56" t="s">
        <v>182</v>
      </c>
      <c r="E56">
        <v>5</v>
      </c>
      <c r="F56">
        <v>5</v>
      </c>
      <c r="G56">
        <v>15</v>
      </c>
      <c r="H56" s="8">
        <v>110.43</v>
      </c>
      <c r="I56" s="8">
        <v>109.29</v>
      </c>
      <c r="J56" s="8">
        <v>124</v>
      </c>
      <c r="K56" s="6">
        <v>13.3</v>
      </c>
      <c r="L56" s="6">
        <v>0</v>
      </c>
      <c r="M56" s="6">
        <v>0</v>
      </c>
      <c r="O56">
        <v>15</v>
      </c>
      <c r="P56" t="s">
        <v>250</v>
      </c>
      <c r="Q56" t="s">
        <v>251</v>
      </c>
      <c r="R56">
        <v>7</v>
      </c>
      <c r="S56" s="10" t="s">
        <v>246</v>
      </c>
      <c r="U56" t="s">
        <v>206</v>
      </c>
      <c r="V56" s="6">
        <v>72.2</v>
      </c>
    </row>
    <row r="57" spans="1:22" x14ac:dyDescent="0.25">
      <c r="A57" t="s">
        <v>134</v>
      </c>
      <c r="B57" t="s">
        <v>219</v>
      </c>
      <c r="C57" t="s">
        <v>359</v>
      </c>
      <c r="D57" t="s">
        <v>182</v>
      </c>
      <c r="E57">
        <v>7</v>
      </c>
      <c r="F57">
        <v>7</v>
      </c>
      <c r="G57">
        <v>28</v>
      </c>
      <c r="H57" s="8">
        <v>111.29</v>
      </c>
      <c r="I57" s="8">
        <v>107</v>
      </c>
      <c r="J57" s="8">
        <v>115.57</v>
      </c>
      <c r="K57" s="6">
        <v>7.7</v>
      </c>
      <c r="L57" s="6">
        <v>0</v>
      </c>
      <c r="M57" s="6">
        <v>0</v>
      </c>
      <c r="N57" s="6">
        <v>0.75</v>
      </c>
      <c r="O57">
        <v>21</v>
      </c>
      <c r="P57" t="s">
        <v>250</v>
      </c>
      <c r="Q57" t="s">
        <v>251</v>
      </c>
      <c r="R57">
        <v>7</v>
      </c>
      <c r="S57" s="10" t="s">
        <v>293</v>
      </c>
      <c r="T57" s="6">
        <v>0.8</v>
      </c>
      <c r="U57" t="s">
        <v>206</v>
      </c>
      <c r="V57" s="6">
        <v>50.6</v>
      </c>
    </row>
    <row r="58" spans="1:22" x14ac:dyDescent="0.25">
      <c r="A58" t="s">
        <v>123</v>
      </c>
      <c r="B58" t="s">
        <v>221</v>
      </c>
      <c r="C58" t="s">
        <v>359</v>
      </c>
      <c r="D58" t="s">
        <v>182</v>
      </c>
      <c r="E58">
        <v>5</v>
      </c>
      <c r="F58">
        <v>5</v>
      </c>
      <c r="G58">
        <v>15</v>
      </c>
      <c r="H58" s="8">
        <v>142.57</v>
      </c>
      <c r="I58" s="8">
        <v>121.71</v>
      </c>
      <c r="J58" s="8">
        <v>155.12</v>
      </c>
      <c r="K58" s="6">
        <v>23.4</v>
      </c>
      <c r="L58" s="6">
        <v>0</v>
      </c>
      <c r="M58" s="6">
        <v>0</v>
      </c>
      <c r="O58">
        <v>15</v>
      </c>
      <c r="P58" t="s">
        <v>222</v>
      </c>
      <c r="Q58" t="s">
        <v>253</v>
      </c>
      <c r="R58">
        <v>7</v>
      </c>
      <c r="S58" s="10" t="s">
        <v>246</v>
      </c>
      <c r="U58" t="s">
        <v>206</v>
      </c>
      <c r="V58" s="6">
        <v>93.3</v>
      </c>
    </row>
    <row r="59" spans="1:22" x14ac:dyDescent="0.25">
      <c r="A59" t="s">
        <v>134</v>
      </c>
      <c r="B59" t="s">
        <v>221</v>
      </c>
      <c r="C59" t="s">
        <v>359</v>
      </c>
      <c r="D59" t="s">
        <v>182</v>
      </c>
      <c r="E59">
        <v>8</v>
      </c>
      <c r="F59">
        <v>8</v>
      </c>
      <c r="G59">
        <v>32</v>
      </c>
      <c r="H59" s="8">
        <v>131.29</v>
      </c>
      <c r="I59" s="8">
        <v>112.71</v>
      </c>
      <c r="J59" s="8">
        <v>165.57</v>
      </c>
      <c r="K59" s="6">
        <v>40.299999999999997</v>
      </c>
      <c r="L59" s="6">
        <v>0</v>
      </c>
      <c r="M59" s="6">
        <v>0</v>
      </c>
      <c r="N59" s="6">
        <v>0.75</v>
      </c>
      <c r="O59">
        <v>24</v>
      </c>
      <c r="P59" t="s">
        <v>222</v>
      </c>
      <c r="Q59" t="s">
        <v>253</v>
      </c>
      <c r="R59">
        <v>7</v>
      </c>
      <c r="S59" s="10" t="s">
        <v>232</v>
      </c>
      <c r="T59" s="6">
        <v>-7.9</v>
      </c>
      <c r="U59" t="s">
        <v>206</v>
      </c>
      <c r="V59" s="6">
        <v>59.7</v>
      </c>
    </row>
    <row r="60" spans="1:22" x14ac:dyDescent="0.25">
      <c r="A60" t="s">
        <v>123</v>
      </c>
      <c r="B60" t="s">
        <v>258</v>
      </c>
      <c r="C60" t="s">
        <v>359</v>
      </c>
      <c r="D60" t="s">
        <v>182</v>
      </c>
      <c r="E60">
        <v>5</v>
      </c>
      <c r="F60">
        <v>5</v>
      </c>
      <c r="G60">
        <v>15</v>
      </c>
      <c r="H60" s="8">
        <v>99.29</v>
      </c>
      <c r="I60" s="8">
        <v>88</v>
      </c>
      <c r="J60" s="8">
        <v>101.43</v>
      </c>
      <c r="K60" s="6">
        <v>13.5</v>
      </c>
      <c r="L60" s="6">
        <v>0</v>
      </c>
      <c r="M60" s="6">
        <v>0</v>
      </c>
      <c r="O60">
        <v>15</v>
      </c>
      <c r="P60" t="s">
        <v>259</v>
      </c>
      <c r="Q60" t="s">
        <v>260</v>
      </c>
      <c r="R60">
        <v>7</v>
      </c>
      <c r="S60" s="10" t="s">
        <v>246</v>
      </c>
      <c r="U60" t="s">
        <v>206</v>
      </c>
      <c r="V60" s="6">
        <v>64.900000000000006</v>
      </c>
    </row>
    <row r="61" spans="1:22" x14ac:dyDescent="0.25">
      <c r="A61" t="s">
        <v>134</v>
      </c>
      <c r="B61" t="s">
        <v>258</v>
      </c>
      <c r="C61" t="s">
        <v>359</v>
      </c>
      <c r="D61" t="s">
        <v>182</v>
      </c>
      <c r="E61">
        <v>7</v>
      </c>
      <c r="F61">
        <v>7</v>
      </c>
      <c r="G61">
        <v>28</v>
      </c>
      <c r="H61" s="8">
        <v>108.43</v>
      </c>
      <c r="I61" s="8">
        <v>101.29</v>
      </c>
      <c r="J61" s="8">
        <v>145.57</v>
      </c>
      <c r="K61" s="6">
        <v>40.799999999999997</v>
      </c>
      <c r="L61" s="6">
        <v>0</v>
      </c>
      <c r="M61" s="6">
        <v>0</v>
      </c>
      <c r="N61" s="6">
        <v>0.75</v>
      </c>
      <c r="O61">
        <v>21</v>
      </c>
      <c r="P61" t="s">
        <v>259</v>
      </c>
      <c r="Q61" t="s">
        <v>260</v>
      </c>
      <c r="R61">
        <v>7</v>
      </c>
      <c r="S61" s="10" t="s">
        <v>293</v>
      </c>
      <c r="T61" s="6">
        <v>9.1999999999999993</v>
      </c>
      <c r="U61" t="s">
        <v>206</v>
      </c>
      <c r="V61" s="6">
        <v>49.3</v>
      </c>
    </row>
    <row r="62" spans="1:22" x14ac:dyDescent="0.25">
      <c r="A62" t="s">
        <v>123</v>
      </c>
      <c r="B62" t="s">
        <v>264</v>
      </c>
      <c r="C62" t="s">
        <v>359</v>
      </c>
      <c r="D62" t="s">
        <v>182</v>
      </c>
      <c r="E62">
        <v>7</v>
      </c>
      <c r="F62">
        <v>7</v>
      </c>
      <c r="G62">
        <v>21</v>
      </c>
      <c r="H62" s="8">
        <v>181.43</v>
      </c>
      <c r="I62" s="8">
        <v>131.29</v>
      </c>
      <c r="J62" s="8">
        <v>251.5</v>
      </c>
      <c r="K62" s="6">
        <v>66.3</v>
      </c>
      <c r="L62" s="6">
        <v>0</v>
      </c>
      <c r="M62" s="6">
        <v>0</v>
      </c>
      <c r="O62">
        <v>21</v>
      </c>
      <c r="P62" t="s">
        <v>265</v>
      </c>
      <c r="Q62" t="s">
        <v>266</v>
      </c>
      <c r="R62">
        <v>7</v>
      </c>
      <c r="S62" s="10" t="s">
        <v>293</v>
      </c>
      <c r="U62" t="s">
        <v>206</v>
      </c>
      <c r="V62" s="6">
        <v>118.7</v>
      </c>
    </row>
    <row r="63" spans="1:22" x14ac:dyDescent="0.25">
      <c r="A63" t="s">
        <v>134</v>
      </c>
      <c r="B63" t="s">
        <v>264</v>
      </c>
      <c r="C63" t="s">
        <v>359</v>
      </c>
      <c r="D63" t="s">
        <v>182</v>
      </c>
      <c r="E63">
        <v>7</v>
      </c>
      <c r="F63">
        <v>7</v>
      </c>
      <c r="G63">
        <v>28</v>
      </c>
      <c r="H63" s="8">
        <v>161.29</v>
      </c>
      <c r="I63" s="8">
        <v>122.71</v>
      </c>
      <c r="J63" s="8">
        <v>262.70999999999998</v>
      </c>
      <c r="K63" s="6">
        <v>86.8</v>
      </c>
      <c r="L63" s="6">
        <v>0</v>
      </c>
      <c r="M63" s="6">
        <v>0</v>
      </c>
      <c r="N63" s="6">
        <v>0.75</v>
      </c>
      <c r="O63">
        <v>21</v>
      </c>
      <c r="P63" t="s">
        <v>265</v>
      </c>
      <c r="Q63" t="s">
        <v>266</v>
      </c>
      <c r="R63">
        <v>7</v>
      </c>
      <c r="S63" s="10" t="s">
        <v>293</v>
      </c>
      <c r="T63" s="6">
        <v>-11.1</v>
      </c>
      <c r="U63" t="s">
        <v>206</v>
      </c>
      <c r="V63" s="6">
        <v>73.400000000000006</v>
      </c>
    </row>
    <row r="64" spans="1:22" x14ac:dyDescent="0.25">
      <c r="A64" t="s">
        <v>123</v>
      </c>
      <c r="B64" t="s">
        <v>268</v>
      </c>
      <c r="C64" t="s">
        <v>359</v>
      </c>
      <c r="D64" t="s">
        <v>182</v>
      </c>
      <c r="E64">
        <v>6</v>
      </c>
      <c r="F64">
        <v>6</v>
      </c>
      <c r="G64">
        <v>18</v>
      </c>
      <c r="H64" s="8">
        <v>107.71</v>
      </c>
      <c r="I64" s="8">
        <v>101.14</v>
      </c>
      <c r="J64" s="8">
        <v>128.38</v>
      </c>
      <c r="K64" s="6">
        <v>25.3</v>
      </c>
      <c r="L64" s="6">
        <v>5.5599999999999997E-2</v>
      </c>
      <c r="M64" s="6">
        <v>5.5599999999999997E-2</v>
      </c>
      <c r="O64">
        <v>18</v>
      </c>
      <c r="P64" t="s">
        <v>269</v>
      </c>
      <c r="Q64" t="s">
        <v>270</v>
      </c>
      <c r="R64">
        <v>7</v>
      </c>
      <c r="S64" s="10" t="s">
        <v>249</v>
      </c>
      <c r="U64" t="s">
        <v>206</v>
      </c>
      <c r="V64" s="6">
        <v>70.5</v>
      </c>
    </row>
    <row r="65" spans="1:22" x14ac:dyDescent="0.25">
      <c r="A65" t="s">
        <v>134</v>
      </c>
      <c r="B65" t="s">
        <v>268</v>
      </c>
      <c r="C65" t="s">
        <v>359</v>
      </c>
      <c r="D65" t="s">
        <v>182</v>
      </c>
      <c r="E65">
        <v>8</v>
      </c>
      <c r="F65">
        <v>8</v>
      </c>
      <c r="G65">
        <v>32</v>
      </c>
      <c r="H65" s="8">
        <v>184.14</v>
      </c>
      <c r="I65" s="8">
        <v>178.43</v>
      </c>
      <c r="J65" s="8">
        <v>267</v>
      </c>
      <c r="K65" s="6">
        <v>48.1</v>
      </c>
      <c r="L65" s="6">
        <v>0</v>
      </c>
      <c r="M65" s="6">
        <v>0</v>
      </c>
      <c r="N65" s="6">
        <v>0.75</v>
      </c>
      <c r="O65">
        <v>24</v>
      </c>
      <c r="P65" t="s">
        <v>269</v>
      </c>
      <c r="Q65" t="s">
        <v>270</v>
      </c>
      <c r="R65">
        <v>7</v>
      </c>
      <c r="S65" s="10" t="s">
        <v>232</v>
      </c>
      <c r="T65" s="6">
        <v>71</v>
      </c>
      <c r="U65" t="s">
        <v>206</v>
      </c>
      <c r="V65" s="6">
        <v>83.8</v>
      </c>
    </row>
    <row r="66" spans="1:22" x14ac:dyDescent="0.25">
      <c r="A66" t="s">
        <v>123</v>
      </c>
      <c r="B66" t="s">
        <v>271</v>
      </c>
      <c r="C66" t="s">
        <v>359</v>
      </c>
      <c r="D66" t="s">
        <v>182</v>
      </c>
      <c r="E66">
        <v>5</v>
      </c>
      <c r="F66">
        <v>5</v>
      </c>
      <c r="G66">
        <v>15</v>
      </c>
      <c r="H66" s="8">
        <v>100</v>
      </c>
      <c r="I66" s="8">
        <v>97.14</v>
      </c>
      <c r="J66" s="8">
        <v>103.57</v>
      </c>
      <c r="K66" s="6">
        <v>6.4</v>
      </c>
      <c r="L66" s="6">
        <v>0</v>
      </c>
      <c r="M66" s="6">
        <v>0</v>
      </c>
      <c r="O66">
        <v>15</v>
      </c>
      <c r="P66" t="s">
        <v>272</v>
      </c>
      <c r="Q66" t="s">
        <v>273</v>
      </c>
      <c r="R66">
        <v>7</v>
      </c>
      <c r="S66" s="10" t="s">
        <v>246</v>
      </c>
      <c r="U66" t="s">
        <v>206</v>
      </c>
      <c r="V66" s="6">
        <v>65.400000000000006</v>
      </c>
    </row>
    <row r="67" spans="1:22" x14ac:dyDescent="0.25">
      <c r="A67" t="s">
        <v>134</v>
      </c>
      <c r="B67" t="s">
        <v>271</v>
      </c>
      <c r="C67" t="s">
        <v>359</v>
      </c>
      <c r="D67" t="s">
        <v>182</v>
      </c>
      <c r="E67">
        <v>6</v>
      </c>
      <c r="F67">
        <v>6</v>
      </c>
      <c r="G67">
        <v>24</v>
      </c>
      <c r="H67" s="8">
        <v>167.71</v>
      </c>
      <c r="I67" s="8">
        <v>137</v>
      </c>
      <c r="J67" s="8">
        <v>169.86</v>
      </c>
      <c r="K67" s="6">
        <v>19.600000000000001</v>
      </c>
      <c r="L67" s="6">
        <v>0</v>
      </c>
      <c r="M67" s="6">
        <v>0</v>
      </c>
      <c r="N67" s="6">
        <v>0.75</v>
      </c>
      <c r="O67">
        <v>18</v>
      </c>
      <c r="P67" t="s">
        <v>272</v>
      </c>
      <c r="Q67" t="s">
        <v>273</v>
      </c>
      <c r="R67">
        <v>7</v>
      </c>
      <c r="S67" s="10" t="s">
        <v>249</v>
      </c>
      <c r="T67" s="6">
        <v>67.7</v>
      </c>
      <c r="U67" t="s">
        <v>206</v>
      </c>
      <c r="V67" s="6">
        <v>76.3</v>
      </c>
    </row>
    <row r="68" spans="1:22" x14ac:dyDescent="0.25">
      <c r="A68" t="s">
        <v>123</v>
      </c>
      <c r="B68" t="s">
        <v>276</v>
      </c>
      <c r="C68" t="s">
        <v>359</v>
      </c>
      <c r="D68" t="s">
        <v>182</v>
      </c>
      <c r="E68">
        <v>5</v>
      </c>
      <c r="F68">
        <v>5</v>
      </c>
      <c r="G68">
        <v>15</v>
      </c>
      <c r="H68" s="8">
        <v>101.14</v>
      </c>
      <c r="I68" s="8">
        <v>97.14</v>
      </c>
      <c r="J68" s="8">
        <v>121.86</v>
      </c>
      <c r="K68" s="6">
        <v>24.4</v>
      </c>
      <c r="L68" s="6">
        <v>0</v>
      </c>
      <c r="M68" s="6">
        <v>0</v>
      </c>
      <c r="O68">
        <v>15</v>
      </c>
      <c r="P68" t="s">
        <v>277</v>
      </c>
      <c r="Q68" t="s">
        <v>278</v>
      </c>
      <c r="R68">
        <v>7</v>
      </c>
      <c r="S68" s="10" t="s">
        <v>246</v>
      </c>
      <c r="U68" t="s">
        <v>206</v>
      </c>
      <c r="V68" s="6">
        <v>66.2</v>
      </c>
    </row>
    <row r="69" spans="1:22" x14ac:dyDescent="0.25">
      <c r="A69" t="s">
        <v>134</v>
      </c>
      <c r="B69" t="s">
        <v>276</v>
      </c>
      <c r="C69" t="s">
        <v>359</v>
      </c>
      <c r="D69" t="s">
        <v>182</v>
      </c>
      <c r="E69">
        <v>6</v>
      </c>
      <c r="F69">
        <v>6</v>
      </c>
      <c r="G69">
        <v>24</v>
      </c>
      <c r="H69" s="8">
        <v>169.86</v>
      </c>
      <c r="I69" s="8">
        <v>150.71</v>
      </c>
      <c r="J69" s="8">
        <v>177</v>
      </c>
      <c r="K69" s="6">
        <v>15.5</v>
      </c>
      <c r="L69" s="6">
        <v>0</v>
      </c>
      <c r="M69" s="6">
        <v>0</v>
      </c>
      <c r="N69" s="6">
        <v>0.75</v>
      </c>
      <c r="O69">
        <v>18</v>
      </c>
      <c r="P69" t="s">
        <v>277</v>
      </c>
      <c r="Q69" t="s">
        <v>278</v>
      </c>
      <c r="R69">
        <v>7</v>
      </c>
      <c r="S69" s="10" t="s">
        <v>249</v>
      </c>
      <c r="T69" s="6">
        <v>67.900000000000006</v>
      </c>
      <c r="U69" t="s">
        <v>206</v>
      </c>
      <c r="V69" s="6">
        <v>77.3</v>
      </c>
    </row>
    <row r="70" spans="1:22" x14ac:dyDescent="0.25">
      <c r="A70" t="s">
        <v>123</v>
      </c>
      <c r="B70" t="s">
        <v>280</v>
      </c>
      <c r="C70" t="s">
        <v>359</v>
      </c>
      <c r="D70" t="s">
        <v>182</v>
      </c>
      <c r="E70">
        <v>5</v>
      </c>
      <c r="F70">
        <v>5</v>
      </c>
      <c r="G70">
        <v>15</v>
      </c>
      <c r="H70" s="8">
        <v>113.57</v>
      </c>
      <c r="I70" s="8">
        <v>107.57</v>
      </c>
      <c r="J70" s="8">
        <v>132.13999999999999</v>
      </c>
      <c r="K70" s="6">
        <v>21.6</v>
      </c>
      <c r="L70" s="6">
        <v>0</v>
      </c>
      <c r="M70" s="6">
        <v>0</v>
      </c>
      <c r="O70">
        <v>15</v>
      </c>
      <c r="P70" t="s">
        <v>281</v>
      </c>
      <c r="Q70" t="s">
        <v>282</v>
      </c>
      <c r="R70">
        <v>7</v>
      </c>
      <c r="S70" s="10" t="s">
        <v>246</v>
      </c>
      <c r="U70" t="s">
        <v>206</v>
      </c>
      <c r="V70" s="6">
        <v>74.3</v>
      </c>
    </row>
    <row r="71" spans="1:22" x14ac:dyDescent="0.25">
      <c r="A71" t="s">
        <v>134</v>
      </c>
      <c r="B71" t="s">
        <v>280</v>
      </c>
      <c r="C71" t="s">
        <v>359</v>
      </c>
      <c r="D71" t="s">
        <v>182</v>
      </c>
      <c r="E71">
        <v>6</v>
      </c>
      <c r="F71">
        <v>6</v>
      </c>
      <c r="G71">
        <v>24</v>
      </c>
      <c r="H71" s="8">
        <v>194.86</v>
      </c>
      <c r="I71" s="8">
        <v>172.57</v>
      </c>
      <c r="J71" s="8">
        <v>204.14</v>
      </c>
      <c r="K71" s="6">
        <v>16.2</v>
      </c>
      <c r="L71" s="6">
        <v>0</v>
      </c>
      <c r="M71" s="6">
        <v>0</v>
      </c>
      <c r="N71" s="6">
        <v>0.75</v>
      </c>
      <c r="O71">
        <v>18</v>
      </c>
      <c r="P71" t="s">
        <v>281</v>
      </c>
      <c r="Q71" t="s">
        <v>282</v>
      </c>
      <c r="R71">
        <v>7</v>
      </c>
      <c r="S71" s="10" t="s">
        <v>249</v>
      </c>
      <c r="T71" s="6">
        <v>71.599999999999994</v>
      </c>
      <c r="U71" t="s">
        <v>206</v>
      </c>
      <c r="V71" s="6">
        <v>88.6</v>
      </c>
    </row>
    <row r="72" spans="1:22" x14ac:dyDescent="0.25">
      <c r="A72" t="s">
        <v>123</v>
      </c>
      <c r="B72" t="s">
        <v>224</v>
      </c>
      <c r="C72" t="s">
        <v>359</v>
      </c>
      <c r="D72" t="s">
        <v>182</v>
      </c>
      <c r="E72">
        <v>10</v>
      </c>
      <c r="F72">
        <v>10</v>
      </c>
      <c r="G72">
        <v>30</v>
      </c>
      <c r="H72" s="8">
        <v>137.71</v>
      </c>
      <c r="I72" s="8">
        <v>123.43</v>
      </c>
      <c r="J72" s="8">
        <v>155.71</v>
      </c>
      <c r="K72" s="6">
        <v>23.4</v>
      </c>
      <c r="L72" s="6">
        <v>3.3300000000000003E-2</v>
      </c>
      <c r="M72" s="6">
        <v>3.3300000000000003E-2</v>
      </c>
      <c r="O72">
        <v>30</v>
      </c>
      <c r="P72" t="s">
        <v>284</v>
      </c>
      <c r="Q72" t="s">
        <v>225</v>
      </c>
      <c r="R72">
        <v>7</v>
      </c>
      <c r="S72" s="10" t="s">
        <v>248</v>
      </c>
      <c r="U72" t="s">
        <v>206</v>
      </c>
      <c r="V72" s="6">
        <v>90.1</v>
      </c>
    </row>
    <row r="73" spans="1:22" x14ac:dyDescent="0.25">
      <c r="A73" t="s">
        <v>134</v>
      </c>
      <c r="B73" t="s">
        <v>224</v>
      </c>
      <c r="C73" t="s">
        <v>359</v>
      </c>
      <c r="D73" t="s">
        <v>182</v>
      </c>
      <c r="E73">
        <v>12</v>
      </c>
      <c r="F73">
        <v>12</v>
      </c>
      <c r="G73">
        <v>48</v>
      </c>
      <c r="H73" s="8">
        <v>183.43</v>
      </c>
      <c r="I73" s="8">
        <v>172.57</v>
      </c>
      <c r="J73" s="8">
        <v>205.57</v>
      </c>
      <c r="K73" s="6">
        <v>18</v>
      </c>
      <c r="L73" s="6">
        <v>0</v>
      </c>
      <c r="M73" s="6">
        <v>0</v>
      </c>
      <c r="N73" s="6">
        <v>0.75</v>
      </c>
      <c r="O73">
        <v>36</v>
      </c>
      <c r="P73" t="s">
        <v>284</v>
      </c>
      <c r="Q73" t="s">
        <v>225</v>
      </c>
      <c r="R73">
        <v>7</v>
      </c>
      <c r="S73" s="10" t="s">
        <v>229</v>
      </c>
      <c r="T73" s="6">
        <v>33.200000000000003</v>
      </c>
      <c r="U73" t="s">
        <v>206</v>
      </c>
      <c r="V73" s="6">
        <v>83.4</v>
      </c>
    </row>
    <row r="74" spans="1:22" x14ac:dyDescent="0.25">
      <c r="A74" t="s">
        <v>123</v>
      </c>
      <c r="B74" t="s">
        <v>181</v>
      </c>
      <c r="C74" t="s">
        <v>359</v>
      </c>
      <c r="D74" t="s">
        <v>182</v>
      </c>
      <c r="E74">
        <v>9</v>
      </c>
      <c r="F74">
        <v>9</v>
      </c>
      <c r="G74">
        <v>27</v>
      </c>
      <c r="H74" s="8">
        <v>133.25</v>
      </c>
      <c r="I74" s="8">
        <v>127.86</v>
      </c>
      <c r="J74" s="8">
        <v>137.25</v>
      </c>
      <c r="K74" s="6">
        <v>7</v>
      </c>
      <c r="L74" s="6">
        <v>0</v>
      </c>
      <c r="M74" s="6">
        <v>0</v>
      </c>
      <c r="O74">
        <v>27</v>
      </c>
      <c r="P74" t="s">
        <v>289</v>
      </c>
      <c r="Q74" t="s">
        <v>348</v>
      </c>
      <c r="R74">
        <v>7</v>
      </c>
      <c r="S74" s="10" t="s">
        <v>190</v>
      </c>
      <c r="U74" t="s">
        <v>206</v>
      </c>
      <c r="V74" s="6">
        <v>87.2</v>
      </c>
    </row>
    <row r="75" spans="1:22" x14ac:dyDescent="0.25">
      <c r="A75" t="s">
        <v>134</v>
      </c>
      <c r="B75" t="s">
        <v>181</v>
      </c>
      <c r="C75" t="s">
        <v>359</v>
      </c>
      <c r="D75" t="s">
        <v>182</v>
      </c>
      <c r="E75">
        <v>8</v>
      </c>
      <c r="F75">
        <v>8</v>
      </c>
      <c r="G75">
        <v>32</v>
      </c>
      <c r="H75" s="8">
        <v>190.57</v>
      </c>
      <c r="I75" s="8">
        <v>179.71</v>
      </c>
      <c r="J75" s="8">
        <v>205.57</v>
      </c>
      <c r="K75" s="6">
        <v>13.6</v>
      </c>
      <c r="L75" s="6">
        <v>0</v>
      </c>
      <c r="M75" s="6">
        <v>0</v>
      </c>
      <c r="N75" s="6">
        <v>0.75</v>
      </c>
      <c r="O75">
        <v>24</v>
      </c>
      <c r="P75" t="s">
        <v>289</v>
      </c>
      <c r="Q75" t="s">
        <v>186</v>
      </c>
      <c r="R75">
        <v>7</v>
      </c>
      <c r="S75" s="10" t="s">
        <v>232</v>
      </c>
      <c r="T75" s="6">
        <v>43</v>
      </c>
      <c r="U75" t="s">
        <v>206</v>
      </c>
      <c r="V75" s="6">
        <v>86.7</v>
      </c>
    </row>
    <row r="76" spans="1:22" x14ac:dyDescent="0.25">
      <c r="A76" t="s">
        <v>123</v>
      </c>
      <c r="B76" t="s">
        <v>187</v>
      </c>
      <c r="C76" t="s">
        <v>359</v>
      </c>
      <c r="D76" t="s">
        <v>182</v>
      </c>
      <c r="E76">
        <v>9</v>
      </c>
      <c r="F76">
        <v>9</v>
      </c>
      <c r="G76">
        <v>27</v>
      </c>
      <c r="H76" s="8">
        <v>134.71</v>
      </c>
      <c r="I76" s="8">
        <v>127</v>
      </c>
      <c r="J76" s="8">
        <v>138.5</v>
      </c>
      <c r="K76" s="6">
        <v>8.5</v>
      </c>
      <c r="L76" s="6">
        <v>0</v>
      </c>
      <c r="M76" s="6">
        <v>0</v>
      </c>
      <c r="O76">
        <v>27</v>
      </c>
      <c r="P76" t="s">
        <v>191</v>
      </c>
      <c r="Q76" t="s">
        <v>228</v>
      </c>
      <c r="R76">
        <v>7</v>
      </c>
      <c r="S76" s="10" t="s">
        <v>190</v>
      </c>
      <c r="U76" t="s">
        <v>206</v>
      </c>
      <c r="V76" s="6">
        <v>88.1</v>
      </c>
    </row>
    <row r="77" spans="1:22" x14ac:dyDescent="0.25">
      <c r="A77" t="s">
        <v>134</v>
      </c>
      <c r="B77" t="s">
        <v>187</v>
      </c>
      <c r="C77" t="s">
        <v>359</v>
      </c>
      <c r="D77" t="s">
        <v>182</v>
      </c>
      <c r="E77">
        <v>7</v>
      </c>
      <c r="F77">
        <v>7</v>
      </c>
      <c r="G77">
        <v>28</v>
      </c>
      <c r="H77" s="8">
        <v>222.71</v>
      </c>
      <c r="I77" s="8">
        <v>168.43</v>
      </c>
      <c r="J77" s="8">
        <v>234.14</v>
      </c>
      <c r="K77" s="6">
        <v>29.5</v>
      </c>
      <c r="L77" s="6">
        <v>0</v>
      </c>
      <c r="M77" s="6">
        <v>0</v>
      </c>
      <c r="N77" s="6">
        <v>0.75</v>
      </c>
      <c r="O77">
        <v>21</v>
      </c>
      <c r="P77" t="s">
        <v>292</v>
      </c>
      <c r="Q77" t="s">
        <v>228</v>
      </c>
      <c r="R77">
        <v>7</v>
      </c>
      <c r="S77" s="10" t="s">
        <v>293</v>
      </c>
      <c r="T77" s="6">
        <v>65.3</v>
      </c>
      <c r="U77" t="s">
        <v>206</v>
      </c>
      <c r="V77" s="6">
        <v>101.3</v>
      </c>
    </row>
    <row r="78" spans="1:22" x14ac:dyDescent="0.25">
      <c r="A78" t="s">
        <v>123</v>
      </c>
      <c r="B78" t="s">
        <v>194</v>
      </c>
      <c r="C78" t="s">
        <v>359</v>
      </c>
      <c r="D78" t="s">
        <v>182</v>
      </c>
      <c r="E78">
        <v>8</v>
      </c>
      <c r="F78">
        <v>8</v>
      </c>
      <c r="G78">
        <v>24</v>
      </c>
      <c r="H78" s="8">
        <v>180.93</v>
      </c>
      <c r="I78" s="8">
        <v>170.86</v>
      </c>
      <c r="J78" s="8">
        <v>214.19</v>
      </c>
      <c r="K78" s="6">
        <v>23.9</v>
      </c>
      <c r="L78" s="6">
        <v>0.125</v>
      </c>
      <c r="M78" s="6">
        <v>0.125</v>
      </c>
      <c r="O78">
        <v>24</v>
      </c>
      <c r="P78" t="s">
        <v>294</v>
      </c>
      <c r="Q78" t="s">
        <v>297</v>
      </c>
      <c r="R78">
        <v>7.5</v>
      </c>
      <c r="S78" s="10" t="s">
        <v>232</v>
      </c>
      <c r="U78" t="s">
        <v>206</v>
      </c>
      <c r="V78" s="6">
        <v>118.3</v>
      </c>
    </row>
    <row r="79" spans="1:22" x14ac:dyDescent="0.25">
      <c r="A79" t="s">
        <v>134</v>
      </c>
      <c r="B79" t="s">
        <v>194</v>
      </c>
      <c r="C79" t="s">
        <v>359</v>
      </c>
      <c r="D79" t="s">
        <v>182</v>
      </c>
      <c r="E79">
        <v>5</v>
      </c>
      <c r="F79">
        <v>5</v>
      </c>
      <c r="G79">
        <v>20</v>
      </c>
      <c r="H79" s="8">
        <v>262.70999999999998</v>
      </c>
      <c r="I79" s="8">
        <v>258.43</v>
      </c>
      <c r="J79" s="8">
        <v>265.57</v>
      </c>
      <c r="K79" s="6">
        <v>2.7</v>
      </c>
      <c r="L79" s="6">
        <v>0</v>
      </c>
      <c r="M79" s="6">
        <v>0</v>
      </c>
      <c r="N79" s="6">
        <v>0.75</v>
      </c>
      <c r="O79">
        <v>15</v>
      </c>
      <c r="P79" t="s">
        <v>296</v>
      </c>
      <c r="Q79" t="s">
        <v>297</v>
      </c>
      <c r="R79">
        <v>7</v>
      </c>
      <c r="S79" s="10" t="s">
        <v>246</v>
      </c>
      <c r="T79" s="6">
        <v>45.2</v>
      </c>
      <c r="U79" t="s">
        <v>206</v>
      </c>
      <c r="V79" s="6">
        <v>119.5</v>
      </c>
    </row>
    <row r="80" spans="1:22" x14ac:dyDescent="0.25">
      <c r="A80" t="s">
        <v>123</v>
      </c>
      <c r="B80" t="s">
        <v>185</v>
      </c>
      <c r="C80" t="s">
        <v>359</v>
      </c>
      <c r="D80" t="s">
        <v>182</v>
      </c>
      <c r="E80">
        <v>25</v>
      </c>
      <c r="F80">
        <v>25</v>
      </c>
      <c r="G80">
        <v>75</v>
      </c>
      <c r="H80" s="8">
        <v>167.71</v>
      </c>
      <c r="I80" s="8">
        <v>133.86000000000001</v>
      </c>
      <c r="J80" s="8">
        <v>190.38</v>
      </c>
      <c r="K80" s="6">
        <v>33.700000000000003</v>
      </c>
      <c r="L80" s="6">
        <v>0</v>
      </c>
      <c r="M80" s="6">
        <v>0</v>
      </c>
      <c r="O80">
        <v>75</v>
      </c>
      <c r="P80" t="s">
        <v>233</v>
      </c>
      <c r="Q80" t="s">
        <v>201</v>
      </c>
      <c r="R80">
        <v>7</v>
      </c>
      <c r="S80" s="10" t="s">
        <v>360</v>
      </c>
      <c r="U80" t="s">
        <v>206</v>
      </c>
      <c r="V80" s="6">
        <v>109.7</v>
      </c>
    </row>
    <row r="81" spans="1:22" x14ac:dyDescent="0.25">
      <c r="A81" t="s">
        <v>134</v>
      </c>
      <c r="B81" t="s">
        <v>185</v>
      </c>
      <c r="C81" t="s">
        <v>359</v>
      </c>
      <c r="D81" t="s">
        <v>182</v>
      </c>
      <c r="E81">
        <v>28</v>
      </c>
      <c r="F81">
        <v>28</v>
      </c>
      <c r="G81">
        <v>112</v>
      </c>
      <c r="H81" s="8">
        <v>224.86</v>
      </c>
      <c r="I81" s="8">
        <v>208.43</v>
      </c>
      <c r="J81" s="8">
        <v>247</v>
      </c>
      <c r="K81" s="6">
        <v>17.2</v>
      </c>
      <c r="L81" s="6">
        <v>0</v>
      </c>
      <c r="M81" s="6">
        <v>0</v>
      </c>
      <c r="N81" s="6">
        <v>0.75</v>
      </c>
      <c r="O81">
        <v>84</v>
      </c>
      <c r="P81" t="s">
        <v>233</v>
      </c>
      <c r="Q81" t="s">
        <v>201</v>
      </c>
      <c r="R81">
        <v>7</v>
      </c>
      <c r="S81" s="10" t="s">
        <v>299</v>
      </c>
      <c r="T81" s="6">
        <v>34.1</v>
      </c>
      <c r="U81" t="s">
        <v>206</v>
      </c>
      <c r="V81" s="6">
        <v>102.3</v>
      </c>
    </row>
    <row r="82" spans="1:22" x14ac:dyDescent="0.25">
      <c r="A82" t="s">
        <v>123</v>
      </c>
      <c r="B82" t="s">
        <v>203</v>
      </c>
      <c r="C82" t="s">
        <v>359</v>
      </c>
      <c r="D82" t="s">
        <v>182</v>
      </c>
      <c r="E82">
        <v>24</v>
      </c>
      <c r="F82">
        <v>24</v>
      </c>
      <c r="G82">
        <v>72</v>
      </c>
      <c r="H82" s="8">
        <v>137.25</v>
      </c>
      <c r="I82" s="8">
        <v>109</v>
      </c>
      <c r="J82" s="8">
        <v>149</v>
      </c>
      <c r="K82" s="6">
        <v>29.1</v>
      </c>
      <c r="L82" s="6">
        <v>1.3899999999999999E-2</v>
      </c>
      <c r="M82" s="6">
        <v>1.3899999999999999E-2</v>
      </c>
      <c r="O82">
        <v>72</v>
      </c>
      <c r="P82" t="s">
        <v>204</v>
      </c>
      <c r="Q82" t="s">
        <v>300</v>
      </c>
      <c r="R82">
        <v>7.5</v>
      </c>
      <c r="S82" s="10" t="s">
        <v>267</v>
      </c>
      <c r="U82" t="s">
        <v>206</v>
      </c>
      <c r="V82" s="6">
        <v>89.8</v>
      </c>
    </row>
    <row r="83" spans="1:22" x14ac:dyDescent="0.25">
      <c r="A83" t="s">
        <v>134</v>
      </c>
      <c r="B83" t="s">
        <v>203</v>
      </c>
      <c r="C83" t="s">
        <v>359</v>
      </c>
      <c r="D83" t="s">
        <v>182</v>
      </c>
      <c r="E83">
        <v>40</v>
      </c>
      <c r="F83">
        <v>40</v>
      </c>
      <c r="G83">
        <v>160</v>
      </c>
      <c r="H83" s="8">
        <v>175.57</v>
      </c>
      <c r="I83" s="8">
        <v>169.86</v>
      </c>
      <c r="J83" s="8">
        <v>198.43</v>
      </c>
      <c r="K83" s="6">
        <v>16.3</v>
      </c>
      <c r="L83" s="6">
        <v>0</v>
      </c>
      <c r="M83" s="6">
        <v>0</v>
      </c>
      <c r="N83" s="6">
        <v>0.75</v>
      </c>
      <c r="O83">
        <v>120</v>
      </c>
      <c r="P83" t="s">
        <v>204</v>
      </c>
      <c r="Q83" t="s">
        <v>300</v>
      </c>
      <c r="R83">
        <v>7</v>
      </c>
      <c r="S83" s="9" t="s">
        <v>361</v>
      </c>
      <c r="T83" s="6">
        <v>27.9</v>
      </c>
      <c r="U83" t="s">
        <v>206</v>
      </c>
      <c r="V83" s="6">
        <v>79.900000000000006</v>
      </c>
    </row>
    <row r="84" spans="1:22" x14ac:dyDescent="0.25">
      <c r="A84" t="s">
        <v>123</v>
      </c>
      <c r="B84" t="s">
        <v>303</v>
      </c>
      <c r="C84" t="s">
        <v>359</v>
      </c>
      <c r="D84" t="s">
        <v>182</v>
      </c>
      <c r="E84">
        <v>26</v>
      </c>
      <c r="F84">
        <v>26</v>
      </c>
      <c r="G84">
        <v>78</v>
      </c>
      <c r="H84" s="8">
        <v>134.62</v>
      </c>
      <c r="I84" s="8">
        <v>113.14</v>
      </c>
      <c r="J84" s="8">
        <v>144.88</v>
      </c>
      <c r="K84" s="6">
        <v>23.6</v>
      </c>
      <c r="L84" s="6">
        <v>0</v>
      </c>
      <c r="M84" s="6">
        <v>0</v>
      </c>
      <c r="O84">
        <v>78</v>
      </c>
      <c r="P84" t="s">
        <v>304</v>
      </c>
      <c r="Q84" t="s">
        <v>305</v>
      </c>
      <c r="R84">
        <v>7</v>
      </c>
      <c r="S84" s="10" t="s">
        <v>362</v>
      </c>
      <c r="U84" t="s">
        <v>206</v>
      </c>
      <c r="V84" s="6">
        <v>88.1</v>
      </c>
    </row>
    <row r="85" spans="1:22" x14ac:dyDescent="0.25">
      <c r="A85" t="s">
        <v>134</v>
      </c>
      <c r="B85" t="s">
        <v>303</v>
      </c>
      <c r="C85" t="s">
        <v>359</v>
      </c>
      <c r="D85" t="s">
        <v>182</v>
      </c>
      <c r="E85">
        <v>52</v>
      </c>
      <c r="F85">
        <v>52</v>
      </c>
      <c r="G85">
        <v>208</v>
      </c>
      <c r="H85" s="8">
        <v>195.57</v>
      </c>
      <c r="I85" s="8">
        <v>181.29</v>
      </c>
      <c r="J85" s="8">
        <v>204.14</v>
      </c>
      <c r="K85" s="6">
        <v>11.7</v>
      </c>
      <c r="L85" s="6">
        <v>0</v>
      </c>
      <c r="M85" s="6">
        <v>0</v>
      </c>
      <c r="N85" s="6">
        <v>0.75</v>
      </c>
      <c r="O85">
        <v>156</v>
      </c>
      <c r="P85" t="s">
        <v>363</v>
      </c>
      <c r="Q85" t="s">
        <v>305</v>
      </c>
      <c r="R85">
        <v>7</v>
      </c>
      <c r="S85" s="9" t="s">
        <v>364</v>
      </c>
      <c r="T85" s="6">
        <v>45.3</v>
      </c>
      <c r="U85" t="s">
        <v>206</v>
      </c>
      <c r="V85" s="6">
        <v>89</v>
      </c>
    </row>
    <row r="86" spans="1:22" x14ac:dyDescent="0.25">
      <c r="A86" t="s">
        <v>123</v>
      </c>
      <c r="B86" t="s">
        <v>206</v>
      </c>
      <c r="C86" t="s">
        <v>359</v>
      </c>
      <c r="D86" t="s">
        <v>182</v>
      </c>
      <c r="E86">
        <v>18</v>
      </c>
      <c r="F86">
        <v>18</v>
      </c>
      <c r="G86">
        <v>54</v>
      </c>
      <c r="H86" s="8">
        <v>152.88</v>
      </c>
      <c r="I86" s="8">
        <v>140.88</v>
      </c>
      <c r="J86" s="8">
        <v>190.38</v>
      </c>
      <c r="K86" s="6">
        <v>32.4</v>
      </c>
      <c r="L86" s="6">
        <v>0</v>
      </c>
      <c r="M86" s="6">
        <v>0</v>
      </c>
      <c r="O86">
        <v>54</v>
      </c>
      <c r="P86" t="s">
        <v>241</v>
      </c>
      <c r="Q86" t="s">
        <v>310</v>
      </c>
      <c r="R86">
        <v>8</v>
      </c>
      <c r="S86" s="10" t="s">
        <v>254</v>
      </c>
      <c r="U86" t="s">
        <v>206</v>
      </c>
      <c r="V86" s="6">
        <v>100</v>
      </c>
    </row>
    <row r="87" spans="1:22" x14ac:dyDescent="0.25">
      <c r="A87" t="s">
        <v>134</v>
      </c>
      <c r="B87" t="s">
        <v>206</v>
      </c>
      <c r="C87" t="s">
        <v>359</v>
      </c>
      <c r="D87" t="s">
        <v>182</v>
      </c>
      <c r="E87">
        <v>59</v>
      </c>
      <c r="F87">
        <v>59</v>
      </c>
      <c r="G87">
        <v>236</v>
      </c>
      <c r="H87" s="8">
        <v>219.86</v>
      </c>
      <c r="I87" s="8">
        <v>194.14</v>
      </c>
      <c r="J87" s="8">
        <v>234.14</v>
      </c>
      <c r="K87" s="6">
        <v>18.2</v>
      </c>
      <c r="L87" s="6">
        <v>0</v>
      </c>
      <c r="M87" s="6">
        <v>0</v>
      </c>
      <c r="N87" s="6">
        <v>0.75</v>
      </c>
      <c r="O87">
        <v>177</v>
      </c>
      <c r="P87" t="s">
        <v>309</v>
      </c>
      <c r="Q87" t="s">
        <v>365</v>
      </c>
      <c r="R87">
        <v>7</v>
      </c>
      <c r="S87" s="9" t="s">
        <v>366</v>
      </c>
      <c r="T87" s="6">
        <v>43.8</v>
      </c>
      <c r="U87" t="s">
        <v>206</v>
      </c>
      <c r="V87" s="6">
        <v>100</v>
      </c>
    </row>
    <row r="88" spans="1:22" x14ac:dyDescent="0.25">
      <c r="A88" t="s">
        <v>123</v>
      </c>
      <c r="B88" t="s">
        <v>210</v>
      </c>
      <c r="C88" t="s">
        <v>359</v>
      </c>
      <c r="D88" t="s">
        <v>182</v>
      </c>
      <c r="E88">
        <v>3</v>
      </c>
      <c r="F88">
        <v>3</v>
      </c>
      <c r="G88">
        <v>9</v>
      </c>
      <c r="H88" s="8">
        <v>140.38</v>
      </c>
      <c r="I88" s="8">
        <v>140.38</v>
      </c>
      <c r="J88" s="8">
        <v>141.62</v>
      </c>
      <c r="K88" s="6">
        <v>0.9</v>
      </c>
      <c r="L88" s="6">
        <v>0</v>
      </c>
      <c r="M88" s="6">
        <v>0</v>
      </c>
      <c r="O88">
        <v>9</v>
      </c>
      <c r="P88" t="s">
        <v>314</v>
      </c>
      <c r="Q88" t="s">
        <v>315</v>
      </c>
      <c r="R88">
        <v>8</v>
      </c>
      <c r="S88" s="9" t="s">
        <v>238</v>
      </c>
      <c r="U88" t="s">
        <v>206</v>
      </c>
      <c r="V88" s="6">
        <v>91.8</v>
      </c>
    </row>
    <row r="89" spans="1:22" x14ac:dyDescent="0.25">
      <c r="A89" t="s">
        <v>134</v>
      </c>
      <c r="B89" t="s">
        <v>210</v>
      </c>
      <c r="C89" t="s">
        <v>359</v>
      </c>
      <c r="D89" t="s">
        <v>182</v>
      </c>
      <c r="E89">
        <v>8</v>
      </c>
      <c r="F89">
        <v>8</v>
      </c>
      <c r="G89">
        <v>32</v>
      </c>
      <c r="H89" s="8">
        <v>179.86</v>
      </c>
      <c r="I89" s="8">
        <v>155.57</v>
      </c>
      <c r="J89" s="8">
        <v>214.14</v>
      </c>
      <c r="K89" s="6">
        <v>32.6</v>
      </c>
      <c r="L89" s="6">
        <v>0</v>
      </c>
      <c r="M89" s="6">
        <v>0</v>
      </c>
      <c r="N89" s="6">
        <v>0.75</v>
      </c>
      <c r="O89">
        <v>24</v>
      </c>
      <c r="P89" t="s">
        <v>314</v>
      </c>
      <c r="Q89" t="s">
        <v>316</v>
      </c>
      <c r="R89">
        <v>7</v>
      </c>
      <c r="S89" s="10" t="s">
        <v>232</v>
      </c>
      <c r="T89" s="6">
        <v>28.1</v>
      </c>
      <c r="U89" t="s">
        <v>206</v>
      </c>
      <c r="V89" s="6">
        <v>81.8</v>
      </c>
    </row>
    <row r="90" spans="1:22" x14ac:dyDescent="0.25">
      <c r="A90" t="s">
        <v>123</v>
      </c>
      <c r="B90" t="s">
        <v>216</v>
      </c>
      <c r="C90" t="s">
        <v>367</v>
      </c>
      <c r="D90" t="s">
        <v>182</v>
      </c>
      <c r="E90">
        <v>3</v>
      </c>
      <c r="F90">
        <v>3</v>
      </c>
      <c r="G90">
        <v>9</v>
      </c>
      <c r="H90" s="8">
        <v>124.79</v>
      </c>
      <c r="I90" s="8">
        <v>112.43</v>
      </c>
      <c r="J90" s="8">
        <v>125.14</v>
      </c>
      <c r="K90" s="6">
        <v>10.199999999999999</v>
      </c>
      <c r="L90" s="6">
        <v>0.1111</v>
      </c>
      <c r="M90" s="6">
        <v>0.1111</v>
      </c>
      <c r="O90">
        <v>9</v>
      </c>
      <c r="P90" t="s">
        <v>217</v>
      </c>
      <c r="Q90" t="s">
        <v>218</v>
      </c>
      <c r="R90">
        <v>7</v>
      </c>
      <c r="S90" s="9" t="s">
        <v>238</v>
      </c>
      <c r="U90" t="s">
        <v>206</v>
      </c>
      <c r="V90" s="6">
        <v>94.6</v>
      </c>
    </row>
    <row r="91" spans="1:22" x14ac:dyDescent="0.25">
      <c r="A91" t="s">
        <v>123</v>
      </c>
      <c r="B91" t="s">
        <v>219</v>
      </c>
      <c r="C91" t="s">
        <v>367</v>
      </c>
      <c r="D91" t="s">
        <v>182</v>
      </c>
      <c r="E91">
        <v>4</v>
      </c>
      <c r="F91">
        <v>4</v>
      </c>
      <c r="G91">
        <v>12</v>
      </c>
      <c r="H91" s="8">
        <v>103.58</v>
      </c>
      <c r="I91" s="8">
        <v>96.29</v>
      </c>
      <c r="J91" s="8">
        <v>121.38</v>
      </c>
      <c r="K91" s="6">
        <v>24.2</v>
      </c>
      <c r="L91" s="6">
        <v>0.16669999999999999</v>
      </c>
      <c r="M91" s="6">
        <v>0.16669999999999999</v>
      </c>
      <c r="O91">
        <v>12</v>
      </c>
      <c r="P91" t="s">
        <v>250</v>
      </c>
      <c r="Q91" t="s">
        <v>251</v>
      </c>
      <c r="R91">
        <v>7.5</v>
      </c>
      <c r="S91" s="9" t="s">
        <v>193</v>
      </c>
      <c r="U91" t="s">
        <v>206</v>
      </c>
      <c r="V91" s="6">
        <v>78.599999999999994</v>
      </c>
    </row>
    <row r="92" spans="1:22" x14ac:dyDescent="0.25">
      <c r="A92" t="s">
        <v>123</v>
      </c>
      <c r="B92" t="s">
        <v>221</v>
      </c>
      <c r="C92" t="s">
        <v>367</v>
      </c>
      <c r="D92" t="s">
        <v>182</v>
      </c>
      <c r="E92">
        <v>6</v>
      </c>
      <c r="F92">
        <v>6</v>
      </c>
      <c r="G92">
        <v>18</v>
      </c>
      <c r="H92" s="8">
        <v>117.12</v>
      </c>
      <c r="I92" s="8">
        <v>111.38</v>
      </c>
      <c r="J92" s="8">
        <v>132.29</v>
      </c>
      <c r="K92" s="6">
        <v>17.899999999999999</v>
      </c>
      <c r="L92" s="6">
        <v>0</v>
      </c>
      <c r="M92" s="6">
        <v>0</v>
      </c>
      <c r="O92">
        <v>18</v>
      </c>
      <c r="P92" t="s">
        <v>222</v>
      </c>
      <c r="Q92" t="s">
        <v>253</v>
      </c>
      <c r="R92">
        <v>8</v>
      </c>
      <c r="S92" s="10" t="s">
        <v>249</v>
      </c>
      <c r="U92" t="s">
        <v>206</v>
      </c>
      <c r="V92" s="6">
        <v>88.8</v>
      </c>
    </row>
    <row r="93" spans="1:22" x14ac:dyDescent="0.25">
      <c r="A93" t="s">
        <v>134</v>
      </c>
      <c r="B93" t="s">
        <v>221</v>
      </c>
      <c r="C93" t="s">
        <v>367</v>
      </c>
      <c r="D93" t="s">
        <v>182</v>
      </c>
      <c r="E93">
        <v>1</v>
      </c>
      <c r="F93">
        <v>1</v>
      </c>
      <c r="G93">
        <v>3</v>
      </c>
      <c r="H93" s="8">
        <v>99.86</v>
      </c>
      <c r="I93" s="8">
        <v>99.86</v>
      </c>
      <c r="J93" s="8">
        <v>99.86</v>
      </c>
      <c r="K93" s="6">
        <v>0</v>
      </c>
      <c r="L93" s="6">
        <v>0</v>
      </c>
      <c r="M93" s="6">
        <v>0</v>
      </c>
      <c r="N93" s="6">
        <v>1</v>
      </c>
      <c r="O93">
        <v>3</v>
      </c>
      <c r="P93" t="s">
        <v>223</v>
      </c>
      <c r="Q93" t="s">
        <v>223</v>
      </c>
      <c r="R93">
        <v>7</v>
      </c>
      <c r="S93" s="9" t="s">
        <v>184</v>
      </c>
      <c r="T93" s="6">
        <v>-14.7</v>
      </c>
    </row>
    <row r="94" spans="1:22" x14ac:dyDescent="0.25">
      <c r="A94" t="s">
        <v>123</v>
      </c>
      <c r="B94" t="s">
        <v>258</v>
      </c>
      <c r="C94" t="s">
        <v>367</v>
      </c>
      <c r="D94" t="s">
        <v>182</v>
      </c>
      <c r="E94">
        <v>6</v>
      </c>
      <c r="F94">
        <v>6</v>
      </c>
      <c r="G94">
        <v>18</v>
      </c>
      <c r="H94" s="8">
        <v>106.5</v>
      </c>
      <c r="I94" s="8">
        <v>97.75</v>
      </c>
      <c r="J94" s="8">
        <v>121.57</v>
      </c>
      <c r="K94" s="6">
        <v>22.4</v>
      </c>
      <c r="L94" s="6">
        <v>0</v>
      </c>
      <c r="M94" s="6">
        <v>0</v>
      </c>
      <c r="O94">
        <v>18</v>
      </c>
      <c r="P94" t="s">
        <v>259</v>
      </c>
      <c r="Q94" t="s">
        <v>260</v>
      </c>
      <c r="R94">
        <v>7</v>
      </c>
      <c r="S94" s="10" t="s">
        <v>249</v>
      </c>
      <c r="U94" t="s">
        <v>206</v>
      </c>
      <c r="V94" s="6">
        <v>80.8</v>
      </c>
    </row>
    <row r="95" spans="1:22" x14ac:dyDescent="0.25">
      <c r="A95" t="s">
        <v>123</v>
      </c>
      <c r="B95" t="s">
        <v>264</v>
      </c>
      <c r="C95" t="s">
        <v>367</v>
      </c>
      <c r="D95" t="s">
        <v>182</v>
      </c>
      <c r="E95">
        <v>8</v>
      </c>
      <c r="F95">
        <v>8</v>
      </c>
      <c r="G95">
        <v>24</v>
      </c>
      <c r="H95" s="8">
        <v>143.69</v>
      </c>
      <c r="I95" s="8">
        <v>125.12</v>
      </c>
      <c r="J95" s="8">
        <v>195.14</v>
      </c>
      <c r="K95" s="6">
        <v>48.7</v>
      </c>
      <c r="L95" s="6">
        <v>0</v>
      </c>
      <c r="M95" s="6">
        <v>0</v>
      </c>
      <c r="O95">
        <v>24</v>
      </c>
      <c r="P95" t="s">
        <v>265</v>
      </c>
      <c r="Q95" t="s">
        <v>266</v>
      </c>
      <c r="R95">
        <v>8</v>
      </c>
      <c r="S95" s="10" t="s">
        <v>232</v>
      </c>
      <c r="U95" t="s">
        <v>206</v>
      </c>
      <c r="V95" s="6">
        <v>109</v>
      </c>
    </row>
    <row r="96" spans="1:22" x14ac:dyDescent="0.25">
      <c r="A96" t="s">
        <v>134</v>
      </c>
      <c r="B96" t="s">
        <v>264</v>
      </c>
      <c r="C96" t="s">
        <v>367</v>
      </c>
      <c r="D96" t="s">
        <v>182</v>
      </c>
      <c r="E96">
        <v>1</v>
      </c>
      <c r="F96">
        <v>1</v>
      </c>
      <c r="G96">
        <v>3</v>
      </c>
      <c r="H96" s="8">
        <v>112.71</v>
      </c>
      <c r="I96" s="8">
        <v>112.71</v>
      </c>
      <c r="J96" s="8">
        <v>112.71</v>
      </c>
      <c r="K96" s="6">
        <v>0</v>
      </c>
      <c r="L96" s="6">
        <v>0</v>
      </c>
      <c r="M96" s="6">
        <v>0</v>
      </c>
      <c r="N96" s="6">
        <v>1</v>
      </c>
      <c r="O96">
        <v>3</v>
      </c>
      <c r="P96" t="s">
        <v>368</v>
      </c>
      <c r="Q96" t="s">
        <v>368</v>
      </c>
      <c r="R96">
        <v>7</v>
      </c>
      <c r="S96" s="9" t="s">
        <v>184</v>
      </c>
      <c r="T96" s="6">
        <v>-21.6</v>
      </c>
    </row>
    <row r="97" spans="1:22" x14ac:dyDescent="0.25">
      <c r="A97" t="s">
        <v>123</v>
      </c>
      <c r="B97" t="s">
        <v>268</v>
      </c>
      <c r="C97" t="s">
        <v>367</v>
      </c>
      <c r="D97" t="s">
        <v>182</v>
      </c>
      <c r="E97">
        <v>9</v>
      </c>
      <c r="F97">
        <v>9</v>
      </c>
      <c r="G97">
        <v>27</v>
      </c>
      <c r="H97" s="8">
        <v>105</v>
      </c>
      <c r="I97" s="8">
        <v>83.43</v>
      </c>
      <c r="J97" s="8">
        <v>193.43</v>
      </c>
      <c r="K97" s="6">
        <v>104.8</v>
      </c>
      <c r="L97" s="6">
        <v>0</v>
      </c>
      <c r="M97" s="6">
        <v>0</v>
      </c>
      <c r="O97">
        <v>27</v>
      </c>
      <c r="P97" t="s">
        <v>269</v>
      </c>
      <c r="Q97" t="s">
        <v>270</v>
      </c>
      <c r="R97">
        <v>7</v>
      </c>
      <c r="S97" s="10" t="s">
        <v>190</v>
      </c>
      <c r="U97" t="s">
        <v>206</v>
      </c>
      <c r="V97" s="6">
        <v>79.599999999999994</v>
      </c>
    </row>
    <row r="98" spans="1:22" x14ac:dyDescent="0.25">
      <c r="A98" t="s">
        <v>134</v>
      </c>
      <c r="B98" t="s">
        <v>268</v>
      </c>
      <c r="C98" t="s">
        <v>367</v>
      </c>
      <c r="D98" t="s">
        <v>182</v>
      </c>
      <c r="E98">
        <v>1</v>
      </c>
      <c r="F98">
        <v>1</v>
      </c>
      <c r="G98">
        <v>3</v>
      </c>
      <c r="H98" s="8">
        <v>138.43</v>
      </c>
      <c r="I98" s="8">
        <v>138.43</v>
      </c>
      <c r="J98" s="8">
        <v>138.43</v>
      </c>
      <c r="K98" s="6">
        <v>0</v>
      </c>
      <c r="L98" s="6">
        <v>0</v>
      </c>
      <c r="M98" s="6">
        <v>0</v>
      </c>
      <c r="N98" s="6">
        <v>1</v>
      </c>
      <c r="O98">
        <v>3</v>
      </c>
      <c r="P98" t="s">
        <v>369</v>
      </c>
      <c r="Q98" t="s">
        <v>369</v>
      </c>
      <c r="R98">
        <v>7</v>
      </c>
      <c r="S98" s="9" t="s">
        <v>184</v>
      </c>
      <c r="T98" s="6">
        <v>31.8</v>
      </c>
    </row>
    <row r="99" spans="1:22" x14ac:dyDescent="0.25">
      <c r="A99" t="s">
        <v>123</v>
      </c>
      <c r="B99" t="s">
        <v>271</v>
      </c>
      <c r="C99" t="s">
        <v>367</v>
      </c>
      <c r="D99" t="s">
        <v>182</v>
      </c>
      <c r="E99">
        <v>6</v>
      </c>
      <c r="F99">
        <v>6</v>
      </c>
      <c r="G99">
        <v>18</v>
      </c>
      <c r="H99" s="8">
        <v>107.07</v>
      </c>
      <c r="I99" s="8">
        <v>80.25</v>
      </c>
      <c r="J99" s="8">
        <v>113.14</v>
      </c>
      <c r="K99" s="6">
        <v>30.7</v>
      </c>
      <c r="L99" s="6">
        <v>0</v>
      </c>
      <c r="M99" s="6">
        <v>0</v>
      </c>
      <c r="O99">
        <v>18</v>
      </c>
      <c r="P99" t="s">
        <v>272</v>
      </c>
      <c r="Q99" t="s">
        <v>273</v>
      </c>
      <c r="R99">
        <v>7</v>
      </c>
      <c r="S99" s="10" t="s">
        <v>249</v>
      </c>
      <c r="U99" t="s">
        <v>206</v>
      </c>
      <c r="V99" s="6">
        <v>81.2</v>
      </c>
    </row>
    <row r="100" spans="1:22" x14ac:dyDescent="0.25">
      <c r="A100" t="s">
        <v>123</v>
      </c>
      <c r="B100" t="s">
        <v>276</v>
      </c>
      <c r="C100" t="s">
        <v>367</v>
      </c>
      <c r="D100" t="s">
        <v>182</v>
      </c>
      <c r="E100">
        <v>6</v>
      </c>
      <c r="F100">
        <v>6</v>
      </c>
      <c r="G100">
        <v>18</v>
      </c>
      <c r="H100" s="8">
        <v>98.64</v>
      </c>
      <c r="I100" s="8">
        <v>85.25</v>
      </c>
      <c r="J100" s="8">
        <v>111.71</v>
      </c>
      <c r="K100" s="6">
        <v>26.8</v>
      </c>
      <c r="L100" s="6">
        <v>0</v>
      </c>
      <c r="M100" s="6">
        <v>0</v>
      </c>
      <c r="O100">
        <v>18</v>
      </c>
      <c r="P100" t="s">
        <v>343</v>
      </c>
      <c r="Q100" t="s">
        <v>278</v>
      </c>
      <c r="R100">
        <v>7</v>
      </c>
      <c r="S100" s="10" t="s">
        <v>249</v>
      </c>
      <c r="U100" t="s">
        <v>206</v>
      </c>
      <c r="V100" s="6">
        <v>74.8</v>
      </c>
    </row>
    <row r="101" spans="1:22" x14ac:dyDescent="0.25">
      <c r="A101" t="s">
        <v>134</v>
      </c>
      <c r="B101" t="s">
        <v>276</v>
      </c>
      <c r="C101" t="s">
        <v>367</v>
      </c>
      <c r="D101" t="s">
        <v>182</v>
      </c>
      <c r="E101">
        <v>1</v>
      </c>
      <c r="F101">
        <v>1</v>
      </c>
      <c r="G101">
        <v>3</v>
      </c>
      <c r="H101" s="8">
        <v>211.29</v>
      </c>
      <c r="I101" s="8">
        <v>211.29</v>
      </c>
      <c r="J101" s="8">
        <v>211.29</v>
      </c>
      <c r="K101" s="6">
        <v>0</v>
      </c>
      <c r="L101" s="6">
        <v>0</v>
      </c>
      <c r="M101" s="6">
        <v>0</v>
      </c>
      <c r="N101" s="6">
        <v>1</v>
      </c>
      <c r="O101">
        <v>3</v>
      </c>
      <c r="P101" t="s">
        <v>370</v>
      </c>
      <c r="Q101" t="s">
        <v>370</v>
      </c>
      <c r="R101">
        <v>7</v>
      </c>
      <c r="S101" s="9" t="s">
        <v>184</v>
      </c>
      <c r="T101" s="6">
        <v>114.2</v>
      </c>
    </row>
    <row r="102" spans="1:22" x14ac:dyDescent="0.25">
      <c r="A102" t="s">
        <v>123</v>
      </c>
      <c r="B102" t="s">
        <v>280</v>
      </c>
      <c r="C102" t="s">
        <v>367</v>
      </c>
      <c r="D102" t="s">
        <v>182</v>
      </c>
      <c r="E102">
        <v>8</v>
      </c>
      <c r="F102">
        <v>8</v>
      </c>
      <c r="G102">
        <v>24</v>
      </c>
      <c r="H102" s="8">
        <v>112.96</v>
      </c>
      <c r="I102" s="8">
        <v>95.38</v>
      </c>
      <c r="J102" s="8">
        <v>129.13999999999999</v>
      </c>
      <c r="K102" s="6">
        <v>29.9</v>
      </c>
      <c r="L102" s="6">
        <v>0</v>
      </c>
      <c r="M102" s="6">
        <v>0</v>
      </c>
      <c r="O102">
        <v>24</v>
      </c>
      <c r="P102" t="s">
        <v>281</v>
      </c>
      <c r="Q102" t="s">
        <v>282</v>
      </c>
      <c r="R102">
        <v>7</v>
      </c>
      <c r="S102" s="10" t="s">
        <v>232</v>
      </c>
      <c r="U102" t="s">
        <v>206</v>
      </c>
      <c r="V102" s="6">
        <v>85.7</v>
      </c>
    </row>
    <row r="103" spans="1:22" x14ac:dyDescent="0.25">
      <c r="A103" t="s">
        <v>134</v>
      </c>
      <c r="B103" t="s">
        <v>280</v>
      </c>
      <c r="C103" t="s">
        <v>367</v>
      </c>
      <c r="D103" t="s">
        <v>182</v>
      </c>
      <c r="E103">
        <v>1</v>
      </c>
      <c r="F103">
        <v>1</v>
      </c>
      <c r="G103">
        <v>3</v>
      </c>
      <c r="H103" s="8">
        <v>122.38</v>
      </c>
      <c r="I103" s="8">
        <v>122.38</v>
      </c>
      <c r="J103" s="8">
        <v>122.38</v>
      </c>
      <c r="K103" s="6">
        <v>0</v>
      </c>
      <c r="L103" s="6">
        <v>0</v>
      </c>
      <c r="M103" s="6">
        <v>0</v>
      </c>
      <c r="N103" s="6">
        <v>1</v>
      </c>
      <c r="O103">
        <v>3</v>
      </c>
      <c r="P103" t="s">
        <v>283</v>
      </c>
      <c r="Q103" t="s">
        <v>283</v>
      </c>
      <c r="R103">
        <v>8</v>
      </c>
      <c r="S103" s="9" t="s">
        <v>184</v>
      </c>
      <c r="T103" s="6">
        <v>8.3000000000000007</v>
      </c>
    </row>
    <row r="104" spans="1:22" x14ac:dyDescent="0.25">
      <c r="A104" t="s">
        <v>123</v>
      </c>
      <c r="B104" t="s">
        <v>224</v>
      </c>
      <c r="C104" t="s">
        <v>367</v>
      </c>
      <c r="D104" t="s">
        <v>182</v>
      </c>
      <c r="E104">
        <v>14</v>
      </c>
      <c r="F104">
        <v>14</v>
      </c>
      <c r="G104">
        <v>42</v>
      </c>
      <c r="H104" s="8">
        <v>133.19</v>
      </c>
      <c r="I104" s="8">
        <v>112.71</v>
      </c>
      <c r="J104" s="8">
        <v>148.43</v>
      </c>
      <c r="K104" s="6">
        <v>26.8</v>
      </c>
      <c r="L104" s="6">
        <v>0</v>
      </c>
      <c r="M104" s="6">
        <v>0</v>
      </c>
      <c r="O104">
        <v>42</v>
      </c>
      <c r="P104" t="s">
        <v>347</v>
      </c>
      <c r="Q104" t="s">
        <v>225</v>
      </c>
      <c r="R104">
        <v>7</v>
      </c>
      <c r="S104" s="10" t="s">
        <v>275</v>
      </c>
      <c r="U104" t="s">
        <v>206</v>
      </c>
      <c r="V104" s="6">
        <v>101</v>
      </c>
    </row>
    <row r="105" spans="1:22" x14ac:dyDescent="0.25">
      <c r="A105" t="s">
        <v>134</v>
      </c>
      <c r="B105" t="s">
        <v>224</v>
      </c>
      <c r="C105" t="s">
        <v>367</v>
      </c>
      <c r="D105" t="s">
        <v>182</v>
      </c>
      <c r="E105">
        <v>4</v>
      </c>
      <c r="F105">
        <v>4</v>
      </c>
      <c r="G105">
        <v>12</v>
      </c>
      <c r="H105" s="8">
        <v>130.5</v>
      </c>
      <c r="I105" s="8">
        <v>128.62</v>
      </c>
      <c r="J105" s="8">
        <v>134.13999999999999</v>
      </c>
      <c r="K105" s="6">
        <v>4.2</v>
      </c>
      <c r="L105" s="6">
        <v>0</v>
      </c>
      <c r="M105" s="6">
        <v>0</v>
      </c>
      <c r="N105" s="6">
        <v>1</v>
      </c>
      <c r="O105">
        <v>12</v>
      </c>
      <c r="P105" t="s">
        <v>371</v>
      </c>
      <c r="Q105" t="s">
        <v>346</v>
      </c>
      <c r="R105">
        <v>8</v>
      </c>
      <c r="S105" s="9" t="s">
        <v>193</v>
      </c>
      <c r="T105" s="6">
        <v>-2</v>
      </c>
    </row>
    <row r="106" spans="1:22" x14ac:dyDescent="0.25">
      <c r="A106" t="s">
        <v>123</v>
      </c>
      <c r="B106" t="s">
        <v>181</v>
      </c>
      <c r="C106" t="s">
        <v>367</v>
      </c>
      <c r="D106" t="s">
        <v>182</v>
      </c>
      <c r="E106">
        <v>13</v>
      </c>
      <c r="F106">
        <v>13</v>
      </c>
      <c r="G106">
        <v>39</v>
      </c>
      <c r="H106" s="8">
        <v>123.43</v>
      </c>
      <c r="I106" s="8">
        <v>107.75</v>
      </c>
      <c r="J106" s="8">
        <v>130.43</v>
      </c>
      <c r="K106" s="6">
        <v>18.399999999999999</v>
      </c>
      <c r="L106" s="6">
        <v>0</v>
      </c>
      <c r="M106" s="6">
        <v>0</v>
      </c>
      <c r="O106">
        <v>39</v>
      </c>
      <c r="P106" t="s">
        <v>226</v>
      </c>
      <c r="Q106" t="s">
        <v>186</v>
      </c>
      <c r="R106">
        <v>7</v>
      </c>
      <c r="S106" s="10" t="s">
        <v>202</v>
      </c>
      <c r="U106" t="s">
        <v>206</v>
      </c>
      <c r="V106" s="6">
        <v>93.6</v>
      </c>
    </row>
    <row r="107" spans="1:22" x14ac:dyDescent="0.25">
      <c r="A107" t="s">
        <v>134</v>
      </c>
      <c r="B107" t="s">
        <v>181</v>
      </c>
      <c r="C107" t="s">
        <v>367</v>
      </c>
      <c r="D107" t="s">
        <v>182</v>
      </c>
      <c r="E107">
        <v>1</v>
      </c>
      <c r="F107">
        <v>1</v>
      </c>
      <c r="G107">
        <v>3</v>
      </c>
      <c r="H107" s="8">
        <v>134.13999999999999</v>
      </c>
      <c r="I107" s="8">
        <v>134.13999999999999</v>
      </c>
      <c r="J107" s="8">
        <v>134.13999999999999</v>
      </c>
      <c r="K107" s="6">
        <v>0</v>
      </c>
      <c r="L107" s="6">
        <v>0</v>
      </c>
      <c r="M107" s="6">
        <v>0</v>
      </c>
      <c r="N107" s="6">
        <v>1</v>
      </c>
      <c r="O107">
        <v>3</v>
      </c>
      <c r="P107" t="s">
        <v>289</v>
      </c>
      <c r="Q107" t="s">
        <v>289</v>
      </c>
      <c r="R107">
        <v>7</v>
      </c>
      <c r="S107" s="9" t="s">
        <v>184</v>
      </c>
      <c r="T107" s="6">
        <v>8.6999999999999993</v>
      </c>
    </row>
    <row r="108" spans="1:22" x14ac:dyDescent="0.25">
      <c r="A108" t="s">
        <v>123</v>
      </c>
      <c r="B108" t="s">
        <v>187</v>
      </c>
      <c r="C108" t="s">
        <v>367</v>
      </c>
      <c r="D108" t="s">
        <v>182</v>
      </c>
      <c r="E108">
        <v>9</v>
      </c>
      <c r="F108">
        <v>9</v>
      </c>
      <c r="G108">
        <v>27</v>
      </c>
      <c r="H108" s="8">
        <v>133.29</v>
      </c>
      <c r="I108" s="8">
        <v>118.71</v>
      </c>
      <c r="J108" s="8">
        <v>137.57</v>
      </c>
      <c r="K108" s="6">
        <v>14.1</v>
      </c>
      <c r="L108" s="6">
        <v>0</v>
      </c>
      <c r="M108" s="6">
        <v>0</v>
      </c>
      <c r="O108">
        <v>27</v>
      </c>
      <c r="P108" t="s">
        <v>292</v>
      </c>
      <c r="Q108" t="s">
        <v>228</v>
      </c>
      <c r="R108">
        <v>7</v>
      </c>
      <c r="S108" s="10" t="s">
        <v>190</v>
      </c>
      <c r="U108" t="s">
        <v>206</v>
      </c>
      <c r="V108" s="6">
        <v>101.1</v>
      </c>
    </row>
    <row r="109" spans="1:22" x14ac:dyDescent="0.25">
      <c r="A109" t="s">
        <v>123</v>
      </c>
      <c r="B109" t="s">
        <v>194</v>
      </c>
      <c r="C109" t="s">
        <v>367</v>
      </c>
      <c r="D109" t="s">
        <v>182</v>
      </c>
      <c r="E109">
        <v>12</v>
      </c>
      <c r="F109">
        <v>12</v>
      </c>
      <c r="G109">
        <v>36</v>
      </c>
      <c r="H109" s="8">
        <v>156.47</v>
      </c>
      <c r="I109" s="8">
        <v>140.57</v>
      </c>
      <c r="J109" s="8">
        <v>171.14</v>
      </c>
      <c r="K109" s="6">
        <v>19.5</v>
      </c>
      <c r="L109" s="6">
        <v>0</v>
      </c>
      <c r="M109" s="6">
        <v>0</v>
      </c>
      <c r="O109">
        <v>36</v>
      </c>
      <c r="P109" t="s">
        <v>294</v>
      </c>
      <c r="Q109" t="s">
        <v>297</v>
      </c>
      <c r="R109">
        <v>7</v>
      </c>
      <c r="S109" s="10" t="s">
        <v>229</v>
      </c>
      <c r="U109" t="s">
        <v>206</v>
      </c>
      <c r="V109" s="6">
        <v>118.7</v>
      </c>
    </row>
    <row r="110" spans="1:22" x14ac:dyDescent="0.25">
      <c r="A110" t="s">
        <v>123</v>
      </c>
      <c r="B110" t="s">
        <v>185</v>
      </c>
      <c r="C110" t="s">
        <v>367</v>
      </c>
      <c r="D110" t="s">
        <v>182</v>
      </c>
      <c r="E110">
        <v>33</v>
      </c>
      <c r="F110">
        <v>33</v>
      </c>
      <c r="G110">
        <v>99</v>
      </c>
      <c r="H110" s="8">
        <v>135.38</v>
      </c>
      <c r="I110" s="8">
        <v>107</v>
      </c>
      <c r="J110" s="8">
        <v>154.13999999999999</v>
      </c>
      <c r="K110" s="6">
        <v>34.799999999999997</v>
      </c>
      <c r="L110" s="6">
        <v>0</v>
      </c>
      <c r="M110" s="6">
        <v>0</v>
      </c>
      <c r="O110">
        <v>99</v>
      </c>
      <c r="P110" t="s">
        <v>233</v>
      </c>
      <c r="Q110" t="s">
        <v>201</v>
      </c>
      <c r="R110">
        <v>7</v>
      </c>
      <c r="S110" s="9" t="s">
        <v>372</v>
      </c>
      <c r="U110" t="s">
        <v>206</v>
      </c>
      <c r="V110" s="6">
        <v>102.7</v>
      </c>
    </row>
    <row r="111" spans="1:22" x14ac:dyDescent="0.25">
      <c r="A111" t="s">
        <v>123</v>
      </c>
      <c r="B111" t="s">
        <v>203</v>
      </c>
      <c r="C111" t="s">
        <v>367</v>
      </c>
      <c r="D111" t="s">
        <v>182</v>
      </c>
      <c r="E111">
        <v>29</v>
      </c>
      <c r="F111">
        <v>29</v>
      </c>
      <c r="G111">
        <v>87</v>
      </c>
      <c r="H111" s="8">
        <v>108</v>
      </c>
      <c r="I111" s="8">
        <v>100.5</v>
      </c>
      <c r="J111" s="8">
        <v>134.86000000000001</v>
      </c>
      <c r="K111" s="6">
        <v>31.8</v>
      </c>
      <c r="L111" s="6">
        <v>0</v>
      </c>
      <c r="M111" s="6">
        <v>0</v>
      </c>
      <c r="O111">
        <v>87</v>
      </c>
      <c r="P111" t="s">
        <v>236</v>
      </c>
      <c r="Q111" t="s">
        <v>300</v>
      </c>
      <c r="R111">
        <v>8</v>
      </c>
      <c r="S111" s="10" t="s">
        <v>373</v>
      </c>
      <c r="U111" t="s">
        <v>206</v>
      </c>
      <c r="V111" s="6">
        <v>81.900000000000006</v>
      </c>
    </row>
    <row r="112" spans="1:22" x14ac:dyDescent="0.25">
      <c r="A112" t="s">
        <v>123</v>
      </c>
      <c r="B112" t="s">
        <v>303</v>
      </c>
      <c r="C112" t="s">
        <v>367</v>
      </c>
      <c r="D112" t="s">
        <v>182</v>
      </c>
      <c r="E112">
        <v>40</v>
      </c>
      <c r="F112">
        <v>40</v>
      </c>
      <c r="G112">
        <v>120</v>
      </c>
      <c r="H112" s="8">
        <v>122.36</v>
      </c>
      <c r="I112" s="8">
        <v>105.75</v>
      </c>
      <c r="J112" s="8">
        <v>131.71</v>
      </c>
      <c r="K112" s="6">
        <v>21.2</v>
      </c>
      <c r="L112" s="6">
        <v>0</v>
      </c>
      <c r="M112" s="6">
        <v>0</v>
      </c>
      <c r="O112">
        <v>120</v>
      </c>
      <c r="P112" t="s">
        <v>304</v>
      </c>
      <c r="Q112" t="s">
        <v>305</v>
      </c>
      <c r="R112">
        <v>7</v>
      </c>
      <c r="S112" s="9" t="s">
        <v>361</v>
      </c>
      <c r="U112" t="s">
        <v>206</v>
      </c>
      <c r="V112" s="6">
        <v>92.8</v>
      </c>
    </row>
    <row r="113" spans="1:22" x14ac:dyDescent="0.25">
      <c r="A113" t="s">
        <v>134</v>
      </c>
      <c r="B113" t="s">
        <v>303</v>
      </c>
      <c r="C113" t="s">
        <v>367</v>
      </c>
      <c r="D113" t="s">
        <v>182</v>
      </c>
      <c r="E113">
        <v>2</v>
      </c>
      <c r="F113">
        <v>2</v>
      </c>
      <c r="G113">
        <v>6</v>
      </c>
      <c r="H113" s="8">
        <v>143</v>
      </c>
      <c r="I113" s="8">
        <v>128.62</v>
      </c>
      <c r="J113" s="8">
        <v>157.38</v>
      </c>
      <c r="K113" s="6">
        <v>20.100000000000001</v>
      </c>
      <c r="L113" s="6">
        <v>0</v>
      </c>
      <c r="M113" s="6">
        <v>0</v>
      </c>
      <c r="N113" s="6">
        <v>1</v>
      </c>
      <c r="O113">
        <v>6</v>
      </c>
      <c r="P113" t="s">
        <v>374</v>
      </c>
      <c r="Q113" t="s">
        <v>357</v>
      </c>
      <c r="R113">
        <v>8</v>
      </c>
      <c r="S113" s="9" t="s">
        <v>213</v>
      </c>
      <c r="T113" s="6">
        <v>16.899999999999999</v>
      </c>
    </row>
    <row r="114" spans="1:22" x14ac:dyDescent="0.25">
      <c r="A114" t="s">
        <v>123</v>
      </c>
      <c r="B114" t="s">
        <v>206</v>
      </c>
      <c r="C114" t="s">
        <v>367</v>
      </c>
      <c r="D114" t="s">
        <v>182</v>
      </c>
      <c r="E114">
        <v>19</v>
      </c>
      <c r="F114">
        <v>19</v>
      </c>
      <c r="G114">
        <v>57</v>
      </c>
      <c r="H114" s="8">
        <v>131.86000000000001</v>
      </c>
      <c r="I114" s="8">
        <v>117.29</v>
      </c>
      <c r="J114" s="8">
        <v>140.43</v>
      </c>
      <c r="K114" s="6">
        <v>17.600000000000001</v>
      </c>
      <c r="L114" s="6">
        <v>0</v>
      </c>
      <c r="M114" s="6">
        <v>0</v>
      </c>
      <c r="O114">
        <v>57</v>
      </c>
      <c r="P114" t="s">
        <v>309</v>
      </c>
      <c r="Q114" t="s">
        <v>375</v>
      </c>
      <c r="R114">
        <v>7</v>
      </c>
      <c r="S114" s="10" t="s">
        <v>376</v>
      </c>
      <c r="U114" t="s">
        <v>206</v>
      </c>
      <c r="V114" s="6">
        <v>100</v>
      </c>
    </row>
    <row r="115" spans="1:22" x14ac:dyDescent="0.25">
      <c r="A115" t="s">
        <v>134</v>
      </c>
      <c r="B115" t="s">
        <v>206</v>
      </c>
      <c r="C115" t="s">
        <v>367</v>
      </c>
      <c r="D115" t="s">
        <v>182</v>
      </c>
      <c r="E115">
        <v>1</v>
      </c>
      <c r="F115">
        <v>1</v>
      </c>
      <c r="G115">
        <v>3</v>
      </c>
      <c r="H115" s="8">
        <v>147.38</v>
      </c>
      <c r="I115" s="8">
        <v>147.38</v>
      </c>
      <c r="J115" s="8">
        <v>147.38</v>
      </c>
      <c r="K115" s="6">
        <v>0</v>
      </c>
      <c r="L115" s="6">
        <v>0</v>
      </c>
      <c r="M115" s="6">
        <v>0</v>
      </c>
      <c r="N115" s="6">
        <v>1</v>
      </c>
      <c r="O115">
        <v>3</v>
      </c>
      <c r="P115" t="s">
        <v>309</v>
      </c>
      <c r="Q115" t="s">
        <v>309</v>
      </c>
      <c r="R115">
        <v>8</v>
      </c>
      <c r="S115" s="9" t="s">
        <v>184</v>
      </c>
      <c r="T115" s="6">
        <v>11.8</v>
      </c>
    </row>
    <row r="116" spans="1:22" x14ac:dyDescent="0.25">
      <c r="A116" t="s">
        <v>123</v>
      </c>
      <c r="B116" t="s">
        <v>214</v>
      </c>
      <c r="C116" t="s">
        <v>377</v>
      </c>
      <c r="D116" t="s">
        <v>182</v>
      </c>
      <c r="E116">
        <v>1</v>
      </c>
      <c r="F116">
        <v>1</v>
      </c>
      <c r="G116">
        <v>3</v>
      </c>
      <c r="H116" s="8">
        <v>195.75</v>
      </c>
      <c r="I116" s="8">
        <v>195.75</v>
      </c>
      <c r="J116" s="8">
        <v>195.75</v>
      </c>
      <c r="K116" s="6">
        <v>0</v>
      </c>
      <c r="L116" s="6">
        <v>0</v>
      </c>
      <c r="M116" s="6">
        <v>0</v>
      </c>
      <c r="O116">
        <v>3</v>
      </c>
      <c r="P116" t="s">
        <v>244</v>
      </c>
      <c r="Q116" t="s">
        <v>244</v>
      </c>
      <c r="R116">
        <v>8</v>
      </c>
      <c r="S116" s="9" t="s">
        <v>184</v>
      </c>
      <c r="U116" t="s">
        <v>206</v>
      </c>
      <c r="V116" s="6">
        <v>154.5</v>
      </c>
    </row>
    <row r="117" spans="1:22" x14ac:dyDescent="0.25">
      <c r="A117" t="s">
        <v>123</v>
      </c>
      <c r="B117" t="s">
        <v>216</v>
      </c>
      <c r="C117" t="s">
        <v>377</v>
      </c>
      <c r="D117" t="s">
        <v>182</v>
      </c>
      <c r="E117">
        <v>2</v>
      </c>
      <c r="F117">
        <v>2</v>
      </c>
      <c r="G117">
        <v>6</v>
      </c>
      <c r="H117" s="8">
        <v>117.88</v>
      </c>
      <c r="I117" s="8">
        <v>117.12</v>
      </c>
      <c r="J117" s="8">
        <v>118.62</v>
      </c>
      <c r="K117" s="6">
        <v>1.3</v>
      </c>
      <c r="L117" s="6">
        <v>0</v>
      </c>
      <c r="M117" s="6">
        <v>0</v>
      </c>
      <c r="O117">
        <v>6</v>
      </c>
      <c r="P117" t="s">
        <v>247</v>
      </c>
      <c r="Q117" t="s">
        <v>378</v>
      </c>
      <c r="R117">
        <v>8</v>
      </c>
      <c r="S117" s="9" t="s">
        <v>213</v>
      </c>
      <c r="U117" t="s">
        <v>206</v>
      </c>
      <c r="V117" s="6">
        <v>93</v>
      </c>
    </row>
    <row r="118" spans="1:22" x14ac:dyDescent="0.25">
      <c r="A118" t="s">
        <v>123</v>
      </c>
      <c r="B118" t="s">
        <v>219</v>
      </c>
      <c r="C118" t="s">
        <v>377</v>
      </c>
      <c r="D118" t="s">
        <v>182</v>
      </c>
      <c r="E118">
        <v>3</v>
      </c>
      <c r="F118">
        <v>3</v>
      </c>
      <c r="G118">
        <v>9</v>
      </c>
      <c r="H118" s="8">
        <v>126.12</v>
      </c>
      <c r="I118" s="8">
        <v>103.86</v>
      </c>
      <c r="J118" s="8">
        <v>143.57</v>
      </c>
      <c r="K118" s="6">
        <v>31.5</v>
      </c>
      <c r="L118" s="6">
        <v>0.22220000000000001</v>
      </c>
      <c r="M118" s="6">
        <v>0.22220000000000001</v>
      </c>
      <c r="O118">
        <v>9</v>
      </c>
      <c r="P118" t="s">
        <v>220</v>
      </c>
      <c r="Q118" t="s">
        <v>251</v>
      </c>
      <c r="R118">
        <v>7</v>
      </c>
      <c r="S118" s="9" t="s">
        <v>238</v>
      </c>
      <c r="U118" t="s">
        <v>206</v>
      </c>
      <c r="V118" s="6">
        <v>99.5</v>
      </c>
    </row>
    <row r="119" spans="1:22" x14ac:dyDescent="0.25">
      <c r="A119" t="s">
        <v>134</v>
      </c>
      <c r="B119" t="s">
        <v>219</v>
      </c>
      <c r="C119" t="s">
        <v>377</v>
      </c>
      <c r="D119" t="s">
        <v>182</v>
      </c>
      <c r="E119">
        <v>1</v>
      </c>
      <c r="F119">
        <v>1</v>
      </c>
      <c r="G119">
        <v>4</v>
      </c>
      <c r="H119" s="8">
        <v>127.38</v>
      </c>
      <c r="I119" s="8">
        <v>127.38</v>
      </c>
      <c r="J119" s="8">
        <v>127.38</v>
      </c>
      <c r="K119" s="6">
        <v>0</v>
      </c>
      <c r="L119" s="6">
        <v>0</v>
      </c>
      <c r="M119" s="6">
        <v>0</v>
      </c>
      <c r="N119" s="6">
        <v>0.75</v>
      </c>
      <c r="O119">
        <v>3</v>
      </c>
      <c r="P119" t="s">
        <v>220</v>
      </c>
      <c r="Q119" t="s">
        <v>220</v>
      </c>
      <c r="R119">
        <v>8</v>
      </c>
      <c r="S119" s="9" t="s">
        <v>184</v>
      </c>
      <c r="T119" s="6">
        <v>1</v>
      </c>
      <c r="U119" t="s">
        <v>206</v>
      </c>
      <c r="V119" s="6">
        <v>66.099999999999994</v>
      </c>
    </row>
    <row r="120" spans="1:22" x14ac:dyDescent="0.25">
      <c r="A120" t="s">
        <v>123</v>
      </c>
      <c r="B120" t="s">
        <v>221</v>
      </c>
      <c r="C120" t="s">
        <v>377</v>
      </c>
      <c r="D120" t="s">
        <v>182</v>
      </c>
      <c r="E120">
        <v>4</v>
      </c>
      <c r="F120">
        <v>4</v>
      </c>
      <c r="G120">
        <v>12</v>
      </c>
      <c r="H120" s="8">
        <v>111</v>
      </c>
      <c r="I120" s="8">
        <v>96</v>
      </c>
      <c r="J120" s="8">
        <v>148.69</v>
      </c>
      <c r="K120" s="6">
        <v>47.5</v>
      </c>
      <c r="L120" s="6">
        <v>8.3299999999999999E-2</v>
      </c>
      <c r="M120" s="6">
        <v>8.3299999999999999E-2</v>
      </c>
      <c r="O120">
        <v>12</v>
      </c>
      <c r="P120" t="s">
        <v>222</v>
      </c>
      <c r="Q120" t="s">
        <v>253</v>
      </c>
      <c r="R120">
        <v>7.5</v>
      </c>
      <c r="S120" s="9" t="s">
        <v>193</v>
      </c>
      <c r="U120" t="s">
        <v>206</v>
      </c>
      <c r="V120" s="6">
        <v>87.6</v>
      </c>
    </row>
    <row r="121" spans="1:22" x14ac:dyDescent="0.25">
      <c r="A121" t="s">
        <v>134</v>
      </c>
      <c r="B121" t="s">
        <v>221</v>
      </c>
      <c r="C121" t="s">
        <v>377</v>
      </c>
      <c r="D121" t="s">
        <v>182</v>
      </c>
      <c r="E121">
        <v>6</v>
      </c>
      <c r="F121">
        <v>6</v>
      </c>
      <c r="G121">
        <v>24</v>
      </c>
      <c r="H121" s="8">
        <v>102</v>
      </c>
      <c r="I121" s="8">
        <v>95.57</v>
      </c>
      <c r="J121" s="8">
        <v>122.71</v>
      </c>
      <c r="K121" s="6">
        <v>26.6</v>
      </c>
      <c r="L121" s="6">
        <v>0</v>
      </c>
      <c r="M121" s="6">
        <v>0</v>
      </c>
      <c r="N121" s="6">
        <v>0.75</v>
      </c>
      <c r="O121">
        <v>18</v>
      </c>
      <c r="P121" t="s">
        <v>255</v>
      </c>
      <c r="Q121" t="s">
        <v>256</v>
      </c>
      <c r="R121">
        <v>7</v>
      </c>
      <c r="S121" s="10" t="s">
        <v>249</v>
      </c>
      <c r="T121" s="6">
        <v>-8.1</v>
      </c>
      <c r="U121" t="s">
        <v>206</v>
      </c>
      <c r="V121" s="6">
        <v>52.9</v>
      </c>
    </row>
    <row r="122" spans="1:22" x14ac:dyDescent="0.25">
      <c r="A122" t="s">
        <v>123</v>
      </c>
      <c r="B122" t="s">
        <v>258</v>
      </c>
      <c r="C122" t="s">
        <v>377</v>
      </c>
      <c r="D122" t="s">
        <v>182</v>
      </c>
      <c r="E122">
        <v>2</v>
      </c>
      <c r="F122">
        <v>2</v>
      </c>
      <c r="G122">
        <v>6</v>
      </c>
      <c r="H122" s="8">
        <v>108.75</v>
      </c>
      <c r="I122" s="8">
        <v>98.88</v>
      </c>
      <c r="J122" s="8">
        <v>118.62</v>
      </c>
      <c r="K122" s="6">
        <v>18.2</v>
      </c>
      <c r="L122" s="6">
        <v>0</v>
      </c>
      <c r="M122" s="6">
        <v>0</v>
      </c>
      <c r="O122">
        <v>6</v>
      </c>
      <c r="P122" t="s">
        <v>259</v>
      </c>
      <c r="Q122" t="s">
        <v>336</v>
      </c>
      <c r="R122">
        <v>8</v>
      </c>
      <c r="S122" s="9" t="s">
        <v>213</v>
      </c>
      <c r="U122" t="s">
        <v>206</v>
      </c>
      <c r="V122" s="6">
        <v>85.8</v>
      </c>
    </row>
    <row r="123" spans="1:22" x14ac:dyDescent="0.25">
      <c r="A123" t="s">
        <v>134</v>
      </c>
      <c r="B123" t="s">
        <v>258</v>
      </c>
      <c r="C123" t="s">
        <v>377</v>
      </c>
      <c r="D123" t="s">
        <v>182</v>
      </c>
      <c r="E123">
        <v>3</v>
      </c>
      <c r="F123">
        <v>3</v>
      </c>
      <c r="G123">
        <v>12</v>
      </c>
      <c r="H123" s="8">
        <v>97</v>
      </c>
      <c r="I123" s="8">
        <v>97</v>
      </c>
      <c r="J123" s="8">
        <v>101.29</v>
      </c>
      <c r="K123" s="6">
        <v>4.4000000000000004</v>
      </c>
      <c r="L123" s="6">
        <v>0</v>
      </c>
      <c r="M123" s="6">
        <v>0</v>
      </c>
      <c r="N123" s="6">
        <v>0.75</v>
      </c>
      <c r="O123">
        <v>9</v>
      </c>
      <c r="P123" t="s">
        <v>262</v>
      </c>
      <c r="Q123" t="s">
        <v>379</v>
      </c>
      <c r="R123">
        <v>7</v>
      </c>
      <c r="S123" s="9" t="s">
        <v>238</v>
      </c>
      <c r="T123" s="6">
        <v>-10.8</v>
      </c>
      <c r="U123" t="s">
        <v>206</v>
      </c>
      <c r="V123" s="6">
        <v>50.3</v>
      </c>
    </row>
    <row r="124" spans="1:22" x14ac:dyDescent="0.25">
      <c r="A124" t="s">
        <v>123</v>
      </c>
      <c r="B124" t="s">
        <v>264</v>
      </c>
      <c r="C124" t="s">
        <v>377</v>
      </c>
      <c r="D124" t="s">
        <v>182</v>
      </c>
      <c r="E124">
        <v>5</v>
      </c>
      <c r="F124">
        <v>5</v>
      </c>
      <c r="G124">
        <v>15</v>
      </c>
      <c r="H124" s="8">
        <v>159.13999999999999</v>
      </c>
      <c r="I124" s="8">
        <v>154.62</v>
      </c>
      <c r="J124" s="8">
        <v>168.75</v>
      </c>
      <c r="K124" s="6">
        <v>8.9</v>
      </c>
      <c r="L124" s="6">
        <v>6.6699999999999995E-2</v>
      </c>
      <c r="M124" s="6">
        <v>6.6699999999999995E-2</v>
      </c>
      <c r="O124">
        <v>15</v>
      </c>
      <c r="P124" t="s">
        <v>380</v>
      </c>
      <c r="Q124" t="s">
        <v>266</v>
      </c>
      <c r="R124">
        <v>8</v>
      </c>
      <c r="S124" s="10" t="s">
        <v>246</v>
      </c>
      <c r="U124" t="s">
        <v>206</v>
      </c>
      <c r="V124" s="6">
        <v>125.6</v>
      </c>
    </row>
    <row r="125" spans="1:22" x14ac:dyDescent="0.25">
      <c r="A125" t="s">
        <v>134</v>
      </c>
      <c r="B125" t="s">
        <v>264</v>
      </c>
      <c r="C125" t="s">
        <v>377</v>
      </c>
      <c r="D125" t="s">
        <v>182</v>
      </c>
      <c r="E125">
        <v>1</v>
      </c>
      <c r="F125">
        <v>1</v>
      </c>
      <c r="G125">
        <v>4</v>
      </c>
      <c r="H125" s="8">
        <v>98.62</v>
      </c>
      <c r="I125" s="8">
        <v>98.62</v>
      </c>
      <c r="J125" s="8">
        <v>98.62</v>
      </c>
      <c r="K125" s="6">
        <v>0</v>
      </c>
      <c r="L125" s="6">
        <v>0</v>
      </c>
      <c r="M125" s="6">
        <v>0</v>
      </c>
      <c r="N125" s="6">
        <v>0.75</v>
      </c>
      <c r="O125">
        <v>3</v>
      </c>
      <c r="P125" t="s">
        <v>381</v>
      </c>
      <c r="Q125" t="s">
        <v>381</v>
      </c>
      <c r="R125">
        <v>8</v>
      </c>
      <c r="S125" s="9" t="s">
        <v>184</v>
      </c>
      <c r="T125" s="6">
        <v>-38</v>
      </c>
      <c r="U125" t="s">
        <v>206</v>
      </c>
      <c r="V125" s="6">
        <v>51.2</v>
      </c>
    </row>
    <row r="126" spans="1:22" x14ac:dyDescent="0.25">
      <c r="A126" t="s">
        <v>123</v>
      </c>
      <c r="B126" t="s">
        <v>268</v>
      </c>
      <c r="C126" t="s">
        <v>377</v>
      </c>
      <c r="D126" t="s">
        <v>182</v>
      </c>
      <c r="E126">
        <v>4</v>
      </c>
      <c r="F126">
        <v>4</v>
      </c>
      <c r="G126">
        <v>12</v>
      </c>
      <c r="H126" s="8">
        <v>145.12</v>
      </c>
      <c r="I126" s="8">
        <v>113</v>
      </c>
      <c r="J126" s="8">
        <v>197.71</v>
      </c>
      <c r="K126" s="6">
        <v>58.4</v>
      </c>
      <c r="L126" s="6">
        <v>0.25</v>
      </c>
      <c r="M126" s="6">
        <v>0.25</v>
      </c>
      <c r="O126">
        <v>12</v>
      </c>
      <c r="P126" t="s">
        <v>269</v>
      </c>
      <c r="Q126" t="s">
        <v>338</v>
      </c>
      <c r="R126">
        <v>7.5</v>
      </c>
      <c r="S126" s="9" t="s">
        <v>193</v>
      </c>
      <c r="U126" t="s">
        <v>206</v>
      </c>
      <c r="V126" s="6">
        <v>114.5</v>
      </c>
    </row>
    <row r="127" spans="1:22" x14ac:dyDescent="0.25">
      <c r="A127" t="s">
        <v>134</v>
      </c>
      <c r="B127" t="s">
        <v>268</v>
      </c>
      <c r="C127" t="s">
        <v>377</v>
      </c>
      <c r="D127" t="s">
        <v>182</v>
      </c>
      <c r="E127">
        <v>2</v>
      </c>
      <c r="F127">
        <v>2</v>
      </c>
      <c r="G127">
        <v>8</v>
      </c>
      <c r="H127" s="8">
        <v>95.57</v>
      </c>
      <c r="I127" s="8">
        <v>95.57</v>
      </c>
      <c r="J127" s="8">
        <v>95.57</v>
      </c>
      <c r="K127" s="6">
        <v>0</v>
      </c>
      <c r="L127" s="6">
        <v>0</v>
      </c>
      <c r="M127" s="6">
        <v>0</v>
      </c>
      <c r="N127" s="6">
        <v>0.75</v>
      </c>
      <c r="O127">
        <v>6</v>
      </c>
      <c r="P127" t="s">
        <v>339</v>
      </c>
      <c r="Q127" t="s">
        <v>270</v>
      </c>
      <c r="R127">
        <v>7</v>
      </c>
      <c r="S127" s="9" t="s">
        <v>213</v>
      </c>
      <c r="T127" s="6">
        <v>-34.1</v>
      </c>
      <c r="U127" t="s">
        <v>206</v>
      </c>
      <c r="V127" s="6">
        <v>49.6</v>
      </c>
    </row>
    <row r="128" spans="1:22" x14ac:dyDescent="0.25">
      <c r="A128" t="s">
        <v>123</v>
      </c>
      <c r="B128" t="s">
        <v>271</v>
      </c>
      <c r="C128" t="s">
        <v>377</v>
      </c>
      <c r="D128" t="s">
        <v>182</v>
      </c>
      <c r="E128">
        <v>3</v>
      </c>
      <c r="F128">
        <v>3</v>
      </c>
      <c r="G128">
        <v>9</v>
      </c>
      <c r="H128" s="8">
        <v>97.29</v>
      </c>
      <c r="I128" s="8">
        <v>90.5</v>
      </c>
      <c r="J128" s="8">
        <v>112</v>
      </c>
      <c r="K128" s="6">
        <v>22.1</v>
      </c>
      <c r="L128" s="6">
        <v>0</v>
      </c>
      <c r="M128" s="6">
        <v>0</v>
      </c>
      <c r="O128">
        <v>9</v>
      </c>
      <c r="P128" t="s">
        <v>272</v>
      </c>
      <c r="Q128" t="s">
        <v>273</v>
      </c>
      <c r="R128">
        <v>8</v>
      </c>
      <c r="S128" s="9" t="s">
        <v>238</v>
      </c>
      <c r="U128" t="s">
        <v>206</v>
      </c>
      <c r="V128" s="6">
        <v>76.8</v>
      </c>
    </row>
    <row r="129" spans="1:22" x14ac:dyDescent="0.25">
      <c r="A129" t="s">
        <v>134</v>
      </c>
      <c r="B129" t="s">
        <v>271</v>
      </c>
      <c r="C129" t="s">
        <v>377</v>
      </c>
      <c r="D129" t="s">
        <v>182</v>
      </c>
      <c r="E129">
        <v>6</v>
      </c>
      <c r="F129">
        <v>6</v>
      </c>
      <c r="G129">
        <v>24</v>
      </c>
      <c r="H129" s="8">
        <v>112.38</v>
      </c>
      <c r="I129" s="8">
        <v>97</v>
      </c>
      <c r="J129" s="8">
        <v>134.13999999999999</v>
      </c>
      <c r="K129" s="6">
        <v>33.1</v>
      </c>
      <c r="L129" s="6">
        <v>0</v>
      </c>
      <c r="M129" s="6">
        <v>0</v>
      </c>
      <c r="N129" s="6">
        <v>0.75</v>
      </c>
      <c r="O129">
        <v>18</v>
      </c>
      <c r="P129" t="s">
        <v>274</v>
      </c>
      <c r="Q129" t="s">
        <v>273</v>
      </c>
      <c r="R129">
        <v>7</v>
      </c>
      <c r="S129" s="10" t="s">
        <v>249</v>
      </c>
      <c r="T129" s="6">
        <v>15.5</v>
      </c>
      <c r="U129" t="s">
        <v>206</v>
      </c>
      <c r="V129" s="6">
        <v>58.3</v>
      </c>
    </row>
    <row r="130" spans="1:22" x14ac:dyDescent="0.25">
      <c r="A130" t="s">
        <v>123</v>
      </c>
      <c r="B130" t="s">
        <v>276</v>
      </c>
      <c r="C130" t="s">
        <v>377</v>
      </c>
      <c r="D130" t="s">
        <v>182</v>
      </c>
      <c r="E130">
        <v>4</v>
      </c>
      <c r="F130">
        <v>4</v>
      </c>
      <c r="G130">
        <v>12</v>
      </c>
      <c r="H130" s="8">
        <v>99.13</v>
      </c>
      <c r="I130" s="8">
        <v>90.12</v>
      </c>
      <c r="J130" s="8">
        <v>126.88</v>
      </c>
      <c r="K130" s="6">
        <v>37.1</v>
      </c>
      <c r="L130" s="6">
        <v>0</v>
      </c>
      <c r="M130" s="6">
        <v>0</v>
      </c>
      <c r="O130">
        <v>12</v>
      </c>
      <c r="P130" t="s">
        <v>277</v>
      </c>
      <c r="Q130" t="s">
        <v>278</v>
      </c>
      <c r="R130">
        <v>7.5</v>
      </c>
      <c r="S130" s="9" t="s">
        <v>193</v>
      </c>
      <c r="U130" t="s">
        <v>206</v>
      </c>
      <c r="V130" s="6">
        <v>78.2</v>
      </c>
    </row>
    <row r="131" spans="1:22" x14ac:dyDescent="0.25">
      <c r="A131" t="s">
        <v>134</v>
      </c>
      <c r="B131" t="s">
        <v>276</v>
      </c>
      <c r="C131" t="s">
        <v>377</v>
      </c>
      <c r="D131" t="s">
        <v>182</v>
      </c>
      <c r="E131">
        <v>4</v>
      </c>
      <c r="F131">
        <v>4</v>
      </c>
      <c r="G131">
        <v>16</v>
      </c>
      <c r="H131" s="8">
        <v>117.71</v>
      </c>
      <c r="I131" s="8">
        <v>108.43</v>
      </c>
      <c r="J131" s="8">
        <v>148.43</v>
      </c>
      <c r="K131" s="6">
        <v>34</v>
      </c>
      <c r="L131" s="6">
        <v>0</v>
      </c>
      <c r="M131" s="6">
        <v>0</v>
      </c>
      <c r="N131" s="6">
        <v>0.75</v>
      </c>
      <c r="O131">
        <v>12</v>
      </c>
      <c r="P131" t="s">
        <v>279</v>
      </c>
      <c r="Q131" t="s">
        <v>278</v>
      </c>
      <c r="R131">
        <v>7</v>
      </c>
      <c r="S131" s="9" t="s">
        <v>193</v>
      </c>
      <c r="T131" s="6">
        <v>18.7</v>
      </c>
      <c r="U131" t="s">
        <v>206</v>
      </c>
      <c r="V131" s="6">
        <v>61.1</v>
      </c>
    </row>
    <row r="132" spans="1:22" x14ac:dyDescent="0.25">
      <c r="A132" t="s">
        <v>123</v>
      </c>
      <c r="B132" t="s">
        <v>280</v>
      </c>
      <c r="C132" t="s">
        <v>377</v>
      </c>
      <c r="D132" t="s">
        <v>182</v>
      </c>
      <c r="E132">
        <v>4</v>
      </c>
      <c r="F132">
        <v>4</v>
      </c>
      <c r="G132">
        <v>12</v>
      </c>
      <c r="H132" s="8">
        <v>105.84</v>
      </c>
      <c r="I132" s="8">
        <v>104.94</v>
      </c>
      <c r="J132" s="8">
        <v>121.38</v>
      </c>
      <c r="K132" s="6">
        <v>15.5</v>
      </c>
      <c r="L132" s="6">
        <v>8.3299999999999999E-2</v>
      </c>
      <c r="M132" s="6">
        <v>8.3299999999999999E-2</v>
      </c>
      <c r="O132">
        <v>12</v>
      </c>
      <c r="P132" t="s">
        <v>281</v>
      </c>
      <c r="Q132" t="s">
        <v>344</v>
      </c>
      <c r="R132">
        <v>8</v>
      </c>
      <c r="S132" s="9" t="s">
        <v>193</v>
      </c>
      <c r="U132" t="s">
        <v>206</v>
      </c>
      <c r="V132" s="6">
        <v>83.5</v>
      </c>
    </row>
    <row r="133" spans="1:22" x14ac:dyDescent="0.25">
      <c r="A133" t="s">
        <v>134</v>
      </c>
      <c r="B133" t="s">
        <v>280</v>
      </c>
      <c r="C133" t="s">
        <v>377</v>
      </c>
      <c r="D133" t="s">
        <v>182</v>
      </c>
      <c r="E133">
        <v>6</v>
      </c>
      <c r="F133">
        <v>6</v>
      </c>
      <c r="G133">
        <v>24</v>
      </c>
      <c r="H133" s="8">
        <v>123.35</v>
      </c>
      <c r="I133" s="8">
        <v>114.14</v>
      </c>
      <c r="J133" s="8">
        <v>127</v>
      </c>
      <c r="K133" s="6">
        <v>10.4</v>
      </c>
      <c r="L133" s="6">
        <v>0</v>
      </c>
      <c r="M133" s="6">
        <v>0</v>
      </c>
      <c r="N133" s="6">
        <v>0.75</v>
      </c>
      <c r="O133">
        <v>18</v>
      </c>
      <c r="P133" t="s">
        <v>283</v>
      </c>
      <c r="Q133" t="s">
        <v>282</v>
      </c>
      <c r="R133">
        <v>7</v>
      </c>
      <c r="S133" s="10" t="s">
        <v>249</v>
      </c>
      <c r="T133" s="6">
        <v>16.5</v>
      </c>
      <c r="U133" t="s">
        <v>206</v>
      </c>
      <c r="V133" s="6">
        <v>64</v>
      </c>
    </row>
    <row r="134" spans="1:22" x14ac:dyDescent="0.25">
      <c r="A134" t="s">
        <v>123</v>
      </c>
      <c r="B134" t="s">
        <v>224</v>
      </c>
      <c r="C134" t="s">
        <v>377</v>
      </c>
      <c r="D134" t="s">
        <v>182</v>
      </c>
      <c r="E134">
        <v>7</v>
      </c>
      <c r="F134">
        <v>7</v>
      </c>
      <c r="G134">
        <v>21</v>
      </c>
      <c r="H134" s="8">
        <v>120.29</v>
      </c>
      <c r="I134" s="8">
        <v>112.29</v>
      </c>
      <c r="J134" s="8">
        <v>143.25</v>
      </c>
      <c r="K134" s="6">
        <v>25.7</v>
      </c>
      <c r="L134" s="6">
        <v>0</v>
      </c>
      <c r="M134" s="6">
        <v>0</v>
      </c>
      <c r="O134">
        <v>21</v>
      </c>
      <c r="P134" t="s">
        <v>284</v>
      </c>
      <c r="Q134" t="s">
        <v>225</v>
      </c>
      <c r="R134">
        <v>8</v>
      </c>
      <c r="S134" s="10" t="s">
        <v>293</v>
      </c>
      <c r="U134" t="s">
        <v>206</v>
      </c>
      <c r="V134" s="6">
        <v>94.9</v>
      </c>
    </row>
    <row r="135" spans="1:22" x14ac:dyDescent="0.25">
      <c r="A135" t="s">
        <v>134</v>
      </c>
      <c r="B135" t="s">
        <v>224</v>
      </c>
      <c r="C135" t="s">
        <v>377</v>
      </c>
      <c r="D135" t="s">
        <v>182</v>
      </c>
      <c r="E135">
        <v>10</v>
      </c>
      <c r="F135">
        <v>10</v>
      </c>
      <c r="G135">
        <v>40</v>
      </c>
      <c r="H135" s="8">
        <v>125.57</v>
      </c>
      <c r="I135" s="8">
        <v>121.29</v>
      </c>
      <c r="J135" s="8">
        <v>138.43</v>
      </c>
      <c r="K135" s="6">
        <v>13.7</v>
      </c>
      <c r="L135" s="6">
        <v>0</v>
      </c>
      <c r="M135" s="6">
        <v>0</v>
      </c>
      <c r="N135" s="6">
        <v>0.75</v>
      </c>
      <c r="O135">
        <v>30</v>
      </c>
      <c r="P135" t="s">
        <v>286</v>
      </c>
      <c r="Q135" t="s">
        <v>287</v>
      </c>
      <c r="R135">
        <v>7</v>
      </c>
      <c r="S135" s="10" t="s">
        <v>248</v>
      </c>
      <c r="T135" s="6">
        <v>4.4000000000000004</v>
      </c>
      <c r="U135" t="s">
        <v>206</v>
      </c>
      <c r="V135" s="6">
        <v>65.2</v>
      </c>
    </row>
    <row r="136" spans="1:22" x14ac:dyDescent="0.25">
      <c r="A136" t="s">
        <v>123</v>
      </c>
      <c r="B136" t="s">
        <v>181</v>
      </c>
      <c r="C136" t="s">
        <v>377</v>
      </c>
      <c r="D136" t="s">
        <v>182</v>
      </c>
      <c r="E136">
        <v>13</v>
      </c>
      <c r="F136">
        <v>13</v>
      </c>
      <c r="G136">
        <v>39</v>
      </c>
      <c r="H136" s="8">
        <v>105.43</v>
      </c>
      <c r="I136" s="8">
        <v>102.71</v>
      </c>
      <c r="J136" s="8">
        <v>116.71</v>
      </c>
      <c r="K136" s="6">
        <v>13.3</v>
      </c>
      <c r="L136" s="6">
        <v>0</v>
      </c>
      <c r="M136" s="6">
        <v>0</v>
      </c>
      <c r="O136">
        <v>39</v>
      </c>
      <c r="P136" t="s">
        <v>289</v>
      </c>
      <c r="Q136" t="s">
        <v>186</v>
      </c>
      <c r="R136">
        <v>7</v>
      </c>
      <c r="S136" s="10" t="s">
        <v>202</v>
      </c>
      <c r="U136" t="s">
        <v>206</v>
      </c>
      <c r="V136" s="6">
        <v>83.2</v>
      </c>
    </row>
    <row r="137" spans="1:22" x14ac:dyDescent="0.25">
      <c r="A137" t="s">
        <v>134</v>
      </c>
      <c r="B137" t="s">
        <v>181</v>
      </c>
      <c r="C137" t="s">
        <v>377</v>
      </c>
      <c r="D137" t="s">
        <v>182</v>
      </c>
      <c r="E137">
        <v>3</v>
      </c>
      <c r="F137">
        <v>3</v>
      </c>
      <c r="G137">
        <v>12</v>
      </c>
      <c r="H137" s="8">
        <v>141.29</v>
      </c>
      <c r="I137" s="8">
        <v>135.57</v>
      </c>
      <c r="J137" s="8">
        <v>141.29</v>
      </c>
      <c r="K137" s="6">
        <v>4</v>
      </c>
      <c r="L137" s="6">
        <v>0</v>
      </c>
      <c r="M137" s="6">
        <v>0</v>
      </c>
      <c r="N137" s="6">
        <v>0.75</v>
      </c>
      <c r="O137">
        <v>9</v>
      </c>
      <c r="P137" t="s">
        <v>226</v>
      </c>
      <c r="Q137" t="s">
        <v>382</v>
      </c>
      <c r="R137">
        <v>7</v>
      </c>
      <c r="S137" s="9" t="s">
        <v>238</v>
      </c>
      <c r="T137" s="6">
        <v>34</v>
      </c>
      <c r="U137" t="s">
        <v>206</v>
      </c>
      <c r="V137" s="6">
        <v>73.3</v>
      </c>
    </row>
    <row r="138" spans="1:22" x14ac:dyDescent="0.25">
      <c r="A138" t="s">
        <v>123</v>
      </c>
      <c r="B138" t="s">
        <v>187</v>
      </c>
      <c r="C138" t="s">
        <v>377</v>
      </c>
      <c r="D138" t="s">
        <v>182</v>
      </c>
      <c r="E138">
        <v>8</v>
      </c>
      <c r="F138">
        <v>8</v>
      </c>
      <c r="G138">
        <v>24</v>
      </c>
      <c r="H138" s="8">
        <v>119.38</v>
      </c>
      <c r="I138" s="8">
        <v>115.43</v>
      </c>
      <c r="J138" s="8">
        <v>135.88</v>
      </c>
      <c r="K138" s="6">
        <v>17.100000000000001</v>
      </c>
      <c r="L138" s="6">
        <v>0</v>
      </c>
      <c r="M138" s="6">
        <v>0</v>
      </c>
      <c r="O138">
        <v>24</v>
      </c>
      <c r="P138" t="s">
        <v>191</v>
      </c>
      <c r="Q138" t="s">
        <v>350</v>
      </c>
      <c r="R138">
        <v>7</v>
      </c>
      <c r="S138" s="10" t="s">
        <v>232</v>
      </c>
      <c r="U138" t="s">
        <v>206</v>
      </c>
      <c r="V138" s="6">
        <v>94.2</v>
      </c>
    </row>
    <row r="139" spans="1:22" x14ac:dyDescent="0.25">
      <c r="A139" t="s">
        <v>123</v>
      </c>
      <c r="B139" t="s">
        <v>194</v>
      </c>
      <c r="C139" t="s">
        <v>377</v>
      </c>
      <c r="D139" t="s">
        <v>182</v>
      </c>
      <c r="E139">
        <v>7</v>
      </c>
      <c r="F139">
        <v>7</v>
      </c>
      <c r="G139">
        <v>21</v>
      </c>
      <c r="H139" s="8">
        <v>155.5</v>
      </c>
      <c r="I139" s="8">
        <v>147.62</v>
      </c>
      <c r="J139" s="8">
        <v>174</v>
      </c>
      <c r="K139" s="6">
        <v>17</v>
      </c>
      <c r="L139" s="6">
        <v>0</v>
      </c>
      <c r="M139" s="6">
        <v>0</v>
      </c>
      <c r="O139">
        <v>21</v>
      </c>
      <c r="P139" t="s">
        <v>294</v>
      </c>
      <c r="Q139" t="s">
        <v>295</v>
      </c>
      <c r="R139">
        <v>7</v>
      </c>
      <c r="S139" s="10" t="s">
        <v>293</v>
      </c>
      <c r="U139" t="s">
        <v>206</v>
      </c>
      <c r="V139" s="6">
        <v>122.7</v>
      </c>
    </row>
    <row r="140" spans="1:22" x14ac:dyDescent="0.25">
      <c r="A140" t="s">
        <v>123</v>
      </c>
      <c r="B140" t="s">
        <v>185</v>
      </c>
      <c r="C140" t="s">
        <v>377</v>
      </c>
      <c r="D140" t="s">
        <v>182</v>
      </c>
      <c r="E140">
        <v>26</v>
      </c>
      <c r="F140">
        <v>26</v>
      </c>
      <c r="G140">
        <v>78</v>
      </c>
      <c r="H140" s="8">
        <v>141.05000000000001</v>
      </c>
      <c r="I140" s="8">
        <v>112</v>
      </c>
      <c r="J140" s="8">
        <v>155.38</v>
      </c>
      <c r="K140" s="6">
        <v>30.8</v>
      </c>
      <c r="L140" s="6">
        <v>0</v>
      </c>
      <c r="M140" s="6">
        <v>0</v>
      </c>
      <c r="O140">
        <v>78</v>
      </c>
      <c r="P140" t="s">
        <v>233</v>
      </c>
      <c r="Q140" t="s">
        <v>351</v>
      </c>
      <c r="R140">
        <v>7</v>
      </c>
      <c r="S140" s="10" t="s">
        <v>362</v>
      </c>
      <c r="U140" t="s">
        <v>206</v>
      </c>
      <c r="V140" s="6">
        <v>111.3</v>
      </c>
    </row>
    <row r="141" spans="1:22" x14ac:dyDescent="0.25">
      <c r="A141" t="s">
        <v>123</v>
      </c>
      <c r="B141" t="s">
        <v>203</v>
      </c>
      <c r="C141" t="s">
        <v>377</v>
      </c>
      <c r="D141" t="s">
        <v>182</v>
      </c>
      <c r="E141">
        <v>19</v>
      </c>
      <c r="F141">
        <v>19</v>
      </c>
      <c r="G141">
        <v>57</v>
      </c>
      <c r="H141" s="8">
        <v>111</v>
      </c>
      <c r="I141" s="8">
        <v>102.38</v>
      </c>
      <c r="J141" s="8">
        <v>112.57</v>
      </c>
      <c r="K141" s="6">
        <v>9.1999999999999993</v>
      </c>
      <c r="L141" s="6">
        <v>0</v>
      </c>
      <c r="M141" s="6">
        <v>0</v>
      </c>
      <c r="O141">
        <v>57</v>
      </c>
      <c r="P141" t="s">
        <v>204</v>
      </c>
      <c r="Q141" t="s">
        <v>300</v>
      </c>
      <c r="R141">
        <v>7</v>
      </c>
      <c r="S141" s="10" t="s">
        <v>376</v>
      </c>
      <c r="U141" t="s">
        <v>206</v>
      </c>
      <c r="V141" s="6">
        <v>87.6</v>
      </c>
    </row>
    <row r="142" spans="1:22" x14ac:dyDescent="0.25">
      <c r="A142" t="s">
        <v>134</v>
      </c>
      <c r="B142" t="s">
        <v>203</v>
      </c>
      <c r="C142" t="s">
        <v>377</v>
      </c>
      <c r="D142" t="s">
        <v>182</v>
      </c>
      <c r="E142">
        <v>8</v>
      </c>
      <c r="F142">
        <v>8</v>
      </c>
      <c r="G142">
        <v>32</v>
      </c>
      <c r="H142" s="8">
        <v>145.57</v>
      </c>
      <c r="I142" s="8">
        <v>139.86000000000001</v>
      </c>
      <c r="J142" s="8">
        <v>163.62</v>
      </c>
      <c r="K142" s="6">
        <v>16.3</v>
      </c>
      <c r="L142" s="6">
        <v>0</v>
      </c>
      <c r="M142" s="6">
        <v>0</v>
      </c>
      <c r="N142" s="6">
        <v>0.75</v>
      </c>
      <c r="O142">
        <v>24</v>
      </c>
      <c r="P142" t="s">
        <v>383</v>
      </c>
      <c r="Q142" t="s">
        <v>300</v>
      </c>
      <c r="R142">
        <v>7</v>
      </c>
      <c r="S142" s="10" t="s">
        <v>232</v>
      </c>
      <c r="T142" s="6">
        <v>31.1</v>
      </c>
      <c r="U142" t="s">
        <v>206</v>
      </c>
      <c r="V142" s="6">
        <v>75.5</v>
      </c>
    </row>
    <row r="143" spans="1:22" x14ac:dyDescent="0.25">
      <c r="A143" t="s">
        <v>123</v>
      </c>
      <c r="B143" t="s">
        <v>303</v>
      </c>
      <c r="C143" t="s">
        <v>377</v>
      </c>
      <c r="D143" t="s">
        <v>182</v>
      </c>
      <c r="E143">
        <v>18</v>
      </c>
      <c r="F143">
        <v>18</v>
      </c>
      <c r="G143">
        <v>54</v>
      </c>
      <c r="H143" s="8">
        <v>119</v>
      </c>
      <c r="I143" s="8">
        <v>108.43</v>
      </c>
      <c r="J143" s="8">
        <v>124.29</v>
      </c>
      <c r="K143" s="6">
        <v>13.3</v>
      </c>
      <c r="L143" s="6">
        <v>0</v>
      </c>
      <c r="M143" s="6">
        <v>0</v>
      </c>
      <c r="O143">
        <v>54</v>
      </c>
      <c r="P143" t="s">
        <v>384</v>
      </c>
      <c r="Q143" t="s">
        <v>356</v>
      </c>
      <c r="R143">
        <v>7</v>
      </c>
      <c r="S143" s="10" t="s">
        <v>254</v>
      </c>
      <c r="U143" t="s">
        <v>206</v>
      </c>
      <c r="V143" s="6">
        <v>93.9</v>
      </c>
    </row>
    <row r="144" spans="1:22" x14ac:dyDescent="0.25">
      <c r="A144" t="s">
        <v>134</v>
      </c>
      <c r="B144" t="s">
        <v>303</v>
      </c>
      <c r="C144" t="s">
        <v>377</v>
      </c>
      <c r="D144" t="s">
        <v>182</v>
      </c>
      <c r="E144">
        <v>29</v>
      </c>
      <c r="F144">
        <v>29</v>
      </c>
      <c r="G144">
        <v>116</v>
      </c>
      <c r="H144" s="8">
        <v>141.29</v>
      </c>
      <c r="I144" s="8">
        <v>134.13999999999999</v>
      </c>
      <c r="J144" s="8">
        <v>154.13999999999999</v>
      </c>
      <c r="K144" s="6">
        <v>14.2</v>
      </c>
      <c r="L144" s="6">
        <v>0</v>
      </c>
      <c r="M144" s="6">
        <v>0</v>
      </c>
      <c r="N144" s="6">
        <v>0.75</v>
      </c>
      <c r="O144">
        <v>87</v>
      </c>
      <c r="P144" t="s">
        <v>363</v>
      </c>
      <c r="Q144" t="s">
        <v>305</v>
      </c>
      <c r="R144">
        <v>7</v>
      </c>
      <c r="S144" s="10" t="s">
        <v>373</v>
      </c>
      <c r="T144" s="6">
        <v>18.7</v>
      </c>
      <c r="U144" t="s">
        <v>206</v>
      </c>
      <c r="V144" s="6">
        <v>73.3</v>
      </c>
    </row>
    <row r="145" spans="1:22" x14ac:dyDescent="0.25">
      <c r="A145" t="s">
        <v>123</v>
      </c>
      <c r="B145" t="s">
        <v>206</v>
      </c>
      <c r="C145" t="s">
        <v>377</v>
      </c>
      <c r="D145" t="s">
        <v>182</v>
      </c>
      <c r="E145">
        <v>5</v>
      </c>
      <c r="F145">
        <v>5</v>
      </c>
      <c r="G145">
        <v>15</v>
      </c>
      <c r="H145" s="8">
        <v>126.71</v>
      </c>
      <c r="I145" s="8">
        <v>124.14</v>
      </c>
      <c r="J145" s="8">
        <v>130.13999999999999</v>
      </c>
      <c r="K145" s="6">
        <v>4.7</v>
      </c>
      <c r="L145" s="6">
        <v>0</v>
      </c>
      <c r="M145" s="6">
        <v>0</v>
      </c>
      <c r="O145">
        <v>15</v>
      </c>
      <c r="P145" t="s">
        <v>309</v>
      </c>
      <c r="Q145" t="s">
        <v>385</v>
      </c>
      <c r="R145">
        <v>7</v>
      </c>
      <c r="S145" s="10" t="s">
        <v>246</v>
      </c>
      <c r="U145" t="s">
        <v>206</v>
      </c>
      <c r="V145" s="6">
        <v>100</v>
      </c>
    </row>
    <row r="146" spans="1:22" x14ac:dyDescent="0.25">
      <c r="A146" t="s">
        <v>134</v>
      </c>
      <c r="B146" t="s">
        <v>206</v>
      </c>
      <c r="C146" t="s">
        <v>377</v>
      </c>
      <c r="D146" t="s">
        <v>182</v>
      </c>
      <c r="E146">
        <v>31</v>
      </c>
      <c r="F146">
        <v>31</v>
      </c>
      <c r="G146">
        <v>123</v>
      </c>
      <c r="H146" s="8">
        <v>192.71</v>
      </c>
      <c r="I146" s="8">
        <v>164.14</v>
      </c>
      <c r="J146" s="8">
        <v>218.43</v>
      </c>
      <c r="K146" s="6">
        <v>28.2</v>
      </c>
      <c r="L146" s="6">
        <v>0</v>
      </c>
      <c r="M146" s="6">
        <v>0</v>
      </c>
      <c r="N146" s="6">
        <v>0.75609999999999999</v>
      </c>
      <c r="O146">
        <v>93</v>
      </c>
      <c r="P146" t="s">
        <v>309</v>
      </c>
      <c r="Q146" t="s">
        <v>208</v>
      </c>
      <c r="R146">
        <v>7</v>
      </c>
      <c r="S146" s="9" t="s">
        <v>386</v>
      </c>
      <c r="T146" s="6">
        <v>52.1</v>
      </c>
      <c r="U146" t="s">
        <v>206</v>
      </c>
      <c r="V146" s="6">
        <v>100</v>
      </c>
    </row>
    <row r="147" spans="1:22" x14ac:dyDescent="0.25">
      <c r="A147" t="s">
        <v>134</v>
      </c>
      <c r="B147" t="s">
        <v>210</v>
      </c>
      <c r="C147" t="s">
        <v>377</v>
      </c>
      <c r="D147" t="s">
        <v>182</v>
      </c>
      <c r="E147">
        <v>1</v>
      </c>
      <c r="F147">
        <v>1</v>
      </c>
      <c r="G147">
        <v>4</v>
      </c>
      <c r="H147" s="8">
        <v>159.86000000000001</v>
      </c>
      <c r="I147" s="8">
        <v>159.86000000000001</v>
      </c>
      <c r="J147" s="8">
        <v>159.86000000000001</v>
      </c>
      <c r="K147" s="6">
        <v>0</v>
      </c>
      <c r="L147" s="6">
        <v>0</v>
      </c>
      <c r="M147" s="6">
        <v>0</v>
      </c>
      <c r="N147" s="6">
        <v>0.75</v>
      </c>
      <c r="O147">
        <v>3</v>
      </c>
      <c r="P147" t="s">
        <v>211</v>
      </c>
      <c r="Q147" t="s">
        <v>211</v>
      </c>
      <c r="R147">
        <v>7</v>
      </c>
      <c r="S147" s="9" t="s">
        <v>184</v>
      </c>
      <c r="U147" t="s">
        <v>206</v>
      </c>
      <c r="V147" s="6">
        <v>83</v>
      </c>
    </row>
  </sheetData>
  <autoFilter ref="A24:V147"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X21"/>
  <sheetViews>
    <sheetView workbookViewId="0">
      <pane ySplit="18" topLeftCell="A19" activePane="bottomLeft" state="frozen"/>
      <selection pane="bottomLeft"/>
    </sheetView>
  </sheetViews>
  <sheetFormatPr defaultRowHeight="15" x14ac:dyDescent="0.25"/>
  <cols>
    <col min="1" max="1" width="18" customWidth="1"/>
    <col min="2" max="2" width="16" customWidth="1"/>
    <col min="3" max="3" width="10" customWidth="1"/>
    <col min="4" max="4" width="16" customWidth="1"/>
    <col min="5" max="5" width="19" customWidth="1"/>
    <col min="6" max="6" width="17" customWidth="1"/>
    <col min="7" max="8" width="16" customWidth="1"/>
    <col min="9" max="9" width="11" customWidth="1"/>
    <col min="10" max="10" width="20" customWidth="1"/>
    <col min="11" max="11" width="18" customWidth="1"/>
    <col min="12" max="12" width="9" customWidth="1"/>
    <col min="13" max="13" width="13" customWidth="1"/>
    <col min="14" max="14" width="18" customWidth="1"/>
    <col min="15" max="18" width="12" customWidth="1"/>
    <col min="19" max="19" width="10" customWidth="1"/>
    <col min="20" max="21" width="16" customWidth="1"/>
    <col min="22" max="23" width="11" customWidth="1"/>
    <col min="24" max="24" width="18" customWidth="1"/>
  </cols>
  <sheetData>
    <row r="1" spans="1:1" ht="17.25" x14ac:dyDescent="0.3">
      <c r="A1" s="1" t="s">
        <v>40</v>
      </c>
    </row>
    <row r="2" spans="1:1" x14ac:dyDescent="0.25">
      <c r="A2" s="2" t="s">
        <v>44</v>
      </c>
    </row>
    <row r="3" spans="1:1" x14ac:dyDescent="0.25">
      <c r="A3" s="2" t="s">
        <v>387</v>
      </c>
    </row>
    <row r="4" spans="1:1" x14ac:dyDescent="0.25">
      <c r="A4" s="2" t="s">
        <v>388</v>
      </c>
    </row>
    <row r="6" spans="1:1" x14ac:dyDescent="0.25">
      <c r="A6" s="7" t="s">
        <v>100</v>
      </c>
    </row>
    <row r="7" spans="1:1" x14ac:dyDescent="0.25">
      <c r="A7" s="7" t="s">
        <v>101</v>
      </c>
    </row>
    <row r="8" spans="1:1" x14ac:dyDescent="0.25">
      <c r="A8" s="7" t="s">
        <v>389</v>
      </c>
    </row>
    <row r="9" spans="1:1" x14ac:dyDescent="0.25">
      <c r="A9" s="2" t="s">
        <v>390</v>
      </c>
    </row>
    <row r="10" spans="1:1" x14ac:dyDescent="0.25">
      <c r="A10" s="2" t="s">
        <v>391</v>
      </c>
    </row>
    <row r="11" spans="1:1" x14ac:dyDescent="0.25">
      <c r="A11" s="2" t="s">
        <v>392</v>
      </c>
    </row>
    <row r="12" spans="1:1" x14ac:dyDescent="0.25">
      <c r="A12" s="2" t="s">
        <v>393</v>
      </c>
    </row>
    <row r="13" spans="1:1" x14ac:dyDescent="0.25">
      <c r="A13" s="2" t="s">
        <v>394</v>
      </c>
    </row>
    <row r="14" spans="1:1" x14ac:dyDescent="0.25">
      <c r="A14" s="2" t="s">
        <v>395</v>
      </c>
    </row>
    <row r="15" spans="1:1" x14ac:dyDescent="0.25">
      <c r="A15" s="2" t="s">
        <v>396</v>
      </c>
    </row>
    <row r="16" spans="1:1" x14ac:dyDescent="0.25">
      <c r="A16" s="2" t="s">
        <v>397</v>
      </c>
    </row>
    <row r="18" spans="1:24" x14ac:dyDescent="0.25">
      <c r="A18" s="5" t="s">
        <v>398</v>
      </c>
      <c r="B18" s="5" t="s">
        <v>399</v>
      </c>
      <c r="C18" s="5" t="s">
        <v>71</v>
      </c>
      <c r="D18" s="5" t="s">
        <v>400</v>
      </c>
      <c r="E18" s="5" t="s">
        <v>401</v>
      </c>
      <c r="F18" s="5" t="s">
        <v>402</v>
      </c>
      <c r="G18" s="5" t="s">
        <v>403</v>
      </c>
      <c r="H18" s="5" t="s">
        <v>404</v>
      </c>
      <c r="I18" s="5" t="s">
        <v>405</v>
      </c>
      <c r="J18" s="5" t="s">
        <v>406</v>
      </c>
      <c r="K18" s="5" t="s">
        <v>407</v>
      </c>
      <c r="L18" s="5" t="s">
        <v>408</v>
      </c>
      <c r="M18" s="5" t="s">
        <v>409</v>
      </c>
      <c r="N18" s="5" t="s">
        <v>410</v>
      </c>
      <c r="O18" s="5" t="s">
        <v>175</v>
      </c>
      <c r="P18" s="5" t="s">
        <v>176</v>
      </c>
      <c r="Q18" s="5" t="s">
        <v>411</v>
      </c>
      <c r="R18" s="5" t="s">
        <v>412</v>
      </c>
      <c r="S18" s="5" t="s">
        <v>413</v>
      </c>
      <c r="T18" s="5" t="s">
        <v>414</v>
      </c>
      <c r="U18" s="5" t="s">
        <v>415</v>
      </c>
      <c r="V18" s="5" t="s">
        <v>416</v>
      </c>
      <c r="W18" s="5" t="s">
        <v>417</v>
      </c>
      <c r="X18" s="5" t="s">
        <v>122</v>
      </c>
    </row>
    <row r="19" spans="1:24" x14ac:dyDescent="0.25">
      <c r="A19" t="s">
        <v>418</v>
      </c>
      <c r="B19" t="s">
        <v>419</v>
      </c>
      <c r="C19">
        <v>3147</v>
      </c>
      <c r="D19">
        <v>9376</v>
      </c>
      <c r="E19" s="6">
        <v>0</v>
      </c>
      <c r="F19" s="6">
        <v>-8.4000000000000005E-2</v>
      </c>
      <c r="G19" s="6">
        <v>0</v>
      </c>
      <c r="H19" s="6">
        <v>0</v>
      </c>
      <c r="I19" s="6">
        <v>0.115</v>
      </c>
      <c r="J19">
        <v>0</v>
      </c>
      <c r="K19">
        <v>349</v>
      </c>
      <c r="L19">
        <v>19</v>
      </c>
      <c r="M19">
        <v>347</v>
      </c>
      <c r="N19">
        <v>4</v>
      </c>
      <c r="O19" t="s">
        <v>420</v>
      </c>
      <c r="P19" t="s">
        <v>421</v>
      </c>
      <c r="X19" s="9" t="s">
        <v>422</v>
      </c>
    </row>
    <row r="20" spans="1:24" x14ac:dyDescent="0.25">
      <c r="A20" t="s">
        <v>418</v>
      </c>
      <c r="B20" t="s">
        <v>423</v>
      </c>
      <c r="C20">
        <v>26</v>
      </c>
      <c r="D20">
        <v>76</v>
      </c>
      <c r="E20" s="6">
        <v>0</v>
      </c>
      <c r="F20" s="6">
        <v>-1.095</v>
      </c>
      <c r="G20" s="6">
        <v>-2.1629999999999998</v>
      </c>
      <c r="H20" s="6">
        <v>0</v>
      </c>
      <c r="I20" s="6">
        <v>0.34599999999999997</v>
      </c>
      <c r="J20">
        <v>0</v>
      </c>
      <c r="K20">
        <v>123</v>
      </c>
      <c r="L20">
        <v>13</v>
      </c>
      <c r="M20">
        <v>22</v>
      </c>
      <c r="N20">
        <v>3</v>
      </c>
      <c r="O20" t="s">
        <v>420</v>
      </c>
      <c r="P20" t="s">
        <v>424</v>
      </c>
      <c r="Q20">
        <v>0</v>
      </c>
      <c r="R20">
        <v>0</v>
      </c>
      <c r="S20" t="s">
        <v>425</v>
      </c>
      <c r="T20" s="6">
        <v>0.115</v>
      </c>
      <c r="U20" s="6">
        <v>0.25800000000000001</v>
      </c>
      <c r="V20">
        <v>1.75E-3</v>
      </c>
      <c r="W20">
        <v>0.2072</v>
      </c>
      <c r="X20" s="10" t="s">
        <v>426</v>
      </c>
    </row>
    <row r="21" spans="1:24" x14ac:dyDescent="0.25">
      <c r="A21" t="s">
        <v>418</v>
      </c>
      <c r="B21" t="s">
        <v>427</v>
      </c>
      <c r="C21">
        <v>507</v>
      </c>
      <c r="D21">
        <v>1502</v>
      </c>
      <c r="E21" s="6">
        <v>0</v>
      </c>
      <c r="F21" s="6">
        <v>-6.9000000000000006E-2</v>
      </c>
      <c r="G21" s="6">
        <v>-0.35499999999999998</v>
      </c>
      <c r="H21" s="6">
        <v>0</v>
      </c>
      <c r="I21" s="6">
        <v>0.25800000000000001</v>
      </c>
      <c r="J21">
        <v>0</v>
      </c>
      <c r="K21">
        <v>124</v>
      </c>
      <c r="L21">
        <v>22</v>
      </c>
      <c r="M21">
        <v>73</v>
      </c>
      <c r="N21">
        <v>4</v>
      </c>
      <c r="O21" t="s">
        <v>428</v>
      </c>
      <c r="P21" t="s">
        <v>429</v>
      </c>
      <c r="X21" s="9" t="s">
        <v>430</v>
      </c>
    </row>
  </sheetData>
  <autoFilter ref="A18:X21"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N23"/>
  <sheetViews>
    <sheetView workbookViewId="0">
      <pane ySplit="13" topLeftCell="A14" activePane="bottomLeft" state="frozen"/>
      <selection pane="bottomLeft"/>
    </sheetView>
  </sheetViews>
  <sheetFormatPr defaultRowHeight="15" x14ac:dyDescent="0.25"/>
  <cols>
    <col min="1" max="1" width="17" customWidth="1"/>
    <col min="2" max="2" width="16" customWidth="1"/>
    <col min="3" max="3" width="18" customWidth="1"/>
    <col min="4" max="4" width="10" customWidth="1"/>
    <col min="5" max="5" width="9" customWidth="1"/>
    <col min="6" max="6" width="22" customWidth="1"/>
    <col min="7" max="7" width="15" customWidth="1"/>
    <col min="8" max="8" width="25" customWidth="1"/>
    <col min="9" max="9" width="24" customWidth="1"/>
    <col min="10" max="10" width="18" customWidth="1"/>
    <col min="11" max="11" width="17" customWidth="1"/>
    <col min="12" max="12" width="12" customWidth="1"/>
    <col min="13" max="13" width="46" customWidth="1"/>
    <col min="14" max="14" width="24" customWidth="1"/>
  </cols>
  <sheetData>
    <row r="1" spans="1:14" ht="17.25" x14ac:dyDescent="0.3">
      <c r="A1" s="1" t="s">
        <v>45</v>
      </c>
    </row>
    <row r="2" spans="1:14" x14ac:dyDescent="0.25">
      <c r="A2" s="2" t="s">
        <v>47</v>
      </c>
    </row>
    <row r="3" spans="1:14" x14ac:dyDescent="0.25">
      <c r="A3" s="2" t="s">
        <v>98</v>
      </c>
    </row>
    <row r="4" spans="1:14" x14ac:dyDescent="0.25">
      <c r="A4" s="2" t="s">
        <v>431</v>
      </c>
    </row>
    <row r="6" spans="1:14" x14ac:dyDescent="0.25">
      <c r="A6" s="7" t="s">
        <v>100</v>
      </c>
    </row>
    <row r="7" spans="1:14" x14ac:dyDescent="0.25">
      <c r="A7" s="7" t="s">
        <v>432</v>
      </c>
    </row>
    <row r="8" spans="1:14" x14ac:dyDescent="0.25">
      <c r="A8" s="2" t="s">
        <v>433</v>
      </c>
    </row>
    <row r="9" spans="1:14" x14ac:dyDescent="0.25">
      <c r="A9" s="2" t="s">
        <v>434</v>
      </c>
    </row>
    <row r="10" spans="1:14" x14ac:dyDescent="0.25">
      <c r="A10" s="2" t="s">
        <v>435</v>
      </c>
    </row>
    <row r="11" spans="1:14" x14ac:dyDescent="0.25">
      <c r="A11" s="2" t="s">
        <v>436</v>
      </c>
    </row>
    <row r="13" spans="1:14" x14ac:dyDescent="0.25">
      <c r="A13" s="5" t="s">
        <v>69</v>
      </c>
      <c r="B13" s="5" t="s">
        <v>109</v>
      </c>
      <c r="C13" s="5" t="s">
        <v>437</v>
      </c>
      <c r="D13" s="5" t="s">
        <v>71</v>
      </c>
      <c r="E13" s="5" t="s">
        <v>408</v>
      </c>
      <c r="F13" s="5" t="s">
        <v>438</v>
      </c>
      <c r="G13" s="5" t="s">
        <v>177</v>
      </c>
      <c r="H13" s="5" t="s">
        <v>439</v>
      </c>
      <c r="I13" s="5" t="s">
        <v>440</v>
      </c>
      <c r="J13" s="5" t="s">
        <v>441</v>
      </c>
      <c r="K13" s="5" t="s">
        <v>442</v>
      </c>
      <c r="L13" s="5" t="s">
        <v>443</v>
      </c>
      <c r="M13" s="5" t="s">
        <v>444</v>
      </c>
      <c r="N13" s="5" t="s">
        <v>122</v>
      </c>
    </row>
    <row r="14" spans="1:14" x14ac:dyDescent="0.25">
      <c r="A14" t="s">
        <v>79</v>
      </c>
      <c r="B14" t="s">
        <v>124</v>
      </c>
      <c r="C14">
        <v>48</v>
      </c>
      <c r="D14">
        <v>24</v>
      </c>
      <c r="E14">
        <v>4</v>
      </c>
      <c r="F14" s="8">
        <v>284.86</v>
      </c>
      <c r="G14">
        <v>7</v>
      </c>
      <c r="H14" s="6">
        <v>20</v>
      </c>
      <c r="I14" s="6">
        <v>7</v>
      </c>
      <c r="J14">
        <v>140</v>
      </c>
      <c r="K14" s="8">
        <v>1994</v>
      </c>
      <c r="L14" t="s">
        <v>445</v>
      </c>
      <c r="M14" t="s">
        <v>446</v>
      </c>
      <c r="N14" s="9" t="s">
        <v>447</v>
      </c>
    </row>
    <row r="15" spans="1:14" x14ac:dyDescent="0.25">
      <c r="A15" t="s">
        <v>79</v>
      </c>
      <c r="B15" t="s">
        <v>128</v>
      </c>
      <c r="C15">
        <v>34</v>
      </c>
      <c r="D15">
        <v>24</v>
      </c>
      <c r="E15">
        <v>4</v>
      </c>
      <c r="F15" s="8">
        <v>617.71</v>
      </c>
      <c r="G15">
        <v>7</v>
      </c>
      <c r="H15" s="6">
        <v>25</v>
      </c>
      <c r="I15" s="6">
        <v>4</v>
      </c>
      <c r="J15">
        <v>175</v>
      </c>
      <c r="K15" s="8">
        <v>4324</v>
      </c>
      <c r="L15" t="s">
        <v>445</v>
      </c>
      <c r="M15" t="s">
        <v>446</v>
      </c>
      <c r="N15" s="9" t="s">
        <v>448</v>
      </c>
    </row>
    <row r="16" spans="1:14" x14ac:dyDescent="0.25">
      <c r="A16" t="s">
        <v>78</v>
      </c>
      <c r="B16" t="s">
        <v>124</v>
      </c>
      <c r="C16">
        <v>96</v>
      </c>
      <c r="D16">
        <v>48</v>
      </c>
      <c r="E16">
        <v>4</v>
      </c>
      <c r="F16" s="8">
        <v>252</v>
      </c>
      <c r="G16">
        <v>7</v>
      </c>
      <c r="H16" s="6">
        <v>20</v>
      </c>
      <c r="I16" s="6">
        <v>7.9</v>
      </c>
      <c r="J16">
        <v>140</v>
      </c>
      <c r="K16" s="8">
        <v>1764</v>
      </c>
      <c r="L16" t="s">
        <v>445</v>
      </c>
      <c r="M16" t="s">
        <v>446</v>
      </c>
      <c r="N16" s="9" t="s">
        <v>449</v>
      </c>
    </row>
    <row r="17" spans="1:14" x14ac:dyDescent="0.25">
      <c r="A17" t="s">
        <v>78</v>
      </c>
      <c r="B17" t="s">
        <v>128</v>
      </c>
      <c r="C17">
        <v>73</v>
      </c>
      <c r="D17">
        <v>47</v>
      </c>
      <c r="E17">
        <v>4</v>
      </c>
      <c r="F17" s="8">
        <v>558.42999999999995</v>
      </c>
      <c r="G17">
        <v>7</v>
      </c>
      <c r="H17" s="6">
        <v>25</v>
      </c>
      <c r="I17" s="6">
        <v>4.5</v>
      </c>
      <c r="J17">
        <v>175</v>
      </c>
      <c r="K17" s="8">
        <v>3909</v>
      </c>
      <c r="L17" t="s">
        <v>445</v>
      </c>
      <c r="M17" t="s">
        <v>446</v>
      </c>
      <c r="N17" s="9" t="s">
        <v>450</v>
      </c>
    </row>
    <row r="18" spans="1:14" x14ac:dyDescent="0.25">
      <c r="A18" t="s">
        <v>75</v>
      </c>
      <c r="B18" t="s">
        <v>124</v>
      </c>
      <c r="C18">
        <v>827</v>
      </c>
      <c r="D18">
        <v>415</v>
      </c>
      <c r="E18">
        <v>16</v>
      </c>
      <c r="F18" s="8">
        <v>178.62</v>
      </c>
      <c r="G18">
        <v>7</v>
      </c>
      <c r="H18" s="6">
        <v>20</v>
      </c>
      <c r="I18" s="6">
        <v>11.2</v>
      </c>
      <c r="J18">
        <v>140</v>
      </c>
      <c r="K18" s="8">
        <v>1250.3800000000001</v>
      </c>
      <c r="L18" t="s">
        <v>445</v>
      </c>
      <c r="M18" t="s">
        <v>446</v>
      </c>
      <c r="N18" s="9" t="s">
        <v>451</v>
      </c>
    </row>
    <row r="19" spans="1:14" x14ac:dyDescent="0.25">
      <c r="A19" t="s">
        <v>75</v>
      </c>
      <c r="B19" t="s">
        <v>128</v>
      </c>
      <c r="C19">
        <v>606</v>
      </c>
      <c r="D19">
        <v>414</v>
      </c>
      <c r="E19">
        <v>16</v>
      </c>
      <c r="F19" s="8">
        <v>489.83</v>
      </c>
      <c r="G19">
        <v>7</v>
      </c>
      <c r="H19" s="6">
        <v>25</v>
      </c>
      <c r="I19" s="6">
        <v>5.0999999999999996</v>
      </c>
      <c r="J19">
        <v>175</v>
      </c>
      <c r="K19" s="8">
        <v>3428.8</v>
      </c>
      <c r="L19" t="s">
        <v>445</v>
      </c>
      <c r="M19" t="s">
        <v>446</v>
      </c>
      <c r="N19" s="9" t="s">
        <v>452</v>
      </c>
    </row>
    <row r="20" spans="1:14" x14ac:dyDescent="0.25">
      <c r="A20" t="s">
        <v>77</v>
      </c>
      <c r="B20" t="s">
        <v>124</v>
      </c>
      <c r="C20">
        <v>6</v>
      </c>
      <c r="D20">
        <v>3</v>
      </c>
      <c r="E20">
        <v>2</v>
      </c>
      <c r="F20" s="8">
        <v>342.67</v>
      </c>
      <c r="G20">
        <v>10</v>
      </c>
      <c r="H20" s="6">
        <v>20</v>
      </c>
      <c r="I20" s="6">
        <v>5.8</v>
      </c>
      <c r="J20">
        <v>200</v>
      </c>
      <c r="K20" s="8">
        <v>3426.67</v>
      </c>
      <c r="L20" t="s">
        <v>445</v>
      </c>
      <c r="M20" t="s">
        <v>446</v>
      </c>
      <c r="N20" s="9" t="s">
        <v>453</v>
      </c>
    </row>
    <row r="21" spans="1:14" x14ac:dyDescent="0.25">
      <c r="A21" t="s">
        <v>77</v>
      </c>
      <c r="B21" t="s">
        <v>128</v>
      </c>
      <c r="C21">
        <v>4</v>
      </c>
      <c r="D21">
        <v>3</v>
      </c>
      <c r="E21">
        <v>2</v>
      </c>
      <c r="F21" s="8">
        <v>598.51</v>
      </c>
      <c r="G21">
        <v>9.5</v>
      </c>
      <c r="H21" s="6">
        <v>25</v>
      </c>
      <c r="I21" s="6">
        <v>4.2</v>
      </c>
      <c r="J21">
        <v>237.5</v>
      </c>
      <c r="K21" s="8">
        <v>5685.8</v>
      </c>
      <c r="L21" t="s">
        <v>445</v>
      </c>
      <c r="M21" t="s">
        <v>446</v>
      </c>
      <c r="N21" s="9" t="s">
        <v>454</v>
      </c>
    </row>
    <row r="22" spans="1:14" x14ac:dyDescent="0.25">
      <c r="A22" t="s">
        <v>76</v>
      </c>
      <c r="B22" t="s">
        <v>124</v>
      </c>
      <c r="C22">
        <v>68</v>
      </c>
      <c r="D22">
        <v>35</v>
      </c>
      <c r="E22">
        <v>7</v>
      </c>
      <c r="F22" s="8">
        <v>323.88</v>
      </c>
      <c r="G22">
        <v>7</v>
      </c>
      <c r="H22" s="6">
        <v>20</v>
      </c>
      <c r="I22" s="6">
        <v>6.2</v>
      </c>
      <c r="J22">
        <v>140</v>
      </c>
      <c r="K22" s="8">
        <v>2267.19</v>
      </c>
      <c r="L22" t="s">
        <v>445</v>
      </c>
      <c r="M22" t="s">
        <v>446</v>
      </c>
      <c r="N22" s="9" t="s">
        <v>455</v>
      </c>
    </row>
    <row r="23" spans="1:14" x14ac:dyDescent="0.25">
      <c r="A23" t="s">
        <v>76</v>
      </c>
      <c r="B23" t="s">
        <v>128</v>
      </c>
      <c r="C23">
        <v>45</v>
      </c>
      <c r="D23">
        <v>35</v>
      </c>
      <c r="E23">
        <v>7</v>
      </c>
      <c r="F23" s="8">
        <v>602.71</v>
      </c>
      <c r="G23">
        <v>7</v>
      </c>
      <c r="H23" s="6">
        <v>25</v>
      </c>
      <c r="I23" s="6">
        <v>4.0999999999999996</v>
      </c>
      <c r="J23">
        <v>175</v>
      </c>
      <c r="K23" s="8">
        <v>4219</v>
      </c>
      <c r="L23" t="s">
        <v>445</v>
      </c>
      <c r="M23" t="s">
        <v>446</v>
      </c>
      <c r="N23" s="9" t="s">
        <v>456</v>
      </c>
    </row>
  </sheetData>
  <autoFilter ref="A13:N23"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42"/>
  <sheetViews>
    <sheetView workbookViewId="0">
      <pane ySplit="18" topLeftCell="A25" activePane="bottomLeft" state="frozen"/>
      <selection pane="bottomLeft" activeCell="A10" sqref="A10"/>
    </sheetView>
  </sheetViews>
  <sheetFormatPr defaultRowHeight="15" x14ac:dyDescent="0.25"/>
  <cols>
    <col min="1" max="1" width="17" customWidth="1"/>
    <col min="2" max="2" width="11" customWidth="1"/>
    <col min="3" max="3" width="13" customWidth="1"/>
    <col min="4" max="4" width="9" customWidth="1"/>
    <col min="5" max="5" width="23" customWidth="1"/>
    <col min="6" max="6" width="18" customWidth="1"/>
    <col min="7" max="8" width="20" customWidth="1"/>
    <col min="9" max="10" width="15" customWidth="1"/>
    <col min="11" max="11" width="10" customWidth="1"/>
    <col min="12" max="12" width="9" customWidth="1"/>
    <col min="13" max="13" width="16" customWidth="1"/>
    <col min="14" max="14" width="20" customWidth="1"/>
    <col min="15" max="15" width="24" customWidth="1"/>
    <col min="16" max="16" width="43" customWidth="1"/>
  </cols>
  <sheetData>
    <row r="1" spans="1:1" ht="17.25" x14ac:dyDescent="0.3">
      <c r="A1" s="1" t="s">
        <v>48</v>
      </c>
    </row>
    <row r="2" spans="1:1" x14ac:dyDescent="0.25">
      <c r="A2" s="2" t="s">
        <v>50</v>
      </c>
    </row>
    <row r="3" spans="1:1" x14ac:dyDescent="0.25">
      <c r="A3" s="2" t="s">
        <v>98</v>
      </c>
    </row>
    <row r="4" spans="1:1" x14ac:dyDescent="0.25">
      <c r="A4" s="2" t="s">
        <v>457</v>
      </c>
    </row>
    <row r="6" spans="1:1" x14ac:dyDescent="0.25">
      <c r="A6" s="7" t="s">
        <v>100</v>
      </c>
    </row>
    <row r="7" spans="1:1" x14ac:dyDescent="0.25">
      <c r="A7" s="7" t="s">
        <v>101</v>
      </c>
    </row>
    <row r="8" spans="1:1" x14ac:dyDescent="0.25">
      <c r="A8" s="7" t="s">
        <v>458</v>
      </c>
    </row>
    <row r="9" spans="1:1" x14ac:dyDescent="0.25">
      <c r="A9" s="7" t="s">
        <v>459</v>
      </c>
    </row>
    <row r="10" spans="1:1" x14ac:dyDescent="0.25">
      <c r="A10" s="2" t="s">
        <v>460</v>
      </c>
    </row>
    <row r="11" spans="1:1" x14ac:dyDescent="0.25">
      <c r="A11" s="2" t="s">
        <v>461</v>
      </c>
    </row>
    <row r="12" spans="1:1" x14ac:dyDescent="0.25">
      <c r="A12" s="2" t="s">
        <v>462</v>
      </c>
    </row>
    <row r="13" spans="1:1" x14ac:dyDescent="0.25">
      <c r="A13" s="2" t="s">
        <v>463</v>
      </c>
    </row>
    <row r="14" spans="1:1" x14ac:dyDescent="0.25">
      <c r="A14" s="2" t="s">
        <v>464</v>
      </c>
    </row>
    <row r="15" spans="1:1" x14ac:dyDescent="0.25">
      <c r="A15" s="2" t="s">
        <v>465</v>
      </c>
    </row>
    <row r="16" spans="1:1" x14ac:dyDescent="0.25">
      <c r="A16" s="2" t="s">
        <v>466</v>
      </c>
    </row>
    <row r="18" spans="1:16" x14ac:dyDescent="0.25">
      <c r="A18" s="5" t="s">
        <v>69</v>
      </c>
      <c r="B18" s="5" t="s">
        <v>467</v>
      </c>
      <c r="C18" s="5" t="s">
        <v>468</v>
      </c>
      <c r="D18" s="5" t="s">
        <v>469</v>
      </c>
      <c r="E18" s="5" t="s">
        <v>470</v>
      </c>
      <c r="F18" s="5" t="s">
        <v>471</v>
      </c>
      <c r="G18" s="5" t="s">
        <v>472</v>
      </c>
      <c r="H18" s="5" t="s">
        <v>473</v>
      </c>
      <c r="I18" s="5" t="s">
        <v>474</v>
      </c>
      <c r="J18" s="5" t="s">
        <v>475</v>
      </c>
      <c r="K18" s="5" t="s">
        <v>476</v>
      </c>
      <c r="L18" s="5" t="s">
        <v>477</v>
      </c>
      <c r="M18" s="5" t="s">
        <v>478</v>
      </c>
      <c r="N18" s="5" t="s">
        <v>479</v>
      </c>
      <c r="O18" s="5" t="s">
        <v>122</v>
      </c>
      <c r="P18" s="5" t="s">
        <v>27</v>
      </c>
    </row>
    <row r="19" spans="1:16" x14ac:dyDescent="0.25">
      <c r="A19" t="s">
        <v>79</v>
      </c>
      <c r="B19" t="s">
        <v>124</v>
      </c>
      <c r="C19">
        <v>62</v>
      </c>
      <c r="D19">
        <v>53</v>
      </c>
      <c r="E19" s="8">
        <v>287</v>
      </c>
      <c r="F19" s="8">
        <v>213.43</v>
      </c>
      <c r="G19" s="8">
        <v>265.57</v>
      </c>
      <c r="H19" s="8">
        <v>311</v>
      </c>
      <c r="I19" s="8">
        <v>188.8</v>
      </c>
      <c r="J19" s="8">
        <v>242.29</v>
      </c>
      <c r="K19" s="8">
        <v>73.569999999999993</v>
      </c>
      <c r="L19" s="6">
        <v>34.47</v>
      </c>
      <c r="M19">
        <v>214</v>
      </c>
      <c r="N19" s="6">
        <v>77.5</v>
      </c>
      <c r="O19" t="s">
        <v>32</v>
      </c>
      <c r="P19" t="s">
        <v>480</v>
      </c>
    </row>
    <row r="20" spans="1:16" x14ac:dyDescent="0.25">
      <c r="A20" t="s">
        <v>79</v>
      </c>
      <c r="B20" t="s">
        <v>126</v>
      </c>
      <c r="C20">
        <v>62</v>
      </c>
      <c r="D20">
        <v>53</v>
      </c>
      <c r="E20" s="8">
        <v>174.33</v>
      </c>
      <c r="F20" s="8">
        <v>133.80000000000001</v>
      </c>
      <c r="G20" s="8">
        <v>159.86000000000001</v>
      </c>
      <c r="H20" s="8">
        <v>181.29</v>
      </c>
      <c r="I20" s="8">
        <v>117.55</v>
      </c>
      <c r="J20" s="8">
        <v>154.86000000000001</v>
      </c>
      <c r="K20" s="8">
        <v>40.53</v>
      </c>
      <c r="L20" s="6">
        <v>30.29</v>
      </c>
      <c r="M20">
        <v>107</v>
      </c>
      <c r="N20" s="6">
        <v>63.3</v>
      </c>
      <c r="O20" t="s">
        <v>32</v>
      </c>
      <c r="P20" t="s">
        <v>481</v>
      </c>
    </row>
    <row r="21" spans="1:16" x14ac:dyDescent="0.25">
      <c r="A21" t="s">
        <v>79</v>
      </c>
      <c r="B21" t="s">
        <v>127</v>
      </c>
      <c r="C21">
        <v>62</v>
      </c>
      <c r="D21">
        <v>53</v>
      </c>
      <c r="E21" s="8">
        <v>232.59</v>
      </c>
      <c r="F21" s="8">
        <v>167</v>
      </c>
      <c r="G21" s="8">
        <v>215.57</v>
      </c>
      <c r="H21" s="8">
        <v>259.86</v>
      </c>
      <c r="I21" s="8">
        <v>145.57</v>
      </c>
      <c r="J21" s="8">
        <v>189.14</v>
      </c>
      <c r="K21" s="8">
        <v>65.59</v>
      </c>
      <c r="L21" s="6">
        <v>39.28</v>
      </c>
      <c r="M21">
        <v>107</v>
      </c>
      <c r="N21" s="6">
        <v>63.3</v>
      </c>
      <c r="O21" t="s">
        <v>32</v>
      </c>
      <c r="P21" t="s">
        <v>481</v>
      </c>
    </row>
    <row r="22" spans="1:16" x14ac:dyDescent="0.25">
      <c r="A22" t="s">
        <v>79</v>
      </c>
      <c r="B22" t="s">
        <v>128</v>
      </c>
      <c r="C22">
        <v>99</v>
      </c>
      <c r="D22">
        <v>52</v>
      </c>
      <c r="E22" s="8">
        <v>615.44000000000005</v>
      </c>
      <c r="F22" s="8">
        <v>419.14</v>
      </c>
      <c r="G22" s="8">
        <v>435.57</v>
      </c>
      <c r="H22" s="8">
        <v>685.57</v>
      </c>
      <c r="I22" s="8">
        <v>383.71</v>
      </c>
      <c r="J22" s="8">
        <v>437</v>
      </c>
      <c r="K22" s="8">
        <v>196.3</v>
      </c>
      <c r="L22" s="6">
        <v>46.83</v>
      </c>
      <c r="M22">
        <v>143</v>
      </c>
      <c r="N22" s="6">
        <v>59.1</v>
      </c>
      <c r="O22" t="s">
        <v>32</v>
      </c>
      <c r="P22" t="s">
        <v>482</v>
      </c>
    </row>
    <row r="23" spans="1:16" x14ac:dyDescent="0.25">
      <c r="A23" t="s">
        <v>78</v>
      </c>
      <c r="B23" t="s">
        <v>124</v>
      </c>
      <c r="C23">
        <v>155</v>
      </c>
      <c r="D23">
        <v>33</v>
      </c>
      <c r="E23" s="8">
        <v>257</v>
      </c>
      <c r="F23" s="8">
        <v>185.5</v>
      </c>
      <c r="G23" s="8">
        <v>227.8</v>
      </c>
      <c r="H23" s="8">
        <v>277</v>
      </c>
      <c r="I23" s="8">
        <v>171</v>
      </c>
      <c r="J23" s="8">
        <v>220.86</v>
      </c>
      <c r="K23" s="8">
        <v>71.5</v>
      </c>
      <c r="L23" s="6">
        <v>38.54</v>
      </c>
      <c r="M23">
        <v>4</v>
      </c>
      <c r="N23" s="6">
        <v>2.5</v>
      </c>
      <c r="O23" t="s">
        <v>32</v>
      </c>
      <c r="P23" t="s">
        <v>32</v>
      </c>
    </row>
    <row r="24" spans="1:16" x14ac:dyDescent="0.25">
      <c r="A24" t="s">
        <v>78</v>
      </c>
      <c r="B24" t="s">
        <v>126</v>
      </c>
      <c r="C24">
        <v>155</v>
      </c>
      <c r="D24">
        <v>34</v>
      </c>
      <c r="E24" s="8">
        <v>165.8</v>
      </c>
      <c r="F24" s="8">
        <v>138.05000000000001</v>
      </c>
      <c r="G24" s="8">
        <v>139.86000000000001</v>
      </c>
      <c r="H24" s="8">
        <v>195.57</v>
      </c>
      <c r="I24" s="8">
        <v>113</v>
      </c>
      <c r="J24" s="8">
        <v>160</v>
      </c>
      <c r="K24" s="8">
        <v>27.75</v>
      </c>
      <c r="L24" s="6">
        <v>20.100000000000001</v>
      </c>
      <c r="M24">
        <v>2</v>
      </c>
      <c r="N24" s="6">
        <v>1.3</v>
      </c>
      <c r="O24" t="s">
        <v>32</v>
      </c>
      <c r="P24" t="s">
        <v>32</v>
      </c>
    </row>
    <row r="25" spans="1:16" x14ac:dyDescent="0.25">
      <c r="A25" t="s">
        <v>78</v>
      </c>
      <c r="B25" t="s">
        <v>127</v>
      </c>
      <c r="C25">
        <v>155</v>
      </c>
      <c r="D25">
        <v>33</v>
      </c>
      <c r="E25" s="8">
        <v>199.86</v>
      </c>
      <c r="F25" s="8">
        <v>153.86000000000001</v>
      </c>
      <c r="G25" s="8">
        <v>165.57</v>
      </c>
      <c r="H25" s="8">
        <v>219.86</v>
      </c>
      <c r="I25" s="8">
        <v>139.66999999999999</v>
      </c>
      <c r="J25" s="8">
        <v>183.33</v>
      </c>
      <c r="K25" s="8">
        <v>46</v>
      </c>
      <c r="L25" s="6">
        <v>29.9</v>
      </c>
      <c r="M25">
        <v>2</v>
      </c>
      <c r="N25" s="6">
        <v>1.3</v>
      </c>
      <c r="O25" t="s">
        <v>32</v>
      </c>
      <c r="P25" t="s">
        <v>32</v>
      </c>
    </row>
    <row r="26" spans="1:16" x14ac:dyDescent="0.25">
      <c r="A26" t="s">
        <v>78</v>
      </c>
      <c r="B26" t="s">
        <v>128</v>
      </c>
      <c r="C26">
        <v>260</v>
      </c>
      <c r="D26">
        <v>28</v>
      </c>
      <c r="E26" s="8">
        <v>569.14</v>
      </c>
      <c r="F26" s="8">
        <v>360.41</v>
      </c>
      <c r="G26" s="8">
        <v>451.29</v>
      </c>
      <c r="H26" s="8">
        <v>658.43</v>
      </c>
      <c r="I26" s="8">
        <v>315.29000000000002</v>
      </c>
      <c r="J26" s="8">
        <v>386</v>
      </c>
      <c r="K26" s="8">
        <v>208.73</v>
      </c>
      <c r="L26" s="6">
        <v>57.91</v>
      </c>
      <c r="M26">
        <v>2</v>
      </c>
      <c r="N26" s="6">
        <v>0.8</v>
      </c>
      <c r="O26" s="10" t="s">
        <v>483</v>
      </c>
      <c r="P26" t="s">
        <v>32</v>
      </c>
    </row>
    <row r="27" spans="1:16" x14ac:dyDescent="0.25">
      <c r="A27" t="s">
        <v>75</v>
      </c>
      <c r="B27" t="s">
        <v>124</v>
      </c>
      <c r="C27">
        <v>903</v>
      </c>
      <c r="D27">
        <v>1902</v>
      </c>
      <c r="E27" s="8">
        <v>179.8</v>
      </c>
      <c r="F27" s="8">
        <v>159.55000000000001</v>
      </c>
      <c r="G27" s="8">
        <v>149.80000000000001</v>
      </c>
      <c r="H27" s="8">
        <v>221.29</v>
      </c>
      <c r="I27" s="8">
        <v>138.13999999999999</v>
      </c>
      <c r="J27" s="8">
        <v>191.75</v>
      </c>
      <c r="K27" s="8">
        <v>20.25</v>
      </c>
      <c r="L27" s="6">
        <v>12.69</v>
      </c>
      <c r="M27">
        <v>78</v>
      </c>
      <c r="N27" s="6">
        <v>8</v>
      </c>
      <c r="O27" t="s">
        <v>32</v>
      </c>
      <c r="P27" t="s">
        <v>32</v>
      </c>
    </row>
    <row r="28" spans="1:16" x14ac:dyDescent="0.25">
      <c r="A28" t="s">
        <v>75</v>
      </c>
      <c r="B28" t="s">
        <v>126</v>
      </c>
      <c r="C28">
        <v>904</v>
      </c>
      <c r="D28">
        <v>1927</v>
      </c>
      <c r="E28" s="8">
        <v>132.03</v>
      </c>
      <c r="F28" s="8">
        <v>101.5</v>
      </c>
      <c r="G28" s="8">
        <v>109.75</v>
      </c>
      <c r="H28" s="8">
        <v>159.66999999999999</v>
      </c>
      <c r="I28" s="8">
        <v>83.14</v>
      </c>
      <c r="J28" s="8">
        <v>123.88</v>
      </c>
      <c r="K28" s="8">
        <v>30.53</v>
      </c>
      <c r="L28" s="6">
        <v>30.07</v>
      </c>
      <c r="M28">
        <v>39</v>
      </c>
      <c r="N28" s="6">
        <v>4.0999999999999996</v>
      </c>
      <c r="O28" t="s">
        <v>32</v>
      </c>
      <c r="P28" t="s">
        <v>32</v>
      </c>
    </row>
    <row r="29" spans="1:16" x14ac:dyDescent="0.25">
      <c r="A29" t="s">
        <v>75</v>
      </c>
      <c r="B29" t="s">
        <v>127</v>
      </c>
      <c r="C29">
        <v>884</v>
      </c>
      <c r="D29">
        <v>1895</v>
      </c>
      <c r="E29" s="8">
        <v>153</v>
      </c>
      <c r="F29" s="8">
        <v>124.17</v>
      </c>
      <c r="G29" s="8">
        <v>123</v>
      </c>
      <c r="H29" s="8">
        <v>183.62</v>
      </c>
      <c r="I29" s="8">
        <v>106.2</v>
      </c>
      <c r="J29" s="8">
        <v>151</v>
      </c>
      <c r="K29" s="8">
        <v>28.83</v>
      </c>
      <c r="L29" s="6">
        <v>23.22</v>
      </c>
      <c r="M29">
        <v>37</v>
      </c>
      <c r="N29" s="6">
        <v>4</v>
      </c>
      <c r="O29" t="s">
        <v>32</v>
      </c>
      <c r="P29" t="s">
        <v>32</v>
      </c>
    </row>
    <row r="30" spans="1:16" x14ac:dyDescent="0.25">
      <c r="A30" t="s">
        <v>75</v>
      </c>
      <c r="B30" t="s">
        <v>128</v>
      </c>
      <c r="C30">
        <v>1405</v>
      </c>
      <c r="D30">
        <v>1803</v>
      </c>
      <c r="E30" s="8">
        <v>494.14</v>
      </c>
      <c r="F30" s="8">
        <v>255</v>
      </c>
      <c r="G30" s="8">
        <v>411.29</v>
      </c>
      <c r="H30" s="8">
        <v>581.29</v>
      </c>
      <c r="I30" s="8">
        <v>225.5</v>
      </c>
      <c r="J30" s="8">
        <v>295.75</v>
      </c>
      <c r="K30" s="8">
        <v>239.14</v>
      </c>
      <c r="L30" s="6">
        <v>93.78</v>
      </c>
      <c r="M30">
        <v>57</v>
      </c>
      <c r="N30" s="6">
        <v>3.9</v>
      </c>
      <c r="O30" t="s">
        <v>32</v>
      </c>
      <c r="P30" t="s">
        <v>32</v>
      </c>
    </row>
    <row r="31" spans="1:16" x14ac:dyDescent="0.25">
      <c r="A31" t="s">
        <v>77</v>
      </c>
      <c r="B31" t="s">
        <v>124</v>
      </c>
      <c r="C31">
        <v>61</v>
      </c>
      <c r="D31">
        <v>10</v>
      </c>
      <c r="E31" s="8">
        <v>362.9</v>
      </c>
      <c r="F31" s="8">
        <v>179.03</v>
      </c>
      <c r="G31" s="8">
        <v>310.89999999999998</v>
      </c>
      <c r="H31" s="8">
        <v>387.18</v>
      </c>
      <c r="I31" s="8">
        <v>154.16999999999999</v>
      </c>
      <c r="J31" s="8">
        <v>192.11</v>
      </c>
      <c r="K31" s="8">
        <v>183.87</v>
      </c>
      <c r="L31" s="6">
        <v>102.7</v>
      </c>
      <c r="M31">
        <v>70</v>
      </c>
      <c r="N31" s="6">
        <v>53.4</v>
      </c>
      <c r="O31" s="10" t="s">
        <v>131</v>
      </c>
      <c r="P31" t="s">
        <v>484</v>
      </c>
    </row>
    <row r="32" spans="1:16" x14ac:dyDescent="0.25">
      <c r="A32" t="s">
        <v>77</v>
      </c>
      <c r="B32" t="s">
        <v>126</v>
      </c>
      <c r="C32">
        <v>61</v>
      </c>
      <c r="D32">
        <v>10</v>
      </c>
      <c r="E32" s="8">
        <v>213.55</v>
      </c>
      <c r="F32" s="8">
        <v>122.81</v>
      </c>
      <c r="G32" s="8">
        <v>194.45</v>
      </c>
      <c r="H32" s="8">
        <v>227.9</v>
      </c>
      <c r="I32" s="8">
        <v>109.17</v>
      </c>
      <c r="J32" s="8">
        <v>131.44</v>
      </c>
      <c r="K32" s="8">
        <v>90.73</v>
      </c>
      <c r="L32" s="6">
        <v>73.88</v>
      </c>
      <c r="M32">
        <v>35</v>
      </c>
      <c r="N32" s="6">
        <v>36.5</v>
      </c>
      <c r="O32" s="10" t="s">
        <v>131</v>
      </c>
      <c r="P32" t="s">
        <v>32</v>
      </c>
    </row>
    <row r="33" spans="1:16" x14ac:dyDescent="0.25">
      <c r="A33" t="s">
        <v>77</v>
      </c>
      <c r="B33" t="s">
        <v>127</v>
      </c>
      <c r="C33">
        <v>61</v>
      </c>
      <c r="D33">
        <v>10</v>
      </c>
      <c r="E33" s="8">
        <v>249.9</v>
      </c>
      <c r="F33" s="8">
        <v>148.59</v>
      </c>
      <c r="G33" s="8">
        <v>233.9</v>
      </c>
      <c r="H33" s="8">
        <v>259.89</v>
      </c>
      <c r="I33" s="8">
        <v>130.83000000000001</v>
      </c>
      <c r="J33" s="8">
        <v>157.66999999999999</v>
      </c>
      <c r="K33" s="8">
        <v>101.31</v>
      </c>
      <c r="L33" s="6">
        <v>68.180000000000007</v>
      </c>
      <c r="M33">
        <v>35</v>
      </c>
      <c r="N33" s="6">
        <v>36.5</v>
      </c>
      <c r="O33" s="10" t="s">
        <v>131</v>
      </c>
      <c r="P33" t="s">
        <v>32</v>
      </c>
    </row>
    <row r="34" spans="1:16" x14ac:dyDescent="0.25">
      <c r="A34" t="s">
        <v>77</v>
      </c>
      <c r="B34" t="s">
        <v>128</v>
      </c>
      <c r="C34">
        <v>82</v>
      </c>
      <c r="D34">
        <v>10</v>
      </c>
      <c r="E34" s="8">
        <v>638.22</v>
      </c>
      <c r="F34" s="8">
        <v>330.21</v>
      </c>
      <c r="G34" s="8">
        <v>584.9</v>
      </c>
      <c r="H34" s="8">
        <v>823.22</v>
      </c>
      <c r="I34" s="8">
        <v>314</v>
      </c>
      <c r="J34" s="8">
        <v>393.62</v>
      </c>
      <c r="K34" s="8">
        <v>308.01</v>
      </c>
      <c r="L34" s="6">
        <v>93.28</v>
      </c>
      <c r="M34">
        <v>52</v>
      </c>
      <c r="N34" s="6">
        <v>38.799999999999997</v>
      </c>
      <c r="O34" s="10" t="s">
        <v>131</v>
      </c>
      <c r="P34" t="s">
        <v>32</v>
      </c>
    </row>
    <row r="35" spans="1:16" x14ac:dyDescent="0.25">
      <c r="A35" t="s">
        <v>76</v>
      </c>
      <c r="B35" t="s">
        <v>124</v>
      </c>
      <c r="C35">
        <v>145</v>
      </c>
      <c r="D35">
        <v>22</v>
      </c>
      <c r="E35" s="8">
        <v>319.89999999999998</v>
      </c>
      <c r="F35" s="8">
        <v>170.61</v>
      </c>
      <c r="G35" s="8">
        <v>288.25</v>
      </c>
      <c r="H35" s="8">
        <v>361.58</v>
      </c>
      <c r="I35" s="8">
        <v>157.88999999999999</v>
      </c>
      <c r="J35" s="8">
        <v>185.38</v>
      </c>
      <c r="K35" s="8">
        <v>149.29</v>
      </c>
      <c r="L35" s="6">
        <v>87.5</v>
      </c>
      <c r="M35">
        <v>127</v>
      </c>
      <c r="N35" s="6">
        <v>46.7</v>
      </c>
      <c r="O35" s="10" t="s">
        <v>485</v>
      </c>
      <c r="P35" t="s">
        <v>486</v>
      </c>
    </row>
    <row r="36" spans="1:16" x14ac:dyDescent="0.25">
      <c r="A36" t="s">
        <v>76</v>
      </c>
      <c r="B36" t="s">
        <v>126</v>
      </c>
      <c r="C36">
        <v>141</v>
      </c>
      <c r="D36">
        <v>23</v>
      </c>
      <c r="E36" s="8">
        <v>199.9</v>
      </c>
      <c r="F36" s="8">
        <v>98.38</v>
      </c>
      <c r="G36" s="8">
        <v>177</v>
      </c>
      <c r="H36" s="8">
        <v>220.9</v>
      </c>
      <c r="I36" s="8">
        <v>88.6</v>
      </c>
      <c r="J36" s="8">
        <v>114.6</v>
      </c>
      <c r="K36" s="8">
        <v>101.53</v>
      </c>
      <c r="L36" s="6">
        <v>103.2</v>
      </c>
      <c r="M36">
        <v>64</v>
      </c>
      <c r="N36" s="6">
        <v>31.2</v>
      </c>
      <c r="O36" s="10" t="s">
        <v>132</v>
      </c>
      <c r="P36" t="s">
        <v>32</v>
      </c>
    </row>
    <row r="37" spans="1:16" x14ac:dyDescent="0.25">
      <c r="A37" t="s">
        <v>76</v>
      </c>
      <c r="B37" t="s">
        <v>127</v>
      </c>
      <c r="C37">
        <v>135</v>
      </c>
      <c r="D37">
        <v>20</v>
      </c>
      <c r="E37" s="8">
        <v>233.9</v>
      </c>
      <c r="F37" s="8">
        <v>119.31</v>
      </c>
      <c r="G37" s="8">
        <v>199.91</v>
      </c>
      <c r="H37" s="8">
        <v>290.75</v>
      </c>
      <c r="I37" s="8">
        <v>110.38</v>
      </c>
      <c r="J37" s="8">
        <v>133</v>
      </c>
      <c r="K37" s="8">
        <v>114.59</v>
      </c>
      <c r="L37" s="6">
        <v>96.04</v>
      </c>
      <c r="M37">
        <v>46</v>
      </c>
      <c r="N37" s="6">
        <v>25.4</v>
      </c>
      <c r="O37" s="10" t="s">
        <v>487</v>
      </c>
      <c r="P37" t="s">
        <v>32</v>
      </c>
    </row>
    <row r="38" spans="1:16" x14ac:dyDescent="0.25">
      <c r="A38" t="s">
        <v>76</v>
      </c>
      <c r="B38" t="s">
        <v>128</v>
      </c>
      <c r="C38">
        <v>217</v>
      </c>
      <c r="D38">
        <v>18</v>
      </c>
      <c r="E38" s="8">
        <v>641.29</v>
      </c>
      <c r="F38" s="8">
        <v>330.96</v>
      </c>
      <c r="G38" s="8">
        <v>529.9</v>
      </c>
      <c r="H38" s="8">
        <v>817</v>
      </c>
      <c r="I38" s="8">
        <v>311.7</v>
      </c>
      <c r="J38" s="8">
        <v>347.22</v>
      </c>
      <c r="K38" s="8">
        <v>310.32</v>
      </c>
      <c r="L38" s="6">
        <v>93.76</v>
      </c>
      <c r="M38">
        <v>85</v>
      </c>
      <c r="N38" s="6">
        <v>28.1</v>
      </c>
      <c r="O38" s="10" t="s">
        <v>488</v>
      </c>
      <c r="P38" t="s">
        <v>32</v>
      </c>
    </row>
    <row r="39" spans="1:16" x14ac:dyDescent="0.25">
      <c r="A39" t="s">
        <v>80</v>
      </c>
      <c r="B39" t="s">
        <v>124</v>
      </c>
      <c r="C39">
        <v>0</v>
      </c>
      <c r="D39">
        <v>5</v>
      </c>
      <c r="M39">
        <v>0</v>
      </c>
      <c r="N39" s="6">
        <v>0</v>
      </c>
      <c r="O39" s="9" t="s">
        <v>489</v>
      </c>
      <c r="P39" s="10" t="s">
        <v>490</v>
      </c>
    </row>
    <row r="40" spans="1:16" x14ac:dyDescent="0.25">
      <c r="A40" t="s">
        <v>80</v>
      </c>
      <c r="B40" t="s">
        <v>126</v>
      </c>
      <c r="C40">
        <v>0</v>
      </c>
      <c r="D40">
        <v>5</v>
      </c>
      <c r="M40">
        <v>0</v>
      </c>
      <c r="N40" s="6">
        <v>0</v>
      </c>
      <c r="O40" s="9" t="s">
        <v>489</v>
      </c>
      <c r="P40" s="10" t="s">
        <v>490</v>
      </c>
    </row>
    <row r="41" spans="1:16" x14ac:dyDescent="0.25">
      <c r="A41" t="s">
        <v>80</v>
      </c>
      <c r="B41" t="s">
        <v>127</v>
      </c>
      <c r="C41">
        <v>0</v>
      </c>
      <c r="D41">
        <v>4</v>
      </c>
      <c r="M41">
        <v>0</v>
      </c>
      <c r="N41" s="6">
        <v>0</v>
      </c>
      <c r="O41" s="9" t="s">
        <v>489</v>
      </c>
      <c r="P41" s="10" t="s">
        <v>490</v>
      </c>
    </row>
    <row r="42" spans="1:16" x14ac:dyDescent="0.25">
      <c r="A42" t="s">
        <v>80</v>
      </c>
      <c r="B42" t="s">
        <v>128</v>
      </c>
      <c r="C42">
        <v>0</v>
      </c>
      <c r="D42">
        <v>5</v>
      </c>
      <c r="M42">
        <v>0</v>
      </c>
      <c r="N42" s="6">
        <v>0</v>
      </c>
      <c r="O42" s="9" t="s">
        <v>489</v>
      </c>
      <c r="P42" s="10" t="s">
        <v>490</v>
      </c>
    </row>
  </sheetData>
  <autoFilter ref="A18:P42"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I55"/>
  <sheetViews>
    <sheetView workbookViewId="0">
      <pane ySplit="11" topLeftCell="A12" activePane="bottomLeft" state="frozen"/>
      <selection pane="bottomLeft"/>
    </sheetView>
  </sheetViews>
  <sheetFormatPr defaultRowHeight="15" x14ac:dyDescent="0.25"/>
  <cols>
    <col min="1" max="1" width="23" customWidth="1"/>
    <col min="2" max="2" width="17" customWidth="1"/>
    <col min="3" max="3" width="16" customWidth="1"/>
    <col min="4" max="4" width="17" customWidth="1"/>
    <col min="5" max="5" width="15" customWidth="1"/>
    <col min="6" max="6" width="21" customWidth="1"/>
    <col min="7" max="7" width="19" customWidth="1"/>
    <col min="8" max="8" width="24" customWidth="1"/>
    <col min="9" max="9" width="22" customWidth="1"/>
  </cols>
  <sheetData>
    <row r="1" spans="1:9" ht="17.25" x14ac:dyDescent="0.3">
      <c r="A1" s="1" t="s">
        <v>51</v>
      </c>
    </row>
    <row r="2" spans="1:9" x14ac:dyDescent="0.25">
      <c r="A2" s="2" t="s">
        <v>53</v>
      </c>
    </row>
    <row r="3" spans="1:9" x14ac:dyDescent="0.25">
      <c r="A3" s="2" t="s">
        <v>98</v>
      </c>
    </row>
    <row r="4" spans="1:9" x14ac:dyDescent="0.25">
      <c r="A4" s="2" t="s">
        <v>491</v>
      </c>
    </row>
    <row r="6" spans="1:9" x14ac:dyDescent="0.25">
      <c r="A6" s="7" t="s">
        <v>100</v>
      </c>
    </row>
    <row r="7" spans="1:9" x14ac:dyDescent="0.25">
      <c r="A7" s="7" t="s">
        <v>101</v>
      </c>
    </row>
    <row r="8" spans="1:9" x14ac:dyDescent="0.25">
      <c r="A8" s="2" t="s">
        <v>492</v>
      </c>
    </row>
    <row r="9" spans="1:9" x14ac:dyDescent="0.25">
      <c r="A9" s="2" t="s">
        <v>493</v>
      </c>
    </row>
    <row r="11" spans="1:9" x14ac:dyDescent="0.25">
      <c r="A11" s="5" t="s">
        <v>108</v>
      </c>
      <c r="B11" s="5" t="s">
        <v>69</v>
      </c>
      <c r="C11" s="5" t="s">
        <v>109</v>
      </c>
      <c r="D11" s="5" t="s">
        <v>494</v>
      </c>
      <c r="E11" s="5" t="s">
        <v>495</v>
      </c>
      <c r="F11" s="5" t="s">
        <v>496</v>
      </c>
      <c r="G11" s="5" t="s">
        <v>497</v>
      </c>
      <c r="H11" s="5" t="s">
        <v>498</v>
      </c>
      <c r="I11" s="5" t="s">
        <v>499</v>
      </c>
    </row>
    <row r="12" spans="1:9" x14ac:dyDescent="0.25">
      <c r="A12" t="s">
        <v>123</v>
      </c>
      <c r="B12" t="s">
        <v>79</v>
      </c>
      <c r="C12" t="s">
        <v>124</v>
      </c>
      <c r="D12">
        <v>0</v>
      </c>
      <c r="E12">
        <v>253</v>
      </c>
      <c r="G12" s="8">
        <v>220.93</v>
      </c>
      <c r="I12" s="6">
        <v>0</v>
      </c>
    </row>
    <row r="13" spans="1:9" x14ac:dyDescent="0.25">
      <c r="A13" t="s">
        <v>123</v>
      </c>
      <c r="B13" t="s">
        <v>79</v>
      </c>
      <c r="C13" t="s">
        <v>126</v>
      </c>
      <c r="D13">
        <v>0</v>
      </c>
      <c r="E13">
        <v>253</v>
      </c>
      <c r="G13" s="8">
        <v>137.77000000000001</v>
      </c>
      <c r="I13" s="6">
        <v>0</v>
      </c>
    </row>
    <row r="14" spans="1:9" x14ac:dyDescent="0.25">
      <c r="A14" t="s">
        <v>123</v>
      </c>
      <c r="B14" t="s">
        <v>79</v>
      </c>
      <c r="C14" t="s">
        <v>127</v>
      </c>
      <c r="D14">
        <v>0</v>
      </c>
      <c r="E14">
        <v>253</v>
      </c>
      <c r="G14" s="8">
        <v>170.32</v>
      </c>
      <c r="I14" s="6">
        <v>0</v>
      </c>
    </row>
    <row r="15" spans="1:9" x14ac:dyDescent="0.25">
      <c r="A15" t="s">
        <v>123</v>
      </c>
      <c r="B15" t="s">
        <v>79</v>
      </c>
      <c r="C15" t="s">
        <v>128</v>
      </c>
      <c r="D15">
        <v>0</v>
      </c>
      <c r="E15">
        <v>253</v>
      </c>
      <c r="G15" s="8">
        <v>404.58</v>
      </c>
      <c r="I15" s="6">
        <v>2.3699999999999999E-2</v>
      </c>
    </row>
    <row r="16" spans="1:9" x14ac:dyDescent="0.25">
      <c r="A16" t="s">
        <v>123</v>
      </c>
      <c r="B16" t="s">
        <v>78</v>
      </c>
      <c r="C16" t="s">
        <v>124</v>
      </c>
      <c r="D16">
        <v>0</v>
      </c>
      <c r="E16">
        <v>132</v>
      </c>
      <c r="G16" s="8">
        <v>205.71</v>
      </c>
      <c r="I16" s="6">
        <v>2.2700000000000001E-2</v>
      </c>
    </row>
    <row r="17" spans="1:9" x14ac:dyDescent="0.25">
      <c r="A17" t="s">
        <v>123</v>
      </c>
      <c r="B17" t="s">
        <v>78</v>
      </c>
      <c r="C17" t="s">
        <v>126</v>
      </c>
      <c r="D17">
        <v>0</v>
      </c>
      <c r="E17">
        <v>132</v>
      </c>
      <c r="G17" s="8">
        <v>142.43</v>
      </c>
      <c r="I17" s="6">
        <v>0</v>
      </c>
    </row>
    <row r="18" spans="1:9" x14ac:dyDescent="0.25">
      <c r="A18" t="s">
        <v>123</v>
      </c>
      <c r="B18" t="s">
        <v>78</v>
      </c>
      <c r="C18" t="s">
        <v>127</v>
      </c>
      <c r="D18">
        <v>0</v>
      </c>
      <c r="E18">
        <v>132</v>
      </c>
      <c r="G18" s="8">
        <v>166.04</v>
      </c>
      <c r="I18" s="6">
        <v>3.0300000000000001E-2</v>
      </c>
    </row>
    <row r="19" spans="1:9" x14ac:dyDescent="0.25">
      <c r="A19" t="s">
        <v>123</v>
      </c>
      <c r="B19" t="s">
        <v>78</v>
      </c>
      <c r="C19" t="s">
        <v>128</v>
      </c>
      <c r="D19">
        <v>0</v>
      </c>
      <c r="E19">
        <v>132</v>
      </c>
      <c r="G19" s="8">
        <v>361.05</v>
      </c>
      <c r="I19" s="6">
        <v>0.1061</v>
      </c>
    </row>
    <row r="20" spans="1:9" x14ac:dyDescent="0.25">
      <c r="A20" t="s">
        <v>123</v>
      </c>
      <c r="B20" t="s">
        <v>75</v>
      </c>
      <c r="C20" t="s">
        <v>124</v>
      </c>
      <c r="D20">
        <v>369</v>
      </c>
      <c r="E20">
        <v>6841</v>
      </c>
      <c r="F20" s="8">
        <v>145.82</v>
      </c>
      <c r="G20" s="8">
        <v>169.72</v>
      </c>
      <c r="H20" s="6">
        <v>8.6699999999999999E-2</v>
      </c>
      <c r="I20" s="6">
        <v>1.0800000000000001E-2</v>
      </c>
    </row>
    <row r="21" spans="1:9" x14ac:dyDescent="0.25">
      <c r="A21" t="s">
        <v>123</v>
      </c>
      <c r="B21" t="s">
        <v>75</v>
      </c>
      <c r="C21" t="s">
        <v>126</v>
      </c>
      <c r="D21">
        <v>369</v>
      </c>
      <c r="E21">
        <v>6841</v>
      </c>
      <c r="F21" s="8">
        <v>91.44</v>
      </c>
      <c r="G21" s="8">
        <v>108.18</v>
      </c>
      <c r="H21" s="6">
        <v>0</v>
      </c>
      <c r="I21" s="6">
        <v>2.5000000000000001E-3</v>
      </c>
    </row>
    <row r="22" spans="1:9" x14ac:dyDescent="0.25">
      <c r="A22" t="s">
        <v>123</v>
      </c>
      <c r="B22" t="s">
        <v>75</v>
      </c>
      <c r="C22" t="s">
        <v>127</v>
      </c>
      <c r="D22">
        <v>369</v>
      </c>
      <c r="E22">
        <v>6841</v>
      </c>
      <c r="F22" s="8">
        <v>108.27</v>
      </c>
      <c r="G22" s="8">
        <v>133.79</v>
      </c>
      <c r="H22" s="6">
        <v>0.1084</v>
      </c>
      <c r="I22" s="6">
        <v>1.5299999999999999E-2</v>
      </c>
    </row>
    <row r="23" spans="1:9" x14ac:dyDescent="0.25">
      <c r="A23" t="s">
        <v>123</v>
      </c>
      <c r="B23" t="s">
        <v>75</v>
      </c>
      <c r="C23" t="s">
        <v>128</v>
      </c>
      <c r="D23">
        <v>369</v>
      </c>
      <c r="E23">
        <v>6841</v>
      </c>
      <c r="F23" s="8">
        <v>252.02</v>
      </c>
      <c r="G23" s="8">
        <v>266.75</v>
      </c>
      <c r="H23" s="6">
        <v>0.29270000000000002</v>
      </c>
      <c r="I23" s="6">
        <v>6.0199999999999997E-2</v>
      </c>
    </row>
    <row r="24" spans="1:9" x14ac:dyDescent="0.25">
      <c r="A24" t="s">
        <v>123</v>
      </c>
      <c r="B24" t="s">
        <v>77</v>
      </c>
      <c r="C24" t="s">
        <v>124</v>
      </c>
      <c r="D24">
        <v>0</v>
      </c>
      <c r="E24">
        <v>40</v>
      </c>
      <c r="G24" s="8">
        <v>176.56</v>
      </c>
      <c r="I24" s="6">
        <v>0</v>
      </c>
    </row>
    <row r="25" spans="1:9" x14ac:dyDescent="0.25">
      <c r="A25" t="s">
        <v>123</v>
      </c>
      <c r="B25" t="s">
        <v>77</v>
      </c>
      <c r="C25" t="s">
        <v>126</v>
      </c>
      <c r="D25">
        <v>0</v>
      </c>
      <c r="E25">
        <v>40</v>
      </c>
      <c r="G25" s="8">
        <v>122.31</v>
      </c>
      <c r="I25" s="6">
        <v>0</v>
      </c>
    </row>
    <row r="26" spans="1:9" x14ac:dyDescent="0.25">
      <c r="A26" t="s">
        <v>123</v>
      </c>
      <c r="B26" t="s">
        <v>77</v>
      </c>
      <c r="C26" t="s">
        <v>127</v>
      </c>
      <c r="D26">
        <v>0</v>
      </c>
      <c r="E26">
        <v>40</v>
      </c>
      <c r="G26" s="8">
        <v>145.96</v>
      </c>
      <c r="I26" s="6">
        <v>0</v>
      </c>
    </row>
    <row r="27" spans="1:9" x14ac:dyDescent="0.25">
      <c r="A27" t="s">
        <v>123</v>
      </c>
      <c r="B27" t="s">
        <v>77</v>
      </c>
      <c r="C27" t="s">
        <v>128</v>
      </c>
      <c r="D27">
        <v>0</v>
      </c>
      <c r="E27">
        <v>40</v>
      </c>
      <c r="G27" s="8">
        <v>355.09</v>
      </c>
      <c r="I27" s="6">
        <v>0</v>
      </c>
    </row>
    <row r="28" spans="1:9" x14ac:dyDescent="0.25">
      <c r="A28" t="s">
        <v>123</v>
      </c>
      <c r="B28" t="s">
        <v>76</v>
      </c>
      <c r="C28" t="s">
        <v>124</v>
      </c>
      <c r="D28">
        <v>0</v>
      </c>
      <c r="E28">
        <v>91</v>
      </c>
      <c r="G28" s="8">
        <v>173.56</v>
      </c>
      <c r="I28" s="6">
        <v>4.3999999999999997E-2</v>
      </c>
    </row>
    <row r="29" spans="1:9" x14ac:dyDescent="0.25">
      <c r="A29" t="s">
        <v>123</v>
      </c>
      <c r="B29" t="s">
        <v>76</v>
      </c>
      <c r="C29" t="s">
        <v>126</v>
      </c>
      <c r="D29">
        <v>0</v>
      </c>
      <c r="E29">
        <v>91</v>
      </c>
      <c r="G29" s="8">
        <v>105.5</v>
      </c>
      <c r="I29" s="6">
        <v>1.0999999999999999E-2</v>
      </c>
    </row>
    <row r="30" spans="1:9" x14ac:dyDescent="0.25">
      <c r="A30" t="s">
        <v>123</v>
      </c>
      <c r="B30" t="s">
        <v>76</v>
      </c>
      <c r="C30" t="s">
        <v>127</v>
      </c>
      <c r="D30">
        <v>0</v>
      </c>
      <c r="E30">
        <v>91</v>
      </c>
      <c r="G30" s="8">
        <v>124.11</v>
      </c>
      <c r="I30" s="6">
        <v>6.59E-2</v>
      </c>
    </row>
    <row r="31" spans="1:9" x14ac:dyDescent="0.25">
      <c r="A31" t="s">
        <v>123</v>
      </c>
      <c r="B31" t="s">
        <v>76</v>
      </c>
      <c r="C31" t="s">
        <v>128</v>
      </c>
      <c r="D31">
        <v>0</v>
      </c>
      <c r="E31">
        <v>91</v>
      </c>
      <c r="G31" s="8">
        <v>335.1</v>
      </c>
      <c r="I31" s="6">
        <v>0.15379999999999999</v>
      </c>
    </row>
    <row r="32" spans="1:9" x14ac:dyDescent="0.25">
      <c r="A32" t="s">
        <v>123</v>
      </c>
      <c r="B32" t="s">
        <v>80</v>
      </c>
      <c r="C32" t="s">
        <v>124</v>
      </c>
      <c r="D32">
        <v>4</v>
      </c>
      <c r="E32">
        <v>16</v>
      </c>
      <c r="F32" s="8">
        <v>156.19999999999999</v>
      </c>
      <c r="G32" s="8">
        <v>116.08</v>
      </c>
      <c r="H32" s="6">
        <v>0.75</v>
      </c>
      <c r="I32" s="6">
        <v>6.25E-2</v>
      </c>
    </row>
    <row r="33" spans="1:9" x14ac:dyDescent="0.25">
      <c r="A33" t="s">
        <v>123</v>
      </c>
      <c r="B33" t="s">
        <v>80</v>
      </c>
      <c r="C33" t="s">
        <v>126</v>
      </c>
      <c r="D33">
        <v>4</v>
      </c>
      <c r="E33">
        <v>16</v>
      </c>
      <c r="F33" s="8">
        <v>69.37</v>
      </c>
      <c r="G33" s="8">
        <v>60.75</v>
      </c>
      <c r="H33" s="6">
        <v>0</v>
      </c>
      <c r="I33" s="6">
        <v>0</v>
      </c>
    </row>
    <row r="34" spans="1:9" x14ac:dyDescent="0.25">
      <c r="A34" t="s">
        <v>123</v>
      </c>
      <c r="B34" t="s">
        <v>80</v>
      </c>
      <c r="C34" t="s">
        <v>127</v>
      </c>
      <c r="D34">
        <v>4</v>
      </c>
      <c r="E34">
        <v>16</v>
      </c>
      <c r="G34" s="8">
        <v>83.16</v>
      </c>
      <c r="H34" s="6">
        <v>1</v>
      </c>
      <c r="I34" s="6">
        <v>0</v>
      </c>
    </row>
    <row r="35" spans="1:9" x14ac:dyDescent="0.25">
      <c r="A35" t="s">
        <v>123</v>
      </c>
      <c r="B35" t="s">
        <v>80</v>
      </c>
      <c r="C35" t="s">
        <v>128</v>
      </c>
      <c r="D35">
        <v>4</v>
      </c>
      <c r="E35">
        <v>16</v>
      </c>
      <c r="F35" s="8">
        <v>176.47</v>
      </c>
      <c r="G35" s="8">
        <v>246.9</v>
      </c>
      <c r="H35" s="6">
        <v>0.75</v>
      </c>
      <c r="I35" s="6">
        <v>0.1875</v>
      </c>
    </row>
    <row r="36" spans="1:9" x14ac:dyDescent="0.25">
      <c r="A36" t="s">
        <v>134</v>
      </c>
      <c r="B36" t="s">
        <v>79</v>
      </c>
      <c r="C36" t="s">
        <v>124</v>
      </c>
      <c r="D36">
        <v>0</v>
      </c>
      <c r="E36">
        <v>1292</v>
      </c>
      <c r="G36" s="8">
        <v>539.84</v>
      </c>
      <c r="I36" s="6">
        <v>1.5E-3</v>
      </c>
    </row>
    <row r="37" spans="1:9" x14ac:dyDescent="0.25">
      <c r="A37" t="s">
        <v>134</v>
      </c>
      <c r="B37" t="s">
        <v>79</v>
      </c>
      <c r="C37" t="s">
        <v>126</v>
      </c>
      <c r="D37">
        <v>0</v>
      </c>
      <c r="E37">
        <v>645</v>
      </c>
      <c r="G37" s="8">
        <v>377.78</v>
      </c>
      <c r="I37" s="6">
        <v>0</v>
      </c>
    </row>
    <row r="38" spans="1:9" x14ac:dyDescent="0.25">
      <c r="A38" t="s">
        <v>134</v>
      </c>
      <c r="B38" t="s">
        <v>79</v>
      </c>
      <c r="C38" t="s">
        <v>127</v>
      </c>
      <c r="D38">
        <v>0</v>
      </c>
      <c r="E38">
        <v>646</v>
      </c>
      <c r="G38" s="8">
        <v>447.42</v>
      </c>
      <c r="I38" s="6">
        <v>1.5E-3</v>
      </c>
    </row>
    <row r="39" spans="1:9" x14ac:dyDescent="0.25">
      <c r="A39" t="s">
        <v>134</v>
      </c>
      <c r="B39" t="s">
        <v>79</v>
      </c>
      <c r="C39" t="s">
        <v>128</v>
      </c>
      <c r="D39">
        <v>0</v>
      </c>
      <c r="E39">
        <v>932</v>
      </c>
      <c r="G39" s="8">
        <v>925.99</v>
      </c>
      <c r="I39" s="6">
        <v>4.3E-3</v>
      </c>
    </row>
    <row r="40" spans="1:9" x14ac:dyDescent="0.25">
      <c r="A40" t="s">
        <v>134</v>
      </c>
      <c r="B40" t="s">
        <v>78</v>
      </c>
      <c r="C40" t="s">
        <v>124</v>
      </c>
      <c r="D40">
        <v>24</v>
      </c>
      <c r="E40">
        <v>1194</v>
      </c>
      <c r="F40" s="8">
        <v>166.46</v>
      </c>
      <c r="G40" s="8">
        <v>275.67</v>
      </c>
      <c r="H40" s="6">
        <v>0</v>
      </c>
      <c r="I40" s="6">
        <v>5.0000000000000001E-3</v>
      </c>
    </row>
    <row r="41" spans="1:9" x14ac:dyDescent="0.25">
      <c r="A41" t="s">
        <v>134</v>
      </c>
      <c r="B41" t="s">
        <v>78</v>
      </c>
      <c r="C41" t="s">
        <v>126</v>
      </c>
      <c r="D41">
        <v>12</v>
      </c>
      <c r="E41">
        <v>597</v>
      </c>
      <c r="F41" s="8">
        <v>91.17</v>
      </c>
      <c r="G41" s="8">
        <v>172.64</v>
      </c>
      <c r="H41" s="6">
        <v>0</v>
      </c>
      <c r="I41" s="6">
        <v>3.3999999999999998E-3</v>
      </c>
    </row>
    <row r="42" spans="1:9" x14ac:dyDescent="0.25">
      <c r="A42" t="s">
        <v>134</v>
      </c>
      <c r="B42" t="s">
        <v>78</v>
      </c>
      <c r="C42" t="s">
        <v>127</v>
      </c>
      <c r="D42">
        <v>12</v>
      </c>
      <c r="E42">
        <v>597</v>
      </c>
      <c r="F42" s="8">
        <v>107.24</v>
      </c>
      <c r="G42" s="8">
        <v>200.83</v>
      </c>
      <c r="H42" s="6">
        <v>0</v>
      </c>
      <c r="I42" s="6">
        <v>3.3999999999999998E-3</v>
      </c>
    </row>
    <row r="43" spans="1:9" x14ac:dyDescent="0.25">
      <c r="A43" t="s">
        <v>134</v>
      </c>
      <c r="B43" t="s">
        <v>78</v>
      </c>
      <c r="C43" t="s">
        <v>128</v>
      </c>
      <c r="D43">
        <v>16</v>
      </c>
      <c r="E43">
        <v>1008</v>
      </c>
      <c r="F43" s="8">
        <v>403.49</v>
      </c>
      <c r="G43" s="8">
        <v>557.62</v>
      </c>
      <c r="H43" s="6">
        <v>0.3125</v>
      </c>
      <c r="I43" s="6">
        <v>8.8999999999999999E-3</v>
      </c>
    </row>
    <row r="44" spans="1:9" x14ac:dyDescent="0.25">
      <c r="A44" t="s">
        <v>134</v>
      </c>
      <c r="B44" t="s">
        <v>75</v>
      </c>
      <c r="C44" t="s">
        <v>124</v>
      </c>
      <c r="D44">
        <v>246</v>
      </c>
      <c r="E44">
        <v>6952</v>
      </c>
      <c r="F44" s="8">
        <v>155.97</v>
      </c>
      <c r="G44" s="8">
        <v>215.67</v>
      </c>
      <c r="H44" s="6">
        <v>1.6299999999999999E-2</v>
      </c>
      <c r="I44" s="6">
        <v>4.4999999999999997E-3</v>
      </c>
    </row>
    <row r="45" spans="1:9" x14ac:dyDescent="0.25">
      <c r="A45" t="s">
        <v>134</v>
      </c>
      <c r="B45" t="s">
        <v>75</v>
      </c>
      <c r="C45" t="s">
        <v>126</v>
      </c>
      <c r="D45">
        <v>123</v>
      </c>
      <c r="E45">
        <v>3476</v>
      </c>
      <c r="F45" s="8">
        <v>90.23</v>
      </c>
      <c r="G45" s="8">
        <v>144.68</v>
      </c>
      <c r="H45" s="6">
        <v>0</v>
      </c>
      <c r="I45" s="6">
        <v>2.9999999999999997E-4</v>
      </c>
    </row>
    <row r="46" spans="1:9" x14ac:dyDescent="0.25">
      <c r="A46" t="s">
        <v>134</v>
      </c>
      <c r="B46" t="s">
        <v>75</v>
      </c>
      <c r="C46" t="s">
        <v>127</v>
      </c>
      <c r="D46">
        <v>123</v>
      </c>
      <c r="E46">
        <v>3473</v>
      </c>
      <c r="F46" s="8">
        <v>107.55</v>
      </c>
      <c r="G46" s="8">
        <v>164.79</v>
      </c>
      <c r="H46" s="6">
        <v>3.2500000000000001E-2</v>
      </c>
      <c r="I46" s="6">
        <v>2.9100000000000001E-2</v>
      </c>
    </row>
    <row r="47" spans="1:9" x14ac:dyDescent="0.25">
      <c r="A47" t="s">
        <v>134</v>
      </c>
      <c r="B47" t="s">
        <v>75</v>
      </c>
      <c r="C47" t="s">
        <v>128</v>
      </c>
      <c r="D47">
        <v>195</v>
      </c>
      <c r="E47">
        <v>5366</v>
      </c>
      <c r="F47" s="8">
        <v>396.02</v>
      </c>
      <c r="G47" s="8">
        <v>508.22</v>
      </c>
      <c r="H47" s="6">
        <v>6.6699999999999995E-2</v>
      </c>
      <c r="I47" s="6">
        <v>5.5999999999999999E-3</v>
      </c>
    </row>
    <row r="48" spans="1:9" x14ac:dyDescent="0.25">
      <c r="A48" t="s">
        <v>134</v>
      </c>
      <c r="B48" t="s">
        <v>77</v>
      </c>
      <c r="C48" t="s">
        <v>124</v>
      </c>
      <c r="D48">
        <v>0</v>
      </c>
      <c r="E48">
        <v>716</v>
      </c>
      <c r="G48" s="8">
        <v>466.1</v>
      </c>
      <c r="I48" s="6">
        <v>4.1999999999999997E-3</v>
      </c>
    </row>
    <row r="49" spans="1:9" x14ac:dyDescent="0.25">
      <c r="A49" t="s">
        <v>134</v>
      </c>
      <c r="B49" t="s">
        <v>77</v>
      </c>
      <c r="C49" t="s">
        <v>126</v>
      </c>
      <c r="D49">
        <v>0</v>
      </c>
      <c r="E49">
        <v>358</v>
      </c>
      <c r="G49" s="8">
        <v>306.51</v>
      </c>
      <c r="I49" s="6">
        <v>0</v>
      </c>
    </row>
    <row r="50" spans="1:9" x14ac:dyDescent="0.25">
      <c r="A50" t="s">
        <v>134</v>
      </c>
      <c r="B50" t="s">
        <v>77</v>
      </c>
      <c r="C50" t="s">
        <v>127</v>
      </c>
      <c r="D50">
        <v>0</v>
      </c>
      <c r="E50">
        <v>358</v>
      </c>
      <c r="G50" s="8">
        <v>333.79</v>
      </c>
      <c r="I50" s="6">
        <v>0</v>
      </c>
    </row>
    <row r="51" spans="1:9" x14ac:dyDescent="0.25">
      <c r="A51" t="s">
        <v>134</v>
      </c>
      <c r="B51" t="s">
        <v>77</v>
      </c>
      <c r="C51" t="s">
        <v>128</v>
      </c>
      <c r="D51">
        <v>0</v>
      </c>
      <c r="E51">
        <v>523</v>
      </c>
      <c r="G51" s="8">
        <v>805.22</v>
      </c>
      <c r="I51" s="6">
        <v>2.4899999999999999E-2</v>
      </c>
    </row>
    <row r="52" spans="1:9" x14ac:dyDescent="0.25">
      <c r="A52" t="s">
        <v>134</v>
      </c>
      <c r="B52" t="s">
        <v>76</v>
      </c>
      <c r="C52" t="s">
        <v>124</v>
      </c>
      <c r="D52">
        <v>44</v>
      </c>
      <c r="E52">
        <v>1627</v>
      </c>
      <c r="F52" s="8">
        <v>215</v>
      </c>
      <c r="G52" s="8">
        <v>401.61</v>
      </c>
      <c r="H52" s="6">
        <v>0.18179999999999999</v>
      </c>
      <c r="I52" s="6">
        <v>1.6E-2</v>
      </c>
    </row>
    <row r="53" spans="1:9" x14ac:dyDescent="0.25">
      <c r="A53" t="s">
        <v>134</v>
      </c>
      <c r="B53" t="s">
        <v>76</v>
      </c>
      <c r="C53" t="s">
        <v>126</v>
      </c>
      <c r="D53">
        <v>21</v>
      </c>
      <c r="E53">
        <v>814</v>
      </c>
      <c r="F53" s="8">
        <v>127.09</v>
      </c>
      <c r="G53" s="8">
        <v>254.77</v>
      </c>
      <c r="H53" s="6">
        <v>4.7600000000000003E-2</v>
      </c>
      <c r="I53" s="6">
        <v>9.7999999999999997E-3</v>
      </c>
    </row>
    <row r="54" spans="1:9" x14ac:dyDescent="0.25">
      <c r="A54" t="s">
        <v>134</v>
      </c>
      <c r="B54" t="s">
        <v>76</v>
      </c>
      <c r="C54" t="s">
        <v>127</v>
      </c>
      <c r="D54">
        <v>22</v>
      </c>
      <c r="E54">
        <v>814</v>
      </c>
      <c r="F54" s="8">
        <v>155.26</v>
      </c>
      <c r="G54" s="8">
        <v>281.94</v>
      </c>
      <c r="H54" s="6">
        <v>0.31819999999999998</v>
      </c>
      <c r="I54" s="6">
        <v>0.13270000000000001</v>
      </c>
    </row>
    <row r="55" spans="1:9" x14ac:dyDescent="0.25">
      <c r="A55" t="s">
        <v>134</v>
      </c>
      <c r="B55" t="s">
        <v>76</v>
      </c>
      <c r="C55" t="s">
        <v>128</v>
      </c>
      <c r="D55">
        <v>29</v>
      </c>
      <c r="E55">
        <v>1183</v>
      </c>
      <c r="F55" s="8">
        <v>568.74</v>
      </c>
      <c r="G55" s="8">
        <v>719.61</v>
      </c>
      <c r="H55" s="6">
        <v>0.10340000000000001</v>
      </c>
      <c r="I55" s="6">
        <v>5.8999999999999999E-3</v>
      </c>
    </row>
  </sheetData>
  <autoFilter ref="A11:I55"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0EFC-8B7C-4CE2-8A4A-2EAF17F7D144}">
  <sheetPr codeName="Sheet9"/>
  <dimension ref="B2:J31"/>
  <sheetViews>
    <sheetView tabSelected="1" topLeftCell="A13" zoomScaleNormal="100" workbookViewId="0">
      <selection activeCell="P39" sqref="P39"/>
    </sheetView>
  </sheetViews>
  <sheetFormatPr defaultRowHeight="15" x14ac:dyDescent="0.25"/>
  <cols>
    <col min="3" max="5" width="9.7109375" bestFit="1" customWidth="1"/>
    <col min="6" max="6" width="9.28515625" bestFit="1" customWidth="1"/>
  </cols>
  <sheetData>
    <row r="2" spans="2:6" x14ac:dyDescent="0.25">
      <c r="B2" t="s">
        <v>828</v>
      </c>
      <c r="C2" t="s">
        <v>134</v>
      </c>
      <c r="D2" t="s">
        <v>123</v>
      </c>
      <c r="E2" t="s">
        <v>830</v>
      </c>
      <c r="F2" t="s">
        <v>829</v>
      </c>
    </row>
    <row r="3" spans="2:6" x14ac:dyDescent="0.25">
      <c r="B3" s="11">
        <v>46296</v>
      </c>
      <c r="C3" s="12">
        <v>156.22999999999999</v>
      </c>
      <c r="D3" s="12">
        <v>154.28</v>
      </c>
      <c r="E3" s="12">
        <f t="shared" ref="E3:E27" si="0">D3</f>
        <v>154.28</v>
      </c>
      <c r="F3" s="12">
        <f t="shared" ref="F3:F27" si="1">C3-D3</f>
        <v>1.9499999999999886</v>
      </c>
    </row>
    <row r="4" spans="2:6" x14ac:dyDescent="0.25">
      <c r="B4" s="11">
        <f t="shared" ref="B4:B27" si="2">EDATE(B3,1)</f>
        <v>46327</v>
      </c>
      <c r="C4" s="12">
        <v>156.59</v>
      </c>
      <c r="D4" s="12">
        <v>152.31</v>
      </c>
      <c r="E4" s="12">
        <f t="shared" si="0"/>
        <v>152.31</v>
      </c>
      <c r="F4" s="12">
        <f t="shared" si="1"/>
        <v>4.2800000000000011</v>
      </c>
    </row>
    <row r="5" spans="2:6" x14ac:dyDescent="0.25">
      <c r="B5" s="11">
        <f t="shared" si="2"/>
        <v>46357</v>
      </c>
      <c r="C5" s="12">
        <v>221.64</v>
      </c>
      <c r="D5" s="12">
        <v>187.13</v>
      </c>
      <c r="E5" s="12">
        <f t="shared" si="0"/>
        <v>187.13</v>
      </c>
      <c r="F5" s="12">
        <f t="shared" si="1"/>
        <v>34.509999999999991</v>
      </c>
    </row>
    <row r="6" spans="2:6" x14ac:dyDescent="0.25">
      <c r="B6" s="11">
        <f t="shared" si="2"/>
        <v>46388</v>
      </c>
      <c r="C6" s="12">
        <v>166.84</v>
      </c>
      <c r="D6" s="12">
        <v>140.97999999999999</v>
      </c>
      <c r="E6" s="12">
        <f t="shared" si="0"/>
        <v>140.97999999999999</v>
      </c>
      <c r="F6" s="12">
        <f t="shared" si="1"/>
        <v>25.860000000000014</v>
      </c>
    </row>
    <row r="7" spans="2:6" x14ac:dyDescent="0.25">
      <c r="B7" s="11">
        <f t="shared" si="2"/>
        <v>46419</v>
      </c>
      <c r="C7" s="12">
        <v>189.04</v>
      </c>
      <c r="D7" s="12">
        <v>145.69</v>
      </c>
      <c r="E7" s="12">
        <f t="shared" si="0"/>
        <v>145.69</v>
      </c>
      <c r="F7" s="12">
        <f t="shared" si="1"/>
        <v>43.349999999999994</v>
      </c>
    </row>
    <row r="8" spans="2:6" x14ac:dyDescent="0.25">
      <c r="B8" s="11">
        <f t="shared" si="2"/>
        <v>46447</v>
      </c>
      <c r="C8" s="12">
        <v>190.45</v>
      </c>
      <c r="D8" s="12">
        <v>177.76</v>
      </c>
      <c r="E8" s="12">
        <f t="shared" si="0"/>
        <v>177.76</v>
      </c>
      <c r="F8" s="12">
        <f t="shared" si="1"/>
        <v>12.689999999999998</v>
      </c>
    </row>
    <row r="9" spans="2:6" x14ac:dyDescent="0.25">
      <c r="B9" s="11">
        <f t="shared" si="2"/>
        <v>46478</v>
      </c>
      <c r="C9" s="12">
        <v>187.4</v>
      </c>
      <c r="D9" s="12">
        <v>159.29</v>
      </c>
      <c r="E9" s="12">
        <f t="shared" si="0"/>
        <v>159.29</v>
      </c>
      <c r="F9" s="12">
        <f t="shared" si="1"/>
        <v>28.110000000000014</v>
      </c>
    </row>
    <row r="10" spans="2:6" x14ac:dyDescent="0.25">
      <c r="B10" s="11">
        <f t="shared" si="2"/>
        <v>46508</v>
      </c>
      <c r="C10" s="12">
        <v>193.51</v>
      </c>
      <c r="D10" s="12">
        <v>176.7</v>
      </c>
      <c r="E10" s="12">
        <f t="shared" si="0"/>
        <v>176.7</v>
      </c>
      <c r="F10" s="12">
        <f t="shared" si="1"/>
        <v>16.810000000000002</v>
      </c>
    </row>
    <row r="11" spans="2:6" x14ac:dyDescent="0.25">
      <c r="B11" s="11">
        <f t="shared" si="2"/>
        <v>46539</v>
      </c>
      <c r="C11" s="12">
        <v>228.54</v>
      </c>
      <c r="D11" s="12">
        <v>216.98</v>
      </c>
      <c r="E11" s="12">
        <f t="shared" si="0"/>
        <v>216.98</v>
      </c>
      <c r="F11" s="12">
        <f t="shared" si="1"/>
        <v>11.560000000000002</v>
      </c>
    </row>
    <row r="12" spans="2:6" x14ac:dyDescent="0.25">
      <c r="B12" s="11">
        <f t="shared" si="2"/>
        <v>46569</v>
      </c>
      <c r="C12" s="12">
        <v>238.75</v>
      </c>
      <c r="D12" s="12">
        <v>217.31</v>
      </c>
      <c r="E12" s="12">
        <f t="shared" si="0"/>
        <v>217.31</v>
      </c>
      <c r="F12" s="12">
        <f t="shared" si="1"/>
        <v>21.439999999999998</v>
      </c>
    </row>
    <row r="13" spans="2:6" x14ac:dyDescent="0.25">
      <c r="B13" s="11">
        <f t="shared" si="2"/>
        <v>46600</v>
      </c>
      <c r="C13" s="12">
        <v>215.92</v>
      </c>
      <c r="D13" s="12">
        <v>163.95</v>
      </c>
      <c r="E13" s="12">
        <f t="shared" si="0"/>
        <v>163.95</v>
      </c>
      <c r="F13" s="12">
        <f t="shared" si="1"/>
        <v>51.97</v>
      </c>
    </row>
    <row r="14" spans="2:6" x14ac:dyDescent="0.25">
      <c r="B14" s="11">
        <f t="shared" si="2"/>
        <v>46631</v>
      </c>
      <c r="C14" s="12">
        <v>196.29</v>
      </c>
      <c r="D14" s="12">
        <v>146.09</v>
      </c>
      <c r="E14" s="12">
        <f t="shared" si="0"/>
        <v>146.09</v>
      </c>
      <c r="F14" s="12">
        <f t="shared" si="1"/>
        <v>50.199999999999989</v>
      </c>
    </row>
    <row r="15" spans="2:6" x14ac:dyDescent="0.25">
      <c r="B15" s="11">
        <f t="shared" si="2"/>
        <v>46661</v>
      </c>
      <c r="C15" s="12">
        <v>198.98</v>
      </c>
      <c r="D15" s="12">
        <v>146.78</v>
      </c>
      <c r="E15" s="12">
        <f t="shared" si="0"/>
        <v>146.78</v>
      </c>
      <c r="F15" s="12">
        <f t="shared" si="1"/>
        <v>52.199999999999989</v>
      </c>
    </row>
    <row r="16" spans="2:6" x14ac:dyDescent="0.25">
      <c r="B16" s="11">
        <f t="shared" si="2"/>
        <v>46692</v>
      </c>
      <c r="C16" s="12">
        <v>215.65</v>
      </c>
      <c r="D16" s="12">
        <v>155.83000000000001</v>
      </c>
      <c r="E16" s="12">
        <f t="shared" si="0"/>
        <v>155.83000000000001</v>
      </c>
      <c r="F16" s="12">
        <f t="shared" si="1"/>
        <v>59.819999999999993</v>
      </c>
    </row>
    <row r="17" spans="2:10" x14ac:dyDescent="0.25">
      <c r="B17" s="11">
        <f t="shared" si="2"/>
        <v>46722</v>
      </c>
      <c r="C17" s="12">
        <v>261.35000000000002</v>
      </c>
      <c r="D17" s="12">
        <v>192.66</v>
      </c>
      <c r="E17" s="12">
        <f t="shared" si="0"/>
        <v>192.66</v>
      </c>
      <c r="F17" s="12">
        <f t="shared" si="1"/>
        <v>68.690000000000026</v>
      </c>
    </row>
    <row r="18" spans="2:10" x14ac:dyDescent="0.25">
      <c r="B18" s="11">
        <f t="shared" si="2"/>
        <v>46753</v>
      </c>
      <c r="C18" s="12">
        <v>205.98</v>
      </c>
      <c r="D18" s="12">
        <v>143.61000000000001</v>
      </c>
      <c r="E18" s="12">
        <f t="shared" si="0"/>
        <v>143.61000000000001</v>
      </c>
      <c r="F18" s="12">
        <f t="shared" si="1"/>
        <v>62.369999999999976</v>
      </c>
    </row>
    <row r="19" spans="2:10" x14ac:dyDescent="0.25">
      <c r="B19" s="11">
        <f t="shared" si="2"/>
        <v>46784</v>
      </c>
      <c r="C19" s="12">
        <v>219.24</v>
      </c>
      <c r="D19" s="12">
        <v>149.54</v>
      </c>
      <c r="E19" s="12">
        <f t="shared" si="0"/>
        <v>149.54</v>
      </c>
      <c r="F19" s="12">
        <f t="shared" si="1"/>
        <v>69.700000000000017</v>
      </c>
    </row>
    <row r="20" spans="2:10" x14ac:dyDescent="0.25">
      <c r="B20" s="11">
        <f t="shared" si="2"/>
        <v>46813</v>
      </c>
      <c r="C20" s="12">
        <v>227.07</v>
      </c>
      <c r="D20" s="12">
        <v>170.98</v>
      </c>
      <c r="E20" s="12">
        <f t="shared" si="0"/>
        <v>170.98</v>
      </c>
      <c r="F20" s="12">
        <f t="shared" si="1"/>
        <v>56.09</v>
      </c>
    </row>
    <row r="21" spans="2:10" x14ac:dyDescent="0.25">
      <c r="B21" s="11">
        <f t="shared" si="2"/>
        <v>46844</v>
      </c>
      <c r="C21" s="12">
        <v>232.85</v>
      </c>
      <c r="D21" s="12">
        <v>175.13</v>
      </c>
      <c r="E21" s="12">
        <f t="shared" si="0"/>
        <v>175.13</v>
      </c>
      <c r="F21" s="12">
        <f t="shared" si="1"/>
        <v>57.72</v>
      </c>
    </row>
    <row r="22" spans="2:10" x14ac:dyDescent="0.25">
      <c r="B22" s="11">
        <f t="shared" si="2"/>
        <v>46874</v>
      </c>
      <c r="C22" s="12">
        <v>232.82</v>
      </c>
      <c r="D22" s="12">
        <v>180.47</v>
      </c>
      <c r="E22" s="12">
        <f t="shared" si="0"/>
        <v>180.47</v>
      </c>
      <c r="F22" s="12">
        <f t="shared" si="1"/>
        <v>52.349999999999994</v>
      </c>
    </row>
    <row r="23" spans="2:10" x14ac:dyDescent="0.25">
      <c r="B23" s="11">
        <f t="shared" si="2"/>
        <v>46905</v>
      </c>
      <c r="C23" s="12">
        <v>261.27</v>
      </c>
      <c r="D23" s="12">
        <v>213.87</v>
      </c>
      <c r="E23" s="12">
        <f t="shared" si="0"/>
        <v>213.87</v>
      </c>
      <c r="F23" s="12">
        <f t="shared" si="1"/>
        <v>47.399999999999977</v>
      </c>
    </row>
    <row r="24" spans="2:10" x14ac:dyDescent="0.25">
      <c r="B24" s="11">
        <f t="shared" si="2"/>
        <v>46935</v>
      </c>
      <c r="C24" s="12">
        <v>269.10000000000002</v>
      </c>
      <c r="D24" s="12">
        <v>207.35</v>
      </c>
      <c r="E24" s="12">
        <f t="shared" si="0"/>
        <v>207.35</v>
      </c>
      <c r="F24" s="12">
        <f t="shared" si="1"/>
        <v>61.750000000000028</v>
      </c>
    </row>
    <row r="25" spans="2:10" x14ac:dyDescent="0.25">
      <c r="B25" s="11">
        <f t="shared" si="2"/>
        <v>46966</v>
      </c>
      <c r="C25" s="12">
        <v>243.58</v>
      </c>
      <c r="D25" s="12">
        <v>158.65</v>
      </c>
      <c r="E25" s="12">
        <f t="shared" si="0"/>
        <v>158.65</v>
      </c>
      <c r="F25" s="12">
        <f t="shared" si="1"/>
        <v>84.93</v>
      </c>
    </row>
    <row r="26" spans="2:10" x14ac:dyDescent="0.25">
      <c r="B26" s="11">
        <f t="shared" si="2"/>
        <v>46997</v>
      </c>
      <c r="C26" s="12">
        <v>222.55</v>
      </c>
      <c r="D26" s="12">
        <v>144.38999999999999</v>
      </c>
      <c r="E26" s="12">
        <f t="shared" si="0"/>
        <v>144.38999999999999</v>
      </c>
      <c r="F26" s="12">
        <f t="shared" si="1"/>
        <v>78.160000000000025</v>
      </c>
    </row>
    <row r="27" spans="2:10" x14ac:dyDescent="0.25">
      <c r="B27" s="11">
        <f t="shared" si="2"/>
        <v>47027</v>
      </c>
      <c r="C27" s="12">
        <v>214.42</v>
      </c>
      <c r="D27" s="12">
        <v>143.80000000000001</v>
      </c>
      <c r="E27" s="12">
        <f t="shared" si="0"/>
        <v>143.80000000000001</v>
      </c>
      <c r="F27" s="12">
        <f t="shared" si="1"/>
        <v>70.619999999999976</v>
      </c>
    </row>
    <row r="29" spans="2:10" x14ac:dyDescent="0.25">
      <c r="B29" t="s">
        <v>839</v>
      </c>
      <c r="C29" t="s">
        <v>831</v>
      </c>
      <c r="D29" t="s">
        <v>832</v>
      </c>
      <c r="E29" t="s">
        <v>833</v>
      </c>
      <c r="F29" t="s">
        <v>834</v>
      </c>
      <c r="G29" t="s">
        <v>835</v>
      </c>
      <c r="H29" t="s">
        <v>836</v>
      </c>
      <c r="I29" t="s">
        <v>837</v>
      </c>
      <c r="J29" t="s">
        <v>838</v>
      </c>
    </row>
    <row r="30" spans="2:10" x14ac:dyDescent="0.25">
      <c r="B30" t="s">
        <v>840</v>
      </c>
      <c r="C30" s="12">
        <f>'[1]Model Drivers'!BE39</f>
        <v>232.46890584195464</v>
      </c>
      <c r="D30" s="12">
        <f>'[1]Model Drivers'!BF39</f>
        <v>256.42599994011226</v>
      </c>
      <c r="E30" s="12">
        <f>'[1]Model Drivers'!BG39</f>
        <v>269.60180553355275</v>
      </c>
      <c r="F30" s="12">
        <f>'[1]Model Drivers'!BH39</f>
        <v>216.37563805376715</v>
      </c>
      <c r="G30" s="12">
        <f>'[1]Model Drivers'!BJ39</f>
        <v>215.01537914756761</v>
      </c>
      <c r="H30" s="12">
        <f>'[1]Model Drivers'!BK39</f>
        <v>232.09663710541403</v>
      </c>
      <c r="I30" s="12">
        <f>'[1]Model Drivers'!BL39</f>
        <v>262.18989029768102</v>
      </c>
      <c r="J30" s="12">
        <f>'[1]Model Drivers'!BM39</f>
        <v>214.08323508798426</v>
      </c>
    </row>
    <row r="31" spans="2:10" x14ac:dyDescent="0.25">
      <c r="B31" t="s">
        <v>841</v>
      </c>
      <c r="C31" s="12"/>
      <c r="D31" s="12"/>
      <c r="E31" s="12">
        <f>[2]Drivers!FH56</f>
        <v>275.59979368045333</v>
      </c>
      <c r="F31" s="12">
        <f>[2]Drivers!FI56</f>
        <v>222.68935715444425</v>
      </c>
      <c r="G31" s="12">
        <f>[2]Drivers!FK56</f>
        <v>219.68311602064713</v>
      </c>
      <c r="H31" s="12">
        <f>[2]Drivers!FL56</f>
        <v>248.73321994190889</v>
      </c>
      <c r="I31" s="12">
        <f>[2]Drivers!FM56</f>
        <v>275.59979368045333</v>
      </c>
      <c r="J31" s="12">
        <f>[2]Drivers!FN56</f>
        <v>223.80280394021645</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filterMode="1"/>
  <dimension ref="A1:S2298"/>
  <sheetViews>
    <sheetView topLeftCell="B2271" zoomScaleNormal="100" workbookViewId="0">
      <selection activeCell="C2273" sqref="C2273"/>
    </sheetView>
  </sheetViews>
  <sheetFormatPr defaultRowHeight="15" x14ac:dyDescent="0.25"/>
  <cols>
    <col min="1" max="1" width="22" customWidth="1"/>
    <col min="2" max="2" width="9" customWidth="1"/>
    <col min="3" max="3" width="16" customWidth="1"/>
    <col min="4" max="4" width="9" customWidth="1"/>
    <col min="5" max="5" width="12" customWidth="1"/>
    <col min="6" max="6" width="13" customWidth="1"/>
    <col min="7" max="7" width="17" customWidth="1"/>
    <col min="8" max="8" width="12" customWidth="1"/>
    <col min="9" max="9" width="11" customWidth="1"/>
    <col min="10" max="11" width="15" customWidth="1"/>
    <col min="12" max="12" width="24" customWidth="1"/>
    <col min="13" max="13" width="13" customWidth="1"/>
    <col min="14" max="16" width="15" customWidth="1"/>
    <col min="17" max="17" width="18" customWidth="1"/>
    <col min="18" max="18" width="17" customWidth="1"/>
    <col min="19" max="19" width="30" customWidth="1"/>
  </cols>
  <sheetData>
    <row r="1" spans="1:1" ht="17.25" x14ac:dyDescent="0.3">
      <c r="A1" s="1" t="s">
        <v>54</v>
      </c>
    </row>
    <row r="2" spans="1:1" x14ac:dyDescent="0.25">
      <c r="A2" s="2" t="s">
        <v>56</v>
      </c>
    </row>
    <row r="3" spans="1:1" x14ac:dyDescent="0.25">
      <c r="A3" s="2" t="s">
        <v>387</v>
      </c>
    </row>
    <row r="4" spans="1:1" x14ac:dyDescent="0.25">
      <c r="A4" s="2" t="s">
        <v>500</v>
      </c>
    </row>
    <row r="6" spans="1:1" x14ac:dyDescent="0.25">
      <c r="A6" s="7" t="s">
        <v>100</v>
      </c>
    </row>
    <row r="7" spans="1:1" x14ac:dyDescent="0.25">
      <c r="A7" s="7" t="s">
        <v>101</v>
      </c>
    </row>
    <row r="8" spans="1:1" x14ac:dyDescent="0.25">
      <c r="A8" s="7" t="s">
        <v>501</v>
      </c>
    </row>
    <row r="9" spans="1:1" x14ac:dyDescent="0.25">
      <c r="A9" s="7" t="s">
        <v>502</v>
      </c>
    </row>
    <row r="10" spans="1:1" x14ac:dyDescent="0.25">
      <c r="A10" s="7" t="s">
        <v>389</v>
      </c>
    </row>
    <row r="11" spans="1:1" x14ac:dyDescent="0.25">
      <c r="A11" s="2" t="s">
        <v>503</v>
      </c>
    </row>
    <row r="12" spans="1:1" x14ac:dyDescent="0.25">
      <c r="A12" s="2" t="s">
        <v>504</v>
      </c>
    </row>
    <row r="13" spans="1:1" x14ac:dyDescent="0.25">
      <c r="A13" s="2" t="s">
        <v>505</v>
      </c>
    </row>
    <row r="14" spans="1:1" x14ac:dyDescent="0.25">
      <c r="A14" s="2" t="s">
        <v>506</v>
      </c>
    </row>
    <row r="15" spans="1:1" x14ac:dyDescent="0.25">
      <c r="A15" s="2" t="s">
        <v>507</v>
      </c>
    </row>
    <row r="16" spans="1:1" x14ac:dyDescent="0.25">
      <c r="A16" s="2" t="s">
        <v>508</v>
      </c>
    </row>
    <row r="18" spans="1:19" x14ac:dyDescent="0.25">
      <c r="A18" s="5" t="s">
        <v>108</v>
      </c>
      <c r="B18" s="5" t="s">
        <v>69</v>
      </c>
      <c r="C18" s="5" t="s">
        <v>109</v>
      </c>
      <c r="D18" s="5" t="s">
        <v>509</v>
      </c>
      <c r="E18" s="5" t="s">
        <v>510</v>
      </c>
      <c r="F18" s="5" t="s">
        <v>511</v>
      </c>
      <c r="G18" s="5" t="s">
        <v>512</v>
      </c>
      <c r="H18" s="5" t="s">
        <v>513</v>
      </c>
      <c r="I18" s="5" t="s">
        <v>514</v>
      </c>
      <c r="J18" s="5" t="s">
        <v>515</v>
      </c>
      <c r="K18" s="5" t="s">
        <v>516</v>
      </c>
      <c r="L18" s="5" t="s">
        <v>517</v>
      </c>
      <c r="M18" s="5" t="s">
        <v>518</v>
      </c>
      <c r="N18" s="5" t="s">
        <v>519</v>
      </c>
      <c r="O18" s="5" t="s">
        <v>520</v>
      </c>
      <c r="P18" s="5" t="s">
        <v>521</v>
      </c>
      <c r="Q18" s="5" t="s">
        <v>522</v>
      </c>
      <c r="R18" s="5" t="s">
        <v>523</v>
      </c>
      <c r="S18" s="5" t="s">
        <v>122</v>
      </c>
    </row>
    <row r="19" spans="1:19" hidden="1" x14ac:dyDescent="0.25">
      <c r="A19" t="s">
        <v>123</v>
      </c>
      <c r="B19" t="s">
        <v>79</v>
      </c>
      <c r="C19" t="s">
        <v>124</v>
      </c>
      <c r="D19" t="s">
        <v>524</v>
      </c>
      <c r="E19" t="s">
        <v>90</v>
      </c>
      <c r="F19" t="s">
        <v>90</v>
      </c>
      <c r="G19">
        <v>0</v>
      </c>
      <c r="H19">
        <v>3</v>
      </c>
      <c r="I19">
        <v>3</v>
      </c>
      <c r="J19">
        <v>3</v>
      </c>
      <c r="K19" s="6">
        <v>100</v>
      </c>
      <c r="L19" s="6">
        <v>0</v>
      </c>
      <c r="M19" s="6">
        <v>100</v>
      </c>
      <c r="N19">
        <v>0</v>
      </c>
      <c r="O19" s="6">
        <v>0</v>
      </c>
      <c r="P19">
        <v>0</v>
      </c>
      <c r="Q19" s="8">
        <v>185.57</v>
      </c>
      <c r="R19" s="8">
        <v>185.57</v>
      </c>
      <c r="S19" s="9" t="s">
        <v>525</v>
      </c>
    </row>
    <row r="20" spans="1:19" hidden="1" x14ac:dyDescent="0.25">
      <c r="A20" t="s">
        <v>123</v>
      </c>
      <c r="B20" t="s">
        <v>79</v>
      </c>
      <c r="C20" t="s">
        <v>124</v>
      </c>
      <c r="D20" t="s">
        <v>524</v>
      </c>
      <c r="E20" t="s">
        <v>90</v>
      </c>
      <c r="F20" t="s">
        <v>91</v>
      </c>
      <c r="G20">
        <v>1</v>
      </c>
      <c r="H20">
        <v>3</v>
      </c>
      <c r="I20">
        <v>3</v>
      </c>
      <c r="J20">
        <v>3</v>
      </c>
      <c r="K20" s="6">
        <v>100</v>
      </c>
      <c r="L20" s="6">
        <v>0</v>
      </c>
      <c r="M20" s="6">
        <v>100</v>
      </c>
      <c r="N20">
        <v>0</v>
      </c>
      <c r="O20" s="6">
        <v>0</v>
      </c>
      <c r="P20">
        <v>0</v>
      </c>
      <c r="Q20" s="8">
        <v>185.57</v>
      </c>
      <c r="R20" s="8">
        <v>185.57</v>
      </c>
      <c r="S20" s="9" t="s">
        <v>526</v>
      </c>
    </row>
    <row r="21" spans="1:19" hidden="1" x14ac:dyDescent="0.25">
      <c r="A21" t="s">
        <v>123</v>
      </c>
      <c r="B21" t="s">
        <v>79</v>
      </c>
      <c r="C21" t="s">
        <v>124</v>
      </c>
      <c r="D21" t="s">
        <v>524</v>
      </c>
      <c r="E21" t="s">
        <v>90</v>
      </c>
      <c r="F21" t="s">
        <v>94</v>
      </c>
      <c r="G21">
        <v>2</v>
      </c>
      <c r="H21">
        <v>3</v>
      </c>
      <c r="I21">
        <v>3</v>
      </c>
      <c r="J21">
        <v>3</v>
      </c>
      <c r="K21" s="6">
        <v>100</v>
      </c>
      <c r="L21" s="6">
        <v>0</v>
      </c>
      <c r="M21" s="6">
        <v>100</v>
      </c>
      <c r="N21">
        <v>0</v>
      </c>
      <c r="O21" s="6">
        <v>0</v>
      </c>
      <c r="P21">
        <v>0</v>
      </c>
      <c r="Q21" s="8">
        <v>185.57</v>
      </c>
      <c r="R21" s="8">
        <v>185.57</v>
      </c>
      <c r="S21" s="9" t="s">
        <v>526</v>
      </c>
    </row>
    <row r="22" spans="1:19" hidden="1" x14ac:dyDescent="0.25">
      <c r="A22" t="s">
        <v>123</v>
      </c>
      <c r="B22" t="s">
        <v>79</v>
      </c>
      <c r="C22" t="s">
        <v>124</v>
      </c>
      <c r="D22" t="s">
        <v>524</v>
      </c>
      <c r="E22" t="s">
        <v>90</v>
      </c>
      <c r="F22" t="s">
        <v>96</v>
      </c>
      <c r="G22">
        <v>6</v>
      </c>
      <c r="H22">
        <v>3</v>
      </c>
      <c r="I22">
        <v>3</v>
      </c>
      <c r="J22">
        <v>3</v>
      </c>
      <c r="K22" s="6">
        <v>97.69</v>
      </c>
      <c r="L22" s="6">
        <v>-2.31</v>
      </c>
      <c r="M22" s="6">
        <v>97.69</v>
      </c>
      <c r="N22">
        <v>0</v>
      </c>
      <c r="O22" s="6">
        <v>0</v>
      </c>
      <c r="P22">
        <v>0</v>
      </c>
      <c r="Q22" s="8">
        <v>185.57</v>
      </c>
      <c r="R22" s="8">
        <v>181.29</v>
      </c>
      <c r="S22" s="9" t="s">
        <v>526</v>
      </c>
    </row>
    <row r="23" spans="1:19" hidden="1" x14ac:dyDescent="0.25">
      <c r="A23" t="s">
        <v>123</v>
      </c>
      <c r="B23" t="s">
        <v>79</v>
      </c>
      <c r="C23" t="s">
        <v>124</v>
      </c>
      <c r="D23" t="s">
        <v>524</v>
      </c>
      <c r="E23" t="s">
        <v>90</v>
      </c>
      <c r="F23" t="s">
        <v>6</v>
      </c>
      <c r="G23">
        <v>13</v>
      </c>
      <c r="H23">
        <v>3</v>
      </c>
      <c r="I23">
        <v>3</v>
      </c>
      <c r="J23">
        <v>3</v>
      </c>
      <c r="K23" s="6">
        <v>93.82</v>
      </c>
      <c r="L23" s="6">
        <v>-6.54</v>
      </c>
      <c r="M23" s="6">
        <v>93.82</v>
      </c>
      <c r="N23">
        <v>0</v>
      </c>
      <c r="O23" s="6">
        <v>0</v>
      </c>
      <c r="P23">
        <v>0</v>
      </c>
      <c r="Q23" s="8">
        <v>185.57</v>
      </c>
      <c r="R23" s="8">
        <v>174.1</v>
      </c>
      <c r="S23" s="9" t="s">
        <v>526</v>
      </c>
    </row>
    <row r="24" spans="1:19" hidden="1" x14ac:dyDescent="0.25">
      <c r="A24" t="s">
        <v>123</v>
      </c>
      <c r="B24" t="s">
        <v>79</v>
      </c>
      <c r="C24" t="s">
        <v>124</v>
      </c>
      <c r="D24" t="s">
        <v>527</v>
      </c>
      <c r="E24" t="s">
        <v>90</v>
      </c>
      <c r="F24" t="s">
        <v>90</v>
      </c>
      <c r="G24">
        <v>0</v>
      </c>
      <c r="H24">
        <v>11</v>
      </c>
      <c r="I24">
        <v>11</v>
      </c>
      <c r="J24">
        <v>11</v>
      </c>
      <c r="K24" s="6">
        <v>100</v>
      </c>
      <c r="L24" s="6">
        <v>0</v>
      </c>
      <c r="M24" s="6">
        <v>100</v>
      </c>
      <c r="N24">
        <v>0</v>
      </c>
      <c r="O24" s="6">
        <v>0</v>
      </c>
      <c r="P24">
        <v>0</v>
      </c>
      <c r="Q24" s="8">
        <v>192.53</v>
      </c>
      <c r="R24" s="8">
        <v>192.53</v>
      </c>
      <c r="S24" s="9" t="s">
        <v>528</v>
      </c>
    </row>
    <row r="25" spans="1:19" hidden="1" x14ac:dyDescent="0.25">
      <c r="A25" t="s">
        <v>123</v>
      </c>
      <c r="B25" t="s">
        <v>79</v>
      </c>
      <c r="C25" t="s">
        <v>124</v>
      </c>
      <c r="D25" t="s">
        <v>527</v>
      </c>
      <c r="E25" t="s">
        <v>90</v>
      </c>
      <c r="F25" t="s">
        <v>91</v>
      </c>
      <c r="G25">
        <v>1</v>
      </c>
      <c r="H25">
        <v>11</v>
      </c>
      <c r="I25">
        <v>11</v>
      </c>
      <c r="J25">
        <v>11</v>
      </c>
      <c r="K25" s="6">
        <v>100</v>
      </c>
      <c r="L25" s="6">
        <v>0</v>
      </c>
      <c r="M25" s="6">
        <v>100</v>
      </c>
      <c r="N25">
        <v>0</v>
      </c>
      <c r="O25" s="6">
        <v>0</v>
      </c>
      <c r="P25">
        <v>0</v>
      </c>
      <c r="Q25" s="8">
        <v>192.53</v>
      </c>
      <c r="R25" s="8">
        <v>192.53</v>
      </c>
      <c r="S25" s="10" t="s">
        <v>529</v>
      </c>
    </row>
    <row r="26" spans="1:19" hidden="1" x14ac:dyDescent="0.25">
      <c r="A26" t="s">
        <v>123</v>
      </c>
      <c r="B26" t="s">
        <v>79</v>
      </c>
      <c r="C26" t="s">
        <v>124</v>
      </c>
      <c r="D26" t="s">
        <v>527</v>
      </c>
      <c r="E26" t="s">
        <v>90</v>
      </c>
      <c r="F26" t="s">
        <v>94</v>
      </c>
      <c r="G26">
        <v>2</v>
      </c>
      <c r="H26">
        <v>11</v>
      </c>
      <c r="I26">
        <v>11</v>
      </c>
      <c r="J26">
        <v>11</v>
      </c>
      <c r="K26" s="6">
        <v>100</v>
      </c>
      <c r="L26" s="6">
        <v>0</v>
      </c>
      <c r="M26" s="6">
        <v>100</v>
      </c>
      <c r="N26">
        <v>0</v>
      </c>
      <c r="O26" s="6">
        <v>0</v>
      </c>
      <c r="P26">
        <v>0</v>
      </c>
      <c r="Q26" s="8">
        <v>192.53</v>
      </c>
      <c r="R26" s="8">
        <v>192.53</v>
      </c>
      <c r="S26" s="10" t="s">
        <v>529</v>
      </c>
    </row>
    <row r="27" spans="1:19" hidden="1" x14ac:dyDescent="0.25">
      <c r="A27" t="s">
        <v>123</v>
      </c>
      <c r="B27" t="s">
        <v>79</v>
      </c>
      <c r="C27" t="s">
        <v>124</v>
      </c>
      <c r="D27" t="s">
        <v>527</v>
      </c>
      <c r="E27" t="s">
        <v>90</v>
      </c>
      <c r="F27" t="s">
        <v>96</v>
      </c>
      <c r="G27">
        <v>6</v>
      </c>
      <c r="H27">
        <v>11</v>
      </c>
      <c r="I27">
        <v>11</v>
      </c>
      <c r="J27">
        <v>11</v>
      </c>
      <c r="K27" s="6">
        <v>98.52</v>
      </c>
      <c r="L27" s="6">
        <v>-1.88</v>
      </c>
      <c r="M27" s="6">
        <v>98.52</v>
      </c>
      <c r="N27">
        <v>0</v>
      </c>
      <c r="O27" s="6">
        <v>0</v>
      </c>
      <c r="P27">
        <v>0</v>
      </c>
      <c r="Q27" s="8">
        <v>192.53</v>
      </c>
      <c r="R27" s="8">
        <v>189.68</v>
      </c>
      <c r="S27" s="10" t="s">
        <v>529</v>
      </c>
    </row>
    <row r="28" spans="1:19" hidden="1" x14ac:dyDescent="0.25">
      <c r="A28" t="s">
        <v>123</v>
      </c>
      <c r="B28" t="s">
        <v>79</v>
      </c>
      <c r="C28" t="s">
        <v>124</v>
      </c>
      <c r="D28" t="s">
        <v>527</v>
      </c>
      <c r="E28" t="s">
        <v>90</v>
      </c>
      <c r="F28" t="s">
        <v>6</v>
      </c>
      <c r="G28">
        <v>13</v>
      </c>
      <c r="H28">
        <v>11</v>
      </c>
      <c r="I28">
        <v>11</v>
      </c>
      <c r="J28">
        <v>11</v>
      </c>
      <c r="K28" s="6">
        <v>95.2</v>
      </c>
      <c r="L28" s="6">
        <v>-6.09</v>
      </c>
      <c r="M28" s="6">
        <v>95.2</v>
      </c>
      <c r="N28">
        <v>0</v>
      </c>
      <c r="O28" s="6">
        <v>0</v>
      </c>
      <c r="P28">
        <v>0</v>
      </c>
      <c r="Q28" s="8">
        <v>192.53</v>
      </c>
      <c r="R28" s="8">
        <v>183.3</v>
      </c>
      <c r="S28" s="10" t="s">
        <v>529</v>
      </c>
    </row>
    <row r="29" spans="1:19" hidden="1" x14ac:dyDescent="0.25">
      <c r="A29" t="s">
        <v>123</v>
      </c>
      <c r="B29" t="s">
        <v>79</v>
      </c>
      <c r="C29" t="s">
        <v>124</v>
      </c>
      <c r="D29" t="s">
        <v>530</v>
      </c>
      <c r="E29" t="s">
        <v>90</v>
      </c>
      <c r="F29" t="s">
        <v>90</v>
      </c>
      <c r="G29">
        <v>0</v>
      </c>
      <c r="H29">
        <v>11</v>
      </c>
      <c r="I29">
        <v>11</v>
      </c>
      <c r="J29">
        <v>11</v>
      </c>
      <c r="K29" s="6">
        <v>100</v>
      </c>
      <c r="L29" s="6">
        <v>0</v>
      </c>
      <c r="M29" s="6">
        <v>100</v>
      </c>
      <c r="N29">
        <v>0</v>
      </c>
      <c r="O29" s="6">
        <v>0</v>
      </c>
      <c r="P29">
        <v>0</v>
      </c>
      <c r="Q29" s="8">
        <v>239.86</v>
      </c>
      <c r="R29" s="8">
        <v>239.86</v>
      </c>
      <c r="S29" s="9" t="s">
        <v>528</v>
      </c>
    </row>
    <row r="30" spans="1:19" hidden="1" x14ac:dyDescent="0.25">
      <c r="A30" t="s">
        <v>123</v>
      </c>
      <c r="B30" t="s">
        <v>79</v>
      </c>
      <c r="C30" t="s">
        <v>124</v>
      </c>
      <c r="D30" t="s">
        <v>530</v>
      </c>
      <c r="E30" t="s">
        <v>90</v>
      </c>
      <c r="F30" t="s">
        <v>91</v>
      </c>
      <c r="G30">
        <v>1</v>
      </c>
      <c r="H30">
        <v>11</v>
      </c>
      <c r="I30">
        <v>11</v>
      </c>
      <c r="J30">
        <v>11</v>
      </c>
      <c r="K30" s="6">
        <v>100</v>
      </c>
      <c r="L30" s="6">
        <v>0</v>
      </c>
      <c r="M30" s="6">
        <v>100</v>
      </c>
      <c r="N30">
        <v>0</v>
      </c>
      <c r="O30" s="6">
        <v>0</v>
      </c>
      <c r="P30">
        <v>0</v>
      </c>
      <c r="Q30" s="8">
        <v>239.86</v>
      </c>
      <c r="R30" s="8">
        <v>239.86</v>
      </c>
      <c r="S30" s="10" t="s">
        <v>529</v>
      </c>
    </row>
    <row r="31" spans="1:19" hidden="1" x14ac:dyDescent="0.25">
      <c r="A31" t="s">
        <v>123</v>
      </c>
      <c r="B31" t="s">
        <v>79</v>
      </c>
      <c r="C31" t="s">
        <v>124</v>
      </c>
      <c r="D31" t="s">
        <v>530</v>
      </c>
      <c r="E31" t="s">
        <v>90</v>
      </c>
      <c r="F31" t="s">
        <v>94</v>
      </c>
      <c r="G31">
        <v>2</v>
      </c>
      <c r="H31">
        <v>11</v>
      </c>
      <c r="I31">
        <v>11</v>
      </c>
      <c r="J31">
        <v>11</v>
      </c>
      <c r="K31" s="6">
        <v>100</v>
      </c>
      <c r="L31" s="6">
        <v>0</v>
      </c>
      <c r="M31" s="6">
        <v>100</v>
      </c>
      <c r="N31">
        <v>0</v>
      </c>
      <c r="O31" s="6">
        <v>0</v>
      </c>
      <c r="P31">
        <v>0</v>
      </c>
      <c r="Q31" s="8">
        <v>239.86</v>
      </c>
      <c r="R31" s="8">
        <v>239.86</v>
      </c>
      <c r="S31" s="10" t="s">
        <v>529</v>
      </c>
    </row>
    <row r="32" spans="1:19" hidden="1" x14ac:dyDescent="0.25">
      <c r="A32" t="s">
        <v>123</v>
      </c>
      <c r="B32" t="s">
        <v>79</v>
      </c>
      <c r="C32" t="s">
        <v>124</v>
      </c>
      <c r="D32" t="s">
        <v>530</v>
      </c>
      <c r="E32" t="s">
        <v>90</v>
      </c>
      <c r="F32" t="s">
        <v>96</v>
      </c>
      <c r="G32">
        <v>6</v>
      </c>
      <c r="H32">
        <v>11</v>
      </c>
      <c r="I32">
        <v>11</v>
      </c>
      <c r="J32">
        <v>11</v>
      </c>
      <c r="K32" s="6">
        <v>98.81</v>
      </c>
      <c r="L32" s="6">
        <v>-1.1499999999999999</v>
      </c>
      <c r="M32" s="6">
        <v>98.81</v>
      </c>
      <c r="N32">
        <v>0</v>
      </c>
      <c r="O32" s="6">
        <v>0</v>
      </c>
      <c r="P32">
        <v>0</v>
      </c>
      <c r="Q32" s="8">
        <v>239.86</v>
      </c>
      <c r="R32" s="8">
        <v>237</v>
      </c>
      <c r="S32" s="10" t="s">
        <v>529</v>
      </c>
    </row>
    <row r="33" spans="1:19" hidden="1" x14ac:dyDescent="0.25">
      <c r="A33" t="s">
        <v>123</v>
      </c>
      <c r="B33" t="s">
        <v>79</v>
      </c>
      <c r="C33" t="s">
        <v>124</v>
      </c>
      <c r="D33" t="s">
        <v>530</v>
      </c>
      <c r="E33" t="s">
        <v>90</v>
      </c>
      <c r="F33" t="s">
        <v>6</v>
      </c>
      <c r="G33">
        <v>13</v>
      </c>
      <c r="H33">
        <v>11</v>
      </c>
      <c r="I33">
        <v>11</v>
      </c>
      <c r="J33">
        <v>11</v>
      </c>
      <c r="K33" s="6">
        <v>97.97</v>
      </c>
      <c r="L33" s="6">
        <v>-2.2799999999999998</v>
      </c>
      <c r="M33" s="6">
        <v>97.97</v>
      </c>
      <c r="N33">
        <v>0</v>
      </c>
      <c r="O33" s="6">
        <v>0</v>
      </c>
      <c r="P33">
        <v>0</v>
      </c>
      <c r="Q33" s="8">
        <v>239.86</v>
      </c>
      <c r="R33" s="8">
        <v>234.99</v>
      </c>
      <c r="S33" s="10" t="s">
        <v>529</v>
      </c>
    </row>
    <row r="34" spans="1:19" hidden="1" x14ac:dyDescent="0.25">
      <c r="A34" t="s">
        <v>123</v>
      </c>
      <c r="B34" t="s">
        <v>79</v>
      </c>
      <c r="C34" t="s">
        <v>124</v>
      </c>
      <c r="D34" t="s">
        <v>531</v>
      </c>
      <c r="E34" t="s">
        <v>90</v>
      </c>
      <c r="F34" t="s">
        <v>90</v>
      </c>
      <c r="G34">
        <v>0</v>
      </c>
      <c r="H34">
        <v>11</v>
      </c>
      <c r="I34">
        <v>11</v>
      </c>
      <c r="J34">
        <v>11</v>
      </c>
      <c r="K34" s="6">
        <v>100</v>
      </c>
      <c r="L34" s="6">
        <v>0</v>
      </c>
      <c r="M34" s="6">
        <v>100</v>
      </c>
      <c r="N34">
        <v>0</v>
      </c>
      <c r="O34" s="6">
        <v>0</v>
      </c>
      <c r="P34">
        <v>0</v>
      </c>
      <c r="Q34" s="8">
        <v>248.91</v>
      </c>
      <c r="R34" s="8">
        <v>248.91</v>
      </c>
      <c r="S34" s="9" t="s">
        <v>528</v>
      </c>
    </row>
    <row r="35" spans="1:19" hidden="1" x14ac:dyDescent="0.25">
      <c r="A35" t="s">
        <v>123</v>
      </c>
      <c r="B35" t="s">
        <v>79</v>
      </c>
      <c r="C35" t="s">
        <v>124</v>
      </c>
      <c r="D35" t="s">
        <v>531</v>
      </c>
      <c r="E35" t="s">
        <v>90</v>
      </c>
      <c r="F35" t="s">
        <v>91</v>
      </c>
      <c r="G35">
        <v>1</v>
      </c>
      <c r="H35">
        <v>11</v>
      </c>
      <c r="I35">
        <v>11</v>
      </c>
      <c r="J35">
        <v>11</v>
      </c>
      <c r="K35" s="6">
        <v>100</v>
      </c>
      <c r="L35" s="6">
        <v>0</v>
      </c>
      <c r="M35" s="6">
        <v>100</v>
      </c>
      <c r="N35">
        <v>0</v>
      </c>
      <c r="O35" s="6">
        <v>0</v>
      </c>
      <c r="P35">
        <v>0</v>
      </c>
      <c r="Q35" s="8">
        <v>248.91</v>
      </c>
      <c r="R35" s="8">
        <v>248.91</v>
      </c>
      <c r="S35" s="10" t="s">
        <v>529</v>
      </c>
    </row>
    <row r="36" spans="1:19" hidden="1" x14ac:dyDescent="0.25">
      <c r="A36" t="s">
        <v>123</v>
      </c>
      <c r="B36" t="s">
        <v>79</v>
      </c>
      <c r="C36" t="s">
        <v>124</v>
      </c>
      <c r="D36" t="s">
        <v>531</v>
      </c>
      <c r="E36" t="s">
        <v>90</v>
      </c>
      <c r="F36" t="s">
        <v>94</v>
      </c>
      <c r="G36">
        <v>2</v>
      </c>
      <c r="H36">
        <v>11</v>
      </c>
      <c r="I36">
        <v>11</v>
      </c>
      <c r="J36">
        <v>11</v>
      </c>
      <c r="K36" s="6">
        <v>100</v>
      </c>
      <c r="L36" s="6">
        <v>0</v>
      </c>
      <c r="M36" s="6">
        <v>100</v>
      </c>
      <c r="N36">
        <v>0</v>
      </c>
      <c r="O36" s="6">
        <v>0</v>
      </c>
      <c r="P36">
        <v>0</v>
      </c>
      <c r="Q36" s="8">
        <v>248.91</v>
      </c>
      <c r="R36" s="8">
        <v>248.91</v>
      </c>
      <c r="S36" s="10" t="s">
        <v>529</v>
      </c>
    </row>
    <row r="37" spans="1:19" hidden="1" x14ac:dyDescent="0.25">
      <c r="A37" t="s">
        <v>123</v>
      </c>
      <c r="B37" t="s">
        <v>79</v>
      </c>
      <c r="C37" t="s">
        <v>124</v>
      </c>
      <c r="D37" t="s">
        <v>531</v>
      </c>
      <c r="E37" t="s">
        <v>90</v>
      </c>
      <c r="F37" t="s">
        <v>96</v>
      </c>
      <c r="G37">
        <v>6</v>
      </c>
      <c r="H37">
        <v>11</v>
      </c>
      <c r="I37">
        <v>11</v>
      </c>
      <c r="J37">
        <v>11</v>
      </c>
      <c r="K37" s="6">
        <v>99.53</v>
      </c>
      <c r="L37" s="6">
        <v>-0.55000000000000004</v>
      </c>
      <c r="M37" s="6">
        <v>99.53</v>
      </c>
      <c r="N37">
        <v>0</v>
      </c>
      <c r="O37" s="6">
        <v>0</v>
      </c>
      <c r="P37">
        <v>0</v>
      </c>
      <c r="Q37" s="8">
        <v>248.91</v>
      </c>
      <c r="R37" s="8">
        <v>247.74</v>
      </c>
      <c r="S37" s="10" t="s">
        <v>529</v>
      </c>
    </row>
    <row r="38" spans="1:19" hidden="1" x14ac:dyDescent="0.25">
      <c r="A38" t="s">
        <v>123</v>
      </c>
      <c r="B38" t="s">
        <v>79</v>
      </c>
      <c r="C38" t="s">
        <v>124</v>
      </c>
      <c r="D38" t="s">
        <v>531</v>
      </c>
      <c r="E38" t="s">
        <v>90</v>
      </c>
      <c r="F38" t="s">
        <v>6</v>
      </c>
      <c r="G38">
        <v>13</v>
      </c>
      <c r="H38">
        <v>11</v>
      </c>
      <c r="I38">
        <v>11</v>
      </c>
      <c r="J38">
        <v>11</v>
      </c>
      <c r="K38" s="6">
        <v>98.96</v>
      </c>
      <c r="L38" s="6">
        <v>-1.1000000000000001</v>
      </c>
      <c r="M38" s="6">
        <v>98.96</v>
      </c>
      <c r="N38">
        <v>0</v>
      </c>
      <c r="O38" s="6">
        <v>0</v>
      </c>
      <c r="P38">
        <v>0</v>
      </c>
      <c r="Q38" s="8">
        <v>248.91</v>
      </c>
      <c r="R38" s="8">
        <v>246.31</v>
      </c>
      <c r="S38" s="10" t="s">
        <v>529</v>
      </c>
    </row>
    <row r="39" spans="1:19" hidden="1" x14ac:dyDescent="0.25">
      <c r="A39" t="s">
        <v>123</v>
      </c>
      <c r="B39" t="s">
        <v>79</v>
      </c>
      <c r="C39" t="s">
        <v>124</v>
      </c>
      <c r="D39" t="s">
        <v>532</v>
      </c>
      <c r="E39" t="s">
        <v>90</v>
      </c>
      <c r="F39" t="s">
        <v>90</v>
      </c>
      <c r="G39">
        <v>0</v>
      </c>
      <c r="H39">
        <v>11</v>
      </c>
      <c r="I39">
        <v>11</v>
      </c>
      <c r="J39">
        <v>11</v>
      </c>
      <c r="K39" s="6">
        <v>100</v>
      </c>
      <c r="L39" s="6">
        <v>0</v>
      </c>
      <c r="M39" s="6">
        <v>100</v>
      </c>
      <c r="N39">
        <v>0</v>
      </c>
      <c r="O39" s="6">
        <v>0</v>
      </c>
      <c r="P39">
        <v>0</v>
      </c>
      <c r="Q39" s="8">
        <v>221.46</v>
      </c>
      <c r="R39" s="8">
        <v>221.46</v>
      </c>
      <c r="S39" s="9" t="s">
        <v>528</v>
      </c>
    </row>
    <row r="40" spans="1:19" hidden="1" x14ac:dyDescent="0.25">
      <c r="A40" t="s">
        <v>123</v>
      </c>
      <c r="B40" t="s">
        <v>79</v>
      </c>
      <c r="C40" t="s">
        <v>124</v>
      </c>
      <c r="D40" t="s">
        <v>532</v>
      </c>
      <c r="E40" t="s">
        <v>90</v>
      </c>
      <c r="F40" t="s">
        <v>91</v>
      </c>
      <c r="G40">
        <v>1</v>
      </c>
      <c r="H40">
        <v>11</v>
      </c>
      <c r="I40">
        <v>11</v>
      </c>
      <c r="J40">
        <v>11</v>
      </c>
      <c r="K40" s="6">
        <v>100</v>
      </c>
      <c r="L40" s="6">
        <v>0</v>
      </c>
      <c r="M40" s="6">
        <v>100</v>
      </c>
      <c r="N40">
        <v>0</v>
      </c>
      <c r="O40" s="6">
        <v>0</v>
      </c>
      <c r="P40">
        <v>0</v>
      </c>
      <c r="Q40" s="8">
        <v>221.46</v>
      </c>
      <c r="R40" s="8">
        <v>221.46</v>
      </c>
      <c r="S40" s="10" t="s">
        <v>529</v>
      </c>
    </row>
    <row r="41" spans="1:19" hidden="1" x14ac:dyDescent="0.25">
      <c r="A41" t="s">
        <v>123</v>
      </c>
      <c r="B41" t="s">
        <v>79</v>
      </c>
      <c r="C41" t="s">
        <v>124</v>
      </c>
      <c r="D41" t="s">
        <v>532</v>
      </c>
      <c r="E41" t="s">
        <v>90</v>
      </c>
      <c r="F41" t="s">
        <v>94</v>
      </c>
      <c r="G41">
        <v>2</v>
      </c>
      <c r="H41">
        <v>11</v>
      </c>
      <c r="I41">
        <v>11</v>
      </c>
      <c r="J41">
        <v>11</v>
      </c>
      <c r="K41" s="6">
        <v>100</v>
      </c>
      <c r="L41" s="6">
        <v>0</v>
      </c>
      <c r="M41" s="6">
        <v>100</v>
      </c>
      <c r="N41">
        <v>0</v>
      </c>
      <c r="O41" s="6">
        <v>0</v>
      </c>
      <c r="P41">
        <v>0</v>
      </c>
      <c r="Q41" s="8">
        <v>221.46</v>
      </c>
      <c r="R41" s="8">
        <v>221.46</v>
      </c>
      <c r="S41" s="10" t="s">
        <v>529</v>
      </c>
    </row>
    <row r="42" spans="1:19" hidden="1" x14ac:dyDescent="0.25">
      <c r="A42" t="s">
        <v>123</v>
      </c>
      <c r="B42" t="s">
        <v>79</v>
      </c>
      <c r="C42" t="s">
        <v>124</v>
      </c>
      <c r="D42" t="s">
        <v>532</v>
      </c>
      <c r="E42" t="s">
        <v>90</v>
      </c>
      <c r="F42" t="s">
        <v>96</v>
      </c>
      <c r="G42">
        <v>6</v>
      </c>
      <c r="H42">
        <v>11</v>
      </c>
      <c r="I42">
        <v>11</v>
      </c>
      <c r="J42">
        <v>11</v>
      </c>
      <c r="K42" s="6">
        <v>99.12</v>
      </c>
      <c r="L42" s="6">
        <v>-0.63</v>
      </c>
      <c r="M42" s="6">
        <v>99.12</v>
      </c>
      <c r="N42">
        <v>0</v>
      </c>
      <c r="O42" s="6">
        <v>0</v>
      </c>
      <c r="P42">
        <v>0</v>
      </c>
      <c r="Q42" s="8">
        <v>221.46</v>
      </c>
      <c r="R42" s="8">
        <v>219.51</v>
      </c>
      <c r="S42" s="10" t="s">
        <v>529</v>
      </c>
    </row>
    <row r="43" spans="1:19" hidden="1" x14ac:dyDescent="0.25">
      <c r="A43" t="s">
        <v>123</v>
      </c>
      <c r="B43" t="s">
        <v>79</v>
      </c>
      <c r="C43" t="s">
        <v>124</v>
      </c>
      <c r="D43" t="s">
        <v>532</v>
      </c>
      <c r="E43" t="s">
        <v>90</v>
      </c>
      <c r="F43" t="s">
        <v>6</v>
      </c>
      <c r="G43">
        <v>13</v>
      </c>
      <c r="H43">
        <v>11</v>
      </c>
      <c r="I43">
        <v>11</v>
      </c>
      <c r="J43">
        <v>11</v>
      </c>
      <c r="K43" s="6">
        <v>98.27</v>
      </c>
      <c r="L43" s="6">
        <v>-1.82</v>
      </c>
      <c r="M43" s="6">
        <v>98.27</v>
      </c>
      <c r="N43">
        <v>0</v>
      </c>
      <c r="O43" s="6">
        <v>0</v>
      </c>
      <c r="P43">
        <v>0</v>
      </c>
      <c r="Q43" s="8">
        <v>221.46</v>
      </c>
      <c r="R43" s="8">
        <v>217.63</v>
      </c>
      <c r="S43" s="10" t="s">
        <v>529</v>
      </c>
    </row>
    <row r="44" spans="1:19" hidden="1" x14ac:dyDescent="0.25">
      <c r="A44" t="s">
        <v>123</v>
      </c>
      <c r="B44" t="s">
        <v>79</v>
      </c>
      <c r="C44" t="s">
        <v>124</v>
      </c>
      <c r="D44" t="s">
        <v>533</v>
      </c>
      <c r="E44" t="s">
        <v>94</v>
      </c>
      <c r="F44" t="s">
        <v>94</v>
      </c>
      <c r="G44">
        <v>0</v>
      </c>
      <c r="H44">
        <v>6</v>
      </c>
      <c r="I44">
        <v>6</v>
      </c>
      <c r="J44">
        <v>6</v>
      </c>
      <c r="K44" s="6">
        <v>100</v>
      </c>
      <c r="L44" s="6">
        <v>0</v>
      </c>
      <c r="M44" s="6">
        <v>100</v>
      </c>
      <c r="N44">
        <v>0</v>
      </c>
      <c r="O44" s="6">
        <v>0</v>
      </c>
      <c r="P44">
        <v>0</v>
      </c>
      <c r="Q44" s="8">
        <v>214.55</v>
      </c>
      <c r="R44" s="8">
        <v>214.55</v>
      </c>
      <c r="S44" s="9" t="s">
        <v>534</v>
      </c>
    </row>
    <row r="45" spans="1:19" hidden="1" x14ac:dyDescent="0.25">
      <c r="A45" t="s">
        <v>123</v>
      </c>
      <c r="B45" t="s">
        <v>79</v>
      </c>
      <c r="C45" t="s">
        <v>124</v>
      </c>
      <c r="D45" t="s">
        <v>533</v>
      </c>
      <c r="E45" t="s">
        <v>94</v>
      </c>
      <c r="F45" t="s">
        <v>96</v>
      </c>
      <c r="G45">
        <v>4</v>
      </c>
      <c r="H45">
        <v>6</v>
      </c>
      <c r="I45">
        <v>6</v>
      </c>
      <c r="J45">
        <v>6</v>
      </c>
      <c r="K45" s="6">
        <v>98.89</v>
      </c>
      <c r="L45" s="6">
        <v>-1.33</v>
      </c>
      <c r="M45" s="6">
        <v>98.89</v>
      </c>
      <c r="N45">
        <v>0</v>
      </c>
      <c r="O45" s="6">
        <v>0</v>
      </c>
      <c r="P45">
        <v>0</v>
      </c>
      <c r="Q45" s="8">
        <v>214.55</v>
      </c>
      <c r="R45" s="8">
        <v>212.17</v>
      </c>
      <c r="S45" s="9" t="s">
        <v>535</v>
      </c>
    </row>
    <row r="46" spans="1:19" hidden="1" x14ac:dyDescent="0.25">
      <c r="A46" t="s">
        <v>123</v>
      </c>
      <c r="B46" t="s">
        <v>79</v>
      </c>
      <c r="C46" t="s">
        <v>124</v>
      </c>
      <c r="D46" t="s">
        <v>533</v>
      </c>
      <c r="E46" t="s">
        <v>94</v>
      </c>
      <c r="F46" t="s">
        <v>6</v>
      </c>
      <c r="G46">
        <v>11</v>
      </c>
      <c r="H46">
        <v>6</v>
      </c>
      <c r="I46">
        <v>6</v>
      </c>
      <c r="J46">
        <v>6</v>
      </c>
      <c r="K46" s="6">
        <v>98.56</v>
      </c>
      <c r="L46" s="6">
        <v>-1.66</v>
      </c>
      <c r="M46" s="6">
        <v>98.56</v>
      </c>
      <c r="N46">
        <v>0</v>
      </c>
      <c r="O46" s="6">
        <v>0</v>
      </c>
      <c r="P46">
        <v>0</v>
      </c>
      <c r="Q46" s="8">
        <v>214.55</v>
      </c>
      <c r="R46" s="8">
        <v>211.45</v>
      </c>
      <c r="S46" s="9" t="s">
        <v>535</v>
      </c>
    </row>
    <row r="47" spans="1:19" hidden="1" x14ac:dyDescent="0.25">
      <c r="A47" t="s">
        <v>123</v>
      </c>
      <c r="B47" t="s">
        <v>79</v>
      </c>
      <c r="C47" t="s">
        <v>126</v>
      </c>
      <c r="D47" t="s">
        <v>524</v>
      </c>
      <c r="E47" t="s">
        <v>90</v>
      </c>
      <c r="F47" t="s">
        <v>90</v>
      </c>
      <c r="G47">
        <v>0</v>
      </c>
      <c r="H47">
        <v>3</v>
      </c>
      <c r="I47">
        <v>3</v>
      </c>
      <c r="J47">
        <v>3</v>
      </c>
      <c r="K47" s="6">
        <v>100</v>
      </c>
      <c r="L47" s="6">
        <v>0</v>
      </c>
      <c r="M47" s="6">
        <v>100</v>
      </c>
      <c r="N47">
        <v>0</v>
      </c>
      <c r="O47" s="6">
        <v>0</v>
      </c>
      <c r="P47">
        <v>0</v>
      </c>
      <c r="Q47" s="8">
        <v>109.62</v>
      </c>
      <c r="R47" s="8">
        <v>109.62</v>
      </c>
      <c r="S47" s="9" t="s">
        <v>525</v>
      </c>
    </row>
    <row r="48" spans="1:19" hidden="1" x14ac:dyDescent="0.25">
      <c r="A48" t="s">
        <v>123</v>
      </c>
      <c r="B48" t="s">
        <v>79</v>
      </c>
      <c r="C48" t="s">
        <v>126</v>
      </c>
      <c r="D48" t="s">
        <v>524</v>
      </c>
      <c r="E48" t="s">
        <v>90</v>
      </c>
      <c r="F48" t="s">
        <v>91</v>
      </c>
      <c r="G48">
        <v>1</v>
      </c>
      <c r="H48">
        <v>3</v>
      </c>
      <c r="I48">
        <v>3</v>
      </c>
      <c r="J48">
        <v>3</v>
      </c>
      <c r="K48" s="6">
        <v>100</v>
      </c>
      <c r="L48" s="6">
        <v>0</v>
      </c>
      <c r="M48" s="6">
        <v>100</v>
      </c>
      <c r="N48">
        <v>0</v>
      </c>
      <c r="O48" s="6">
        <v>0</v>
      </c>
      <c r="P48">
        <v>0</v>
      </c>
      <c r="Q48" s="8">
        <v>109.62</v>
      </c>
      <c r="R48" s="8">
        <v>109.62</v>
      </c>
      <c r="S48" s="9" t="s">
        <v>526</v>
      </c>
    </row>
    <row r="49" spans="1:19" hidden="1" x14ac:dyDescent="0.25">
      <c r="A49" t="s">
        <v>123</v>
      </c>
      <c r="B49" t="s">
        <v>79</v>
      </c>
      <c r="C49" t="s">
        <v>126</v>
      </c>
      <c r="D49" t="s">
        <v>524</v>
      </c>
      <c r="E49" t="s">
        <v>90</v>
      </c>
      <c r="F49" t="s">
        <v>94</v>
      </c>
      <c r="G49">
        <v>2</v>
      </c>
      <c r="H49">
        <v>3</v>
      </c>
      <c r="I49">
        <v>3</v>
      </c>
      <c r="J49">
        <v>3</v>
      </c>
      <c r="K49" s="6">
        <v>100</v>
      </c>
      <c r="L49" s="6">
        <v>0</v>
      </c>
      <c r="M49" s="6">
        <v>100</v>
      </c>
      <c r="N49">
        <v>0</v>
      </c>
      <c r="O49" s="6">
        <v>0</v>
      </c>
      <c r="P49">
        <v>0</v>
      </c>
      <c r="Q49" s="8">
        <v>109.62</v>
      </c>
      <c r="R49" s="8">
        <v>109.62</v>
      </c>
      <c r="S49" s="9" t="s">
        <v>526</v>
      </c>
    </row>
    <row r="50" spans="1:19" hidden="1" x14ac:dyDescent="0.25">
      <c r="A50" t="s">
        <v>123</v>
      </c>
      <c r="B50" t="s">
        <v>79</v>
      </c>
      <c r="C50" t="s">
        <v>126</v>
      </c>
      <c r="D50" t="s">
        <v>524</v>
      </c>
      <c r="E50" t="s">
        <v>90</v>
      </c>
      <c r="F50" t="s">
        <v>96</v>
      </c>
      <c r="G50">
        <v>6</v>
      </c>
      <c r="H50">
        <v>3</v>
      </c>
      <c r="I50">
        <v>3</v>
      </c>
      <c r="J50">
        <v>3</v>
      </c>
      <c r="K50" s="6">
        <v>100</v>
      </c>
      <c r="L50" s="6">
        <v>0</v>
      </c>
      <c r="M50" s="6">
        <v>100</v>
      </c>
      <c r="N50">
        <v>0</v>
      </c>
      <c r="O50" s="6">
        <v>0</v>
      </c>
      <c r="P50">
        <v>0</v>
      </c>
      <c r="Q50" s="8">
        <v>109.62</v>
      </c>
      <c r="R50" s="8">
        <v>109.62</v>
      </c>
      <c r="S50" s="9" t="s">
        <v>526</v>
      </c>
    </row>
    <row r="51" spans="1:19" hidden="1" x14ac:dyDescent="0.25">
      <c r="A51" t="s">
        <v>123</v>
      </c>
      <c r="B51" t="s">
        <v>79</v>
      </c>
      <c r="C51" t="s">
        <v>126</v>
      </c>
      <c r="D51" t="s">
        <v>524</v>
      </c>
      <c r="E51" t="s">
        <v>90</v>
      </c>
      <c r="F51" t="s">
        <v>6</v>
      </c>
      <c r="G51">
        <v>13</v>
      </c>
      <c r="H51">
        <v>3</v>
      </c>
      <c r="I51">
        <v>3</v>
      </c>
      <c r="J51">
        <v>3</v>
      </c>
      <c r="K51" s="6">
        <v>97.18</v>
      </c>
      <c r="L51" s="6">
        <v>-3.25</v>
      </c>
      <c r="M51" s="6">
        <v>97.18</v>
      </c>
      <c r="N51">
        <v>0</v>
      </c>
      <c r="O51" s="6">
        <v>0</v>
      </c>
      <c r="P51">
        <v>0</v>
      </c>
      <c r="Q51" s="8">
        <v>109.62</v>
      </c>
      <c r="R51" s="8">
        <v>106.52</v>
      </c>
      <c r="S51" s="9" t="s">
        <v>526</v>
      </c>
    </row>
    <row r="52" spans="1:19" hidden="1" x14ac:dyDescent="0.25">
      <c r="A52" t="s">
        <v>123</v>
      </c>
      <c r="B52" t="s">
        <v>79</v>
      </c>
      <c r="C52" t="s">
        <v>126</v>
      </c>
      <c r="D52" t="s">
        <v>527</v>
      </c>
      <c r="E52" t="s">
        <v>90</v>
      </c>
      <c r="F52" t="s">
        <v>90</v>
      </c>
      <c r="G52">
        <v>0</v>
      </c>
      <c r="H52">
        <v>11</v>
      </c>
      <c r="I52">
        <v>11</v>
      </c>
      <c r="J52">
        <v>11</v>
      </c>
      <c r="K52" s="6">
        <v>100</v>
      </c>
      <c r="L52" s="6">
        <v>0</v>
      </c>
      <c r="M52" s="6">
        <v>100</v>
      </c>
      <c r="N52">
        <v>0</v>
      </c>
      <c r="O52" s="6">
        <v>0</v>
      </c>
      <c r="P52">
        <v>0</v>
      </c>
      <c r="Q52" s="8">
        <v>118.11</v>
      </c>
      <c r="R52" s="8">
        <v>118.11</v>
      </c>
      <c r="S52" s="9" t="s">
        <v>528</v>
      </c>
    </row>
    <row r="53" spans="1:19" hidden="1" x14ac:dyDescent="0.25">
      <c r="A53" t="s">
        <v>123</v>
      </c>
      <c r="B53" t="s">
        <v>79</v>
      </c>
      <c r="C53" t="s">
        <v>126</v>
      </c>
      <c r="D53" t="s">
        <v>527</v>
      </c>
      <c r="E53" t="s">
        <v>90</v>
      </c>
      <c r="F53" t="s">
        <v>91</v>
      </c>
      <c r="G53">
        <v>1</v>
      </c>
      <c r="H53">
        <v>11</v>
      </c>
      <c r="I53">
        <v>11</v>
      </c>
      <c r="J53">
        <v>11</v>
      </c>
      <c r="K53" s="6">
        <v>100</v>
      </c>
      <c r="L53" s="6">
        <v>0</v>
      </c>
      <c r="M53" s="6">
        <v>100</v>
      </c>
      <c r="N53">
        <v>0</v>
      </c>
      <c r="O53" s="6">
        <v>0</v>
      </c>
      <c r="P53">
        <v>0</v>
      </c>
      <c r="Q53" s="8">
        <v>118.11</v>
      </c>
      <c r="R53" s="8">
        <v>118.11</v>
      </c>
      <c r="S53" s="10" t="s">
        <v>529</v>
      </c>
    </row>
    <row r="54" spans="1:19" hidden="1" x14ac:dyDescent="0.25">
      <c r="A54" t="s">
        <v>123</v>
      </c>
      <c r="B54" t="s">
        <v>79</v>
      </c>
      <c r="C54" t="s">
        <v>126</v>
      </c>
      <c r="D54" t="s">
        <v>527</v>
      </c>
      <c r="E54" t="s">
        <v>90</v>
      </c>
      <c r="F54" t="s">
        <v>94</v>
      </c>
      <c r="G54">
        <v>2</v>
      </c>
      <c r="H54">
        <v>11</v>
      </c>
      <c r="I54">
        <v>11</v>
      </c>
      <c r="J54">
        <v>11</v>
      </c>
      <c r="K54" s="6">
        <v>100</v>
      </c>
      <c r="L54" s="6">
        <v>0</v>
      </c>
      <c r="M54" s="6">
        <v>100</v>
      </c>
      <c r="N54">
        <v>0</v>
      </c>
      <c r="O54" s="6">
        <v>0</v>
      </c>
      <c r="P54">
        <v>0</v>
      </c>
      <c r="Q54" s="8">
        <v>118.11</v>
      </c>
      <c r="R54" s="8">
        <v>118.11</v>
      </c>
      <c r="S54" s="10" t="s">
        <v>529</v>
      </c>
    </row>
    <row r="55" spans="1:19" hidden="1" x14ac:dyDescent="0.25">
      <c r="A55" t="s">
        <v>123</v>
      </c>
      <c r="B55" t="s">
        <v>79</v>
      </c>
      <c r="C55" t="s">
        <v>126</v>
      </c>
      <c r="D55" t="s">
        <v>527</v>
      </c>
      <c r="E55" t="s">
        <v>90</v>
      </c>
      <c r="F55" t="s">
        <v>96</v>
      </c>
      <c r="G55">
        <v>6</v>
      </c>
      <c r="H55">
        <v>11</v>
      </c>
      <c r="I55">
        <v>11</v>
      </c>
      <c r="J55">
        <v>11</v>
      </c>
      <c r="K55" s="6">
        <v>100.21</v>
      </c>
      <c r="L55" s="6">
        <v>0</v>
      </c>
      <c r="M55" s="6">
        <v>100.21</v>
      </c>
      <c r="N55">
        <v>0</v>
      </c>
      <c r="O55" s="6">
        <v>0</v>
      </c>
      <c r="P55">
        <v>0</v>
      </c>
      <c r="Q55" s="8">
        <v>118.11</v>
      </c>
      <c r="R55" s="8">
        <v>118.35</v>
      </c>
      <c r="S55" s="10" t="s">
        <v>529</v>
      </c>
    </row>
    <row r="56" spans="1:19" hidden="1" x14ac:dyDescent="0.25">
      <c r="A56" t="s">
        <v>123</v>
      </c>
      <c r="B56" t="s">
        <v>79</v>
      </c>
      <c r="C56" t="s">
        <v>126</v>
      </c>
      <c r="D56" t="s">
        <v>527</v>
      </c>
      <c r="E56" t="s">
        <v>90</v>
      </c>
      <c r="F56" t="s">
        <v>6</v>
      </c>
      <c r="G56">
        <v>13</v>
      </c>
      <c r="H56">
        <v>11</v>
      </c>
      <c r="I56">
        <v>11</v>
      </c>
      <c r="J56">
        <v>11</v>
      </c>
      <c r="K56" s="6">
        <v>97.92</v>
      </c>
      <c r="L56" s="6">
        <v>-2.4300000000000002</v>
      </c>
      <c r="M56" s="6">
        <v>97.92</v>
      </c>
      <c r="N56">
        <v>0</v>
      </c>
      <c r="O56" s="6">
        <v>0</v>
      </c>
      <c r="P56">
        <v>0</v>
      </c>
      <c r="Q56" s="8">
        <v>118.11</v>
      </c>
      <c r="R56" s="8">
        <v>115.65</v>
      </c>
      <c r="S56" s="10" t="s">
        <v>529</v>
      </c>
    </row>
    <row r="57" spans="1:19" hidden="1" x14ac:dyDescent="0.25">
      <c r="A57" t="s">
        <v>123</v>
      </c>
      <c r="B57" t="s">
        <v>79</v>
      </c>
      <c r="C57" t="s">
        <v>126</v>
      </c>
      <c r="D57" t="s">
        <v>530</v>
      </c>
      <c r="E57" t="s">
        <v>90</v>
      </c>
      <c r="F57" t="s">
        <v>90</v>
      </c>
      <c r="G57">
        <v>0</v>
      </c>
      <c r="H57">
        <v>11</v>
      </c>
      <c r="I57">
        <v>11</v>
      </c>
      <c r="J57">
        <v>11</v>
      </c>
      <c r="K57" s="6">
        <v>100</v>
      </c>
      <c r="L57" s="6">
        <v>0</v>
      </c>
      <c r="M57" s="6">
        <v>100</v>
      </c>
      <c r="N57">
        <v>0</v>
      </c>
      <c r="O57" s="6">
        <v>0</v>
      </c>
      <c r="P57">
        <v>0</v>
      </c>
      <c r="Q57" s="8">
        <v>150.81</v>
      </c>
      <c r="R57" s="8">
        <v>150.81</v>
      </c>
      <c r="S57" s="9" t="s">
        <v>528</v>
      </c>
    </row>
    <row r="58" spans="1:19" hidden="1" x14ac:dyDescent="0.25">
      <c r="A58" t="s">
        <v>123</v>
      </c>
      <c r="B58" t="s">
        <v>79</v>
      </c>
      <c r="C58" t="s">
        <v>126</v>
      </c>
      <c r="D58" t="s">
        <v>530</v>
      </c>
      <c r="E58" t="s">
        <v>90</v>
      </c>
      <c r="F58" t="s">
        <v>91</v>
      </c>
      <c r="G58">
        <v>1</v>
      </c>
      <c r="H58">
        <v>11</v>
      </c>
      <c r="I58">
        <v>11</v>
      </c>
      <c r="J58">
        <v>11</v>
      </c>
      <c r="K58" s="6">
        <v>100</v>
      </c>
      <c r="L58" s="6">
        <v>0</v>
      </c>
      <c r="M58" s="6">
        <v>100</v>
      </c>
      <c r="N58">
        <v>0</v>
      </c>
      <c r="O58" s="6">
        <v>0</v>
      </c>
      <c r="P58">
        <v>0</v>
      </c>
      <c r="Q58" s="8">
        <v>150.81</v>
      </c>
      <c r="R58" s="8">
        <v>150.81</v>
      </c>
      <c r="S58" s="10" t="s">
        <v>529</v>
      </c>
    </row>
    <row r="59" spans="1:19" hidden="1" x14ac:dyDescent="0.25">
      <c r="A59" t="s">
        <v>123</v>
      </c>
      <c r="B59" t="s">
        <v>79</v>
      </c>
      <c r="C59" t="s">
        <v>126</v>
      </c>
      <c r="D59" t="s">
        <v>530</v>
      </c>
      <c r="E59" t="s">
        <v>90</v>
      </c>
      <c r="F59" t="s">
        <v>94</v>
      </c>
      <c r="G59">
        <v>2</v>
      </c>
      <c r="H59">
        <v>11</v>
      </c>
      <c r="I59">
        <v>11</v>
      </c>
      <c r="J59">
        <v>11</v>
      </c>
      <c r="K59" s="6">
        <v>100</v>
      </c>
      <c r="L59" s="6">
        <v>0</v>
      </c>
      <c r="M59" s="6">
        <v>100</v>
      </c>
      <c r="N59">
        <v>0</v>
      </c>
      <c r="O59" s="6">
        <v>0</v>
      </c>
      <c r="P59">
        <v>0</v>
      </c>
      <c r="Q59" s="8">
        <v>150.81</v>
      </c>
      <c r="R59" s="8">
        <v>150.81</v>
      </c>
      <c r="S59" s="10" t="s">
        <v>529</v>
      </c>
    </row>
    <row r="60" spans="1:19" hidden="1" x14ac:dyDescent="0.25">
      <c r="A60" t="s">
        <v>123</v>
      </c>
      <c r="B60" t="s">
        <v>79</v>
      </c>
      <c r="C60" t="s">
        <v>126</v>
      </c>
      <c r="D60" t="s">
        <v>530</v>
      </c>
      <c r="E60" t="s">
        <v>90</v>
      </c>
      <c r="F60" t="s">
        <v>96</v>
      </c>
      <c r="G60">
        <v>6</v>
      </c>
      <c r="H60">
        <v>11</v>
      </c>
      <c r="I60">
        <v>11</v>
      </c>
      <c r="J60">
        <v>11</v>
      </c>
      <c r="K60" s="6">
        <v>100.23</v>
      </c>
      <c r="L60" s="6">
        <v>0</v>
      </c>
      <c r="M60" s="6">
        <v>100.23</v>
      </c>
      <c r="N60">
        <v>0</v>
      </c>
      <c r="O60" s="6">
        <v>0</v>
      </c>
      <c r="P60">
        <v>0</v>
      </c>
      <c r="Q60" s="8">
        <v>150.81</v>
      </c>
      <c r="R60" s="8">
        <v>151.16</v>
      </c>
      <c r="S60" s="10" t="s">
        <v>529</v>
      </c>
    </row>
    <row r="61" spans="1:19" hidden="1" x14ac:dyDescent="0.25">
      <c r="A61" t="s">
        <v>123</v>
      </c>
      <c r="B61" t="s">
        <v>79</v>
      </c>
      <c r="C61" t="s">
        <v>126</v>
      </c>
      <c r="D61" t="s">
        <v>530</v>
      </c>
      <c r="E61" t="s">
        <v>90</v>
      </c>
      <c r="F61" t="s">
        <v>6</v>
      </c>
      <c r="G61">
        <v>13</v>
      </c>
      <c r="H61">
        <v>11</v>
      </c>
      <c r="I61">
        <v>11</v>
      </c>
      <c r="J61">
        <v>11</v>
      </c>
      <c r="K61" s="6">
        <v>100.04</v>
      </c>
      <c r="L61" s="6">
        <v>0</v>
      </c>
      <c r="M61" s="6">
        <v>100.04</v>
      </c>
      <c r="N61">
        <v>0</v>
      </c>
      <c r="O61" s="6">
        <v>0</v>
      </c>
      <c r="P61">
        <v>0</v>
      </c>
      <c r="Q61" s="8">
        <v>150.81</v>
      </c>
      <c r="R61" s="8">
        <v>150.88</v>
      </c>
      <c r="S61" s="10" t="s">
        <v>529</v>
      </c>
    </row>
    <row r="62" spans="1:19" hidden="1" x14ac:dyDescent="0.25">
      <c r="A62" t="s">
        <v>123</v>
      </c>
      <c r="B62" t="s">
        <v>79</v>
      </c>
      <c r="C62" t="s">
        <v>126</v>
      </c>
      <c r="D62" t="s">
        <v>531</v>
      </c>
      <c r="E62" t="s">
        <v>90</v>
      </c>
      <c r="F62" t="s">
        <v>90</v>
      </c>
      <c r="G62">
        <v>0</v>
      </c>
      <c r="H62">
        <v>11</v>
      </c>
      <c r="I62">
        <v>11</v>
      </c>
      <c r="J62">
        <v>11</v>
      </c>
      <c r="K62" s="6">
        <v>100</v>
      </c>
      <c r="L62" s="6">
        <v>0</v>
      </c>
      <c r="M62" s="6">
        <v>100</v>
      </c>
      <c r="N62">
        <v>0</v>
      </c>
      <c r="O62" s="6">
        <v>0</v>
      </c>
      <c r="P62">
        <v>0</v>
      </c>
      <c r="Q62" s="8">
        <v>160.08000000000001</v>
      </c>
      <c r="R62" s="8">
        <v>160.08000000000001</v>
      </c>
      <c r="S62" s="9" t="s">
        <v>528</v>
      </c>
    </row>
    <row r="63" spans="1:19" hidden="1" x14ac:dyDescent="0.25">
      <c r="A63" t="s">
        <v>123</v>
      </c>
      <c r="B63" t="s">
        <v>79</v>
      </c>
      <c r="C63" t="s">
        <v>126</v>
      </c>
      <c r="D63" t="s">
        <v>531</v>
      </c>
      <c r="E63" t="s">
        <v>90</v>
      </c>
      <c r="F63" t="s">
        <v>91</v>
      </c>
      <c r="G63">
        <v>1</v>
      </c>
      <c r="H63">
        <v>11</v>
      </c>
      <c r="I63">
        <v>11</v>
      </c>
      <c r="J63">
        <v>11</v>
      </c>
      <c r="K63" s="6">
        <v>100</v>
      </c>
      <c r="L63" s="6">
        <v>0</v>
      </c>
      <c r="M63" s="6">
        <v>100</v>
      </c>
      <c r="N63">
        <v>0</v>
      </c>
      <c r="O63" s="6">
        <v>0</v>
      </c>
      <c r="P63">
        <v>0</v>
      </c>
      <c r="Q63" s="8">
        <v>160.08000000000001</v>
      </c>
      <c r="R63" s="8">
        <v>160.08000000000001</v>
      </c>
      <c r="S63" s="10" t="s">
        <v>529</v>
      </c>
    </row>
    <row r="64" spans="1:19" hidden="1" x14ac:dyDescent="0.25">
      <c r="A64" t="s">
        <v>123</v>
      </c>
      <c r="B64" t="s">
        <v>79</v>
      </c>
      <c r="C64" t="s">
        <v>126</v>
      </c>
      <c r="D64" t="s">
        <v>531</v>
      </c>
      <c r="E64" t="s">
        <v>90</v>
      </c>
      <c r="F64" t="s">
        <v>94</v>
      </c>
      <c r="G64">
        <v>2</v>
      </c>
      <c r="H64">
        <v>11</v>
      </c>
      <c r="I64">
        <v>11</v>
      </c>
      <c r="J64">
        <v>11</v>
      </c>
      <c r="K64" s="6">
        <v>100</v>
      </c>
      <c r="L64" s="6">
        <v>0</v>
      </c>
      <c r="M64" s="6">
        <v>100</v>
      </c>
      <c r="N64">
        <v>0</v>
      </c>
      <c r="O64" s="6">
        <v>0</v>
      </c>
      <c r="P64">
        <v>0</v>
      </c>
      <c r="Q64" s="8">
        <v>160.08000000000001</v>
      </c>
      <c r="R64" s="8">
        <v>160.08000000000001</v>
      </c>
      <c r="S64" s="10" t="s">
        <v>529</v>
      </c>
    </row>
    <row r="65" spans="1:19" hidden="1" x14ac:dyDescent="0.25">
      <c r="A65" t="s">
        <v>123</v>
      </c>
      <c r="B65" t="s">
        <v>79</v>
      </c>
      <c r="C65" t="s">
        <v>126</v>
      </c>
      <c r="D65" t="s">
        <v>531</v>
      </c>
      <c r="E65" t="s">
        <v>90</v>
      </c>
      <c r="F65" t="s">
        <v>96</v>
      </c>
      <c r="G65">
        <v>6</v>
      </c>
      <c r="H65">
        <v>11</v>
      </c>
      <c r="I65">
        <v>11</v>
      </c>
      <c r="J65">
        <v>11</v>
      </c>
      <c r="K65" s="6">
        <v>100.05</v>
      </c>
      <c r="L65" s="6">
        <v>0</v>
      </c>
      <c r="M65" s="6">
        <v>100.05</v>
      </c>
      <c r="N65">
        <v>0</v>
      </c>
      <c r="O65" s="6">
        <v>0</v>
      </c>
      <c r="P65">
        <v>0</v>
      </c>
      <c r="Q65" s="8">
        <v>160.08000000000001</v>
      </c>
      <c r="R65" s="8">
        <v>160.16</v>
      </c>
      <c r="S65" s="10" t="s">
        <v>529</v>
      </c>
    </row>
    <row r="66" spans="1:19" hidden="1" x14ac:dyDescent="0.25">
      <c r="A66" t="s">
        <v>123</v>
      </c>
      <c r="B66" t="s">
        <v>79</v>
      </c>
      <c r="C66" t="s">
        <v>126</v>
      </c>
      <c r="D66" t="s">
        <v>531</v>
      </c>
      <c r="E66" t="s">
        <v>90</v>
      </c>
      <c r="F66" t="s">
        <v>6</v>
      </c>
      <c r="G66">
        <v>13</v>
      </c>
      <c r="H66">
        <v>11</v>
      </c>
      <c r="I66">
        <v>11</v>
      </c>
      <c r="J66">
        <v>11</v>
      </c>
      <c r="K66" s="6">
        <v>99.92</v>
      </c>
      <c r="L66" s="6">
        <v>0</v>
      </c>
      <c r="M66" s="6">
        <v>99.92</v>
      </c>
      <c r="N66">
        <v>0</v>
      </c>
      <c r="O66" s="6">
        <v>0</v>
      </c>
      <c r="P66">
        <v>0</v>
      </c>
      <c r="Q66" s="8">
        <v>160.08000000000001</v>
      </c>
      <c r="R66" s="8">
        <v>159.94999999999999</v>
      </c>
      <c r="S66" s="10" t="s">
        <v>529</v>
      </c>
    </row>
    <row r="67" spans="1:19" hidden="1" x14ac:dyDescent="0.25">
      <c r="A67" t="s">
        <v>123</v>
      </c>
      <c r="B67" t="s">
        <v>79</v>
      </c>
      <c r="C67" t="s">
        <v>126</v>
      </c>
      <c r="D67" t="s">
        <v>532</v>
      </c>
      <c r="E67" t="s">
        <v>90</v>
      </c>
      <c r="F67" t="s">
        <v>90</v>
      </c>
      <c r="G67">
        <v>0</v>
      </c>
      <c r="H67">
        <v>11</v>
      </c>
      <c r="I67">
        <v>11</v>
      </c>
      <c r="J67">
        <v>11</v>
      </c>
      <c r="K67" s="6">
        <v>100</v>
      </c>
      <c r="L67" s="6">
        <v>0</v>
      </c>
      <c r="M67" s="6">
        <v>100</v>
      </c>
      <c r="N67">
        <v>0</v>
      </c>
      <c r="O67" s="6">
        <v>0</v>
      </c>
      <c r="P67">
        <v>0</v>
      </c>
      <c r="Q67" s="8">
        <v>133.31</v>
      </c>
      <c r="R67" s="8">
        <v>133.31</v>
      </c>
      <c r="S67" s="9" t="s">
        <v>528</v>
      </c>
    </row>
    <row r="68" spans="1:19" hidden="1" x14ac:dyDescent="0.25">
      <c r="A68" t="s">
        <v>123</v>
      </c>
      <c r="B68" t="s">
        <v>79</v>
      </c>
      <c r="C68" t="s">
        <v>126</v>
      </c>
      <c r="D68" t="s">
        <v>532</v>
      </c>
      <c r="E68" t="s">
        <v>90</v>
      </c>
      <c r="F68" t="s">
        <v>91</v>
      </c>
      <c r="G68">
        <v>1</v>
      </c>
      <c r="H68">
        <v>11</v>
      </c>
      <c r="I68">
        <v>11</v>
      </c>
      <c r="J68">
        <v>11</v>
      </c>
      <c r="K68" s="6">
        <v>100</v>
      </c>
      <c r="L68" s="6">
        <v>0</v>
      </c>
      <c r="M68" s="6">
        <v>100</v>
      </c>
      <c r="N68">
        <v>0</v>
      </c>
      <c r="O68" s="6">
        <v>0</v>
      </c>
      <c r="P68">
        <v>0</v>
      </c>
      <c r="Q68" s="8">
        <v>133.31</v>
      </c>
      <c r="R68" s="8">
        <v>133.31</v>
      </c>
      <c r="S68" s="10" t="s">
        <v>529</v>
      </c>
    </row>
    <row r="69" spans="1:19" hidden="1" x14ac:dyDescent="0.25">
      <c r="A69" t="s">
        <v>123</v>
      </c>
      <c r="B69" t="s">
        <v>79</v>
      </c>
      <c r="C69" t="s">
        <v>126</v>
      </c>
      <c r="D69" t="s">
        <v>532</v>
      </c>
      <c r="E69" t="s">
        <v>90</v>
      </c>
      <c r="F69" t="s">
        <v>94</v>
      </c>
      <c r="G69">
        <v>2</v>
      </c>
      <c r="H69">
        <v>11</v>
      </c>
      <c r="I69">
        <v>11</v>
      </c>
      <c r="J69">
        <v>11</v>
      </c>
      <c r="K69" s="6">
        <v>100.01</v>
      </c>
      <c r="L69" s="6">
        <v>0</v>
      </c>
      <c r="M69" s="6">
        <v>100.01</v>
      </c>
      <c r="N69">
        <v>0</v>
      </c>
      <c r="O69" s="6">
        <v>0</v>
      </c>
      <c r="P69">
        <v>0</v>
      </c>
      <c r="Q69" s="8">
        <v>133.31</v>
      </c>
      <c r="R69" s="8">
        <v>133.32</v>
      </c>
      <c r="S69" s="10" t="s">
        <v>529</v>
      </c>
    </row>
    <row r="70" spans="1:19" hidden="1" x14ac:dyDescent="0.25">
      <c r="A70" t="s">
        <v>123</v>
      </c>
      <c r="B70" t="s">
        <v>79</v>
      </c>
      <c r="C70" t="s">
        <v>126</v>
      </c>
      <c r="D70" t="s">
        <v>532</v>
      </c>
      <c r="E70" t="s">
        <v>90</v>
      </c>
      <c r="F70" t="s">
        <v>96</v>
      </c>
      <c r="G70">
        <v>6</v>
      </c>
      <c r="H70">
        <v>11</v>
      </c>
      <c r="I70">
        <v>11</v>
      </c>
      <c r="J70">
        <v>11</v>
      </c>
      <c r="K70" s="6">
        <v>100.06</v>
      </c>
      <c r="L70" s="6">
        <v>0</v>
      </c>
      <c r="M70" s="6">
        <v>100.06</v>
      </c>
      <c r="N70">
        <v>0</v>
      </c>
      <c r="O70" s="6">
        <v>0</v>
      </c>
      <c r="P70">
        <v>0</v>
      </c>
      <c r="Q70" s="8">
        <v>133.31</v>
      </c>
      <c r="R70" s="8">
        <v>133.38999999999999</v>
      </c>
      <c r="S70" s="10" t="s">
        <v>529</v>
      </c>
    </row>
    <row r="71" spans="1:19" hidden="1" x14ac:dyDescent="0.25">
      <c r="A71" t="s">
        <v>123</v>
      </c>
      <c r="B71" t="s">
        <v>79</v>
      </c>
      <c r="C71" t="s">
        <v>126</v>
      </c>
      <c r="D71" t="s">
        <v>532</v>
      </c>
      <c r="E71" t="s">
        <v>90</v>
      </c>
      <c r="F71" t="s">
        <v>6</v>
      </c>
      <c r="G71">
        <v>13</v>
      </c>
      <c r="H71">
        <v>11</v>
      </c>
      <c r="I71">
        <v>11</v>
      </c>
      <c r="J71">
        <v>11</v>
      </c>
      <c r="K71" s="6">
        <v>99.81</v>
      </c>
      <c r="L71" s="6">
        <v>0</v>
      </c>
      <c r="M71" s="6">
        <v>99.81</v>
      </c>
      <c r="N71">
        <v>0</v>
      </c>
      <c r="O71" s="6">
        <v>0</v>
      </c>
      <c r="P71">
        <v>0</v>
      </c>
      <c r="Q71" s="8">
        <v>133.31</v>
      </c>
      <c r="R71" s="8">
        <v>133.05000000000001</v>
      </c>
      <c r="S71" s="10" t="s">
        <v>529</v>
      </c>
    </row>
    <row r="72" spans="1:19" hidden="1" x14ac:dyDescent="0.25">
      <c r="A72" t="s">
        <v>123</v>
      </c>
      <c r="B72" t="s">
        <v>79</v>
      </c>
      <c r="C72" t="s">
        <v>126</v>
      </c>
      <c r="D72" t="s">
        <v>533</v>
      </c>
      <c r="E72" t="s">
        <v>94</v>
      </c>
      <c r="F72" t="s">
        <v>94</v>
      </c>
      <c r="G72">
        <v>0</v>
      </c>
      <c r="H72">
        <v>6</v>
      </c>
      <c r="I72">
        <v>6</v>
      </c>
      <c r="J72">
        <v>6</v>
      </c>
      <c r="K72" s="6">
        <v>100</v>
      </c>
      <c r="L72" s="6">
        <v>0</v>
      </c>
      <c r="M72" s="6">
        <v>100</v>
      </c>
      <c r="N72">
        <v>0</v>
      </c>
      <c r="O72" s="6">
        <v>0</v>
      </c>
      <c r="P72">
        <v>0</v>
      </c>
      <c r="Q72" s="8">
        <v>130.13</v>
      </c>
      <c r="R72" s="8">
        <v>130.13</v>
      </c>
      <c r="S72" s="9" t="s">
        <v>534</v>
      </c>
    </row>
    <row r="73" spans="1:19" hidden="1" x14ac:dyDescent="0.25">
      <c r="A73" t="s">
        <v>123</v>
      </c>
      <c r="B73" t="s">
        <v>79</v>
      </c>
      <c r="C73" t="s">
        <v>126</v>
      </c>
      <c r="D73" t="s">
        <v>533</v>
      </c>
      <c r="E73" t="s">
        <v>94</v>
      </c>
      <c r="F73" t="s">
        <v>96</v>
      </c>
      <c r="G73">
        <v>4</v>
      </c>
      <c r="H73">
        <v>6</v>
      </c>
      <c r="I73">
        <v>6</v>
      </c>
      <c r="J73">
        <v>6</v>
      </c>
      <c r="K73" s="6">
        <v>98.68</v>
      </c>
      <c r="L73" s="6">
        <v>0</v>
      </c>
      <c r="M73" s="6">
        <v>98.68</v>
      </c>
      <c r="N73">
        <v>0</v>
      </c>
      <c r="O73" s="6">
        <v>0</v>
      </c>
      <c r="P73">
        <v>0</v>
      </c>
      <c r="Q73" s="8">
        <v>130.13</v>
      </c>
      <c r="R73" s="8">
        <v>128.41</v>
      </c>
      <c r="S73" s="9" t="s">
        <v>535</v>
      </c>
    </row>
    <row r="74" spans="1:19" hidden="1" x14ac:dyDescent="0.25">
      <c r="A74" t="s">
        <v>123</v>
      </c>
      <c r="B74" t="s">
        <v>79</v>
      </c>
      <c r="C74" t="s">
        <v>126</v>
      </c>
      <c r="D74" t="s">
        <v>533</v>
      </c>
      <c r="E74" t="s">
        <v>94</v>
      </c>
      <c r="F74" t="s">
        <v>6</v>
      </c>
      <c r="G74">
        <v>11</v>
      </c>
      <c r="H74">
        <v>6</v>
      </c>
      <c r="I74">
        <v>6</v>
      </c>
      <c r="J74">
        <v>6</v>
      </c>
      <c r="K74" s="6">
        <v>97.87</v>
      </c>
      <c r="L74" s="6">
        <v>0</v>
      </c>
      <c r="M74" s="6">
        <v>97.87</v>
      </c>
      <c r="N74">
        <v>0</v>
      </c>
      <c r="O74" s="6">
        <v>0</v>
      </c>
      <c r="P74">
        <v>0</v>
      </c>
      <c r="Q74" s="8">
        <v>130.13</v>
      </c>
      <c r="R74" s="8">
        <v>127.35</v>
      </c>
      <c r="S74" s="9" t="s">
        <v>535</v>
      </c>
    </row>
    <row r="75" spans="1:19" hidden="1" x14ac:dyDescent="0.25">
      <c r="A75" t="s">
        <v>123</v>
      </c>
      <c r="B75" t="s">
        <v>79</v>
      </c>
      <c r="C75" t="s">
        <v>127</v>
      </c>
      <c r="D75" t="s">
        <v>524</v>
      </c>
      <c r="E75" t="s">
        <v>90</v>
      </c>
      <c r="F75" t="s">
        <v>90</v>
      </c>
      <c r="G75">
        <v>0</v>
      </c>
      <c r="H75">
        <v>3</v>
      </c>
      <c r="I75">
        <v>3</v>
      </c>
      <c r="J75">
        <v>3</v>
      </c>
      <c r="K75" s="6">
        <v>100</v>
      </c>
      <c r="L75" s="6">
        <v>0</v>
      </c>
      <c r="M75" s="6">
        <v>100</v>
      </c>
      <c r="N75">
        <v>0</v>
      </c>
      <c r="O75" s="6">
        <v>0</v>
      </c>
      <c r="P75">
        <v>0</v>
      </c>
      <c r="Q75" s="8">
        <v>140.1</v>
      </c>
      <c r="R75" s="8">
        <v>140.1</v>
      </c>
      <c r="S75" s="9" t="s">
        <v>525</v>
      </c>
    </row>
    <row r="76" spans="1:19" hidden="1" x14ac:dyDescent="0.25">
      <c r="A76" t="s">
        <v>123</v>
      </c>
      <c r="B76" t="s">
        <v>79</v>
      </c>
      <c r="C76" t="s">
        <v>127</v>
      </c>
      <c r="D76" t="s">
        <v>524</v>
      </c>
      <c r="E76" t="s">
        <v>90</v>
      </c>
      <c r="F76" t="s">
        <v>91</v>
      </c>
      <c r="G76">
        <v>1</v>
      </c>
      <c r="H76">
        <v>3</v>
      </c>
      <c r="I76">
        <v>3</v>
      </c>
      <c r="J76">
        <v>3</v>
      </c>
      <c r="K76" s="6">
        <v>100</v>
      </c>
      <c r="L76" s="6">
        <v>0</v>
      </c>
      <c r="M76" s="6">
        <v>100</v>
      </c>
      <c r="N76">
        <v>0</v>
      </c>
      <c r="O76" s="6">
        <v>0</v>
      </c>
      <c r="P76">
        <v>0</v>
      </c>
      <c r="Q76" s="8">
        <v>140.1</v>
      </c>
      <c r="R76" s="8">
        <v>140.1</v>
      </c>
      <c r="S76" s="9" t="s">
        <v>526</v>
      </c>
    </row>
    <row r="77" spans="1:19" hidden="1" x14ac:dyDescent="0.25">
      <c r="A77" t="s">
        <v>123</v>
      </c>
      <c r="B77" t="s">
        <v>79</v>
      </c>
      <c r="C77" t="s">
        <v>127</v>
      </c>
      <c r="D77" t="s">
        <v>524</v>
      </c>
      <c r="E77" t="s">
        <v>90</v>
      </c>
      <c r="F77" t="s">
        <v>94</v>
      </c>
      <c r="G77">
        <v>2</v>
      </c>
      <c r="H77">
        <v>3</v>
      </c>
      <c r="I77">
        <v>3</v>
      </c>
      <c r="J77">
        <v>3</v>
      </c>
      <c r="K77" s="6">
        <v>100</v>
      </c>
      <c r="L77" s="6">
        <v>0</v>
      </c>
      <c r="M77" s="6">
        <v>100</v>
      </c>
      <c r="N77">
        <v>0</v>
      </c>
      <c r="O77" s="6">
        <v>0</v>
      </c>
      <c r="P77">
        <v>0</v>
      </c>
      <c r="Q77" s="8">
        <v>140.1</v>
      </c>
      <c r="R77" s="8">
        <v>140.1</v>
      </c>
      <c r="S77" s="9" t="s">
        <v>526</v>
      </c>
    </row>
    <row r="78" spans="1:19" hidden="1" x14ac:dyDescent="0.25">
      <c r="A78" t="s">
        <v>123</v>
      </c>
      <c r="B78" t="s">
        <v>79</v>
      </c>
      <c r="C78" t="s">
        <v>127</v>
      </c>
      <c r="D78" t="s">
        <v>524</v>
      </c>
      <c r="E78" t="s">
        <v>90</v>
      </c>
      <c r="F78" t="s">
        <v>96</v>
      </c>
      <c r="G78">
        <v>6</v>
      </c>
      <c r="H78">
        <v>3</v>
      </c>
      <c r="I78">
        <v>3</v>
      </c>
      <c r="J78">
        <v>3</v>
      </c>
      <c r="K78" s="6">
        <v>100</v>
      </c>
      <c r="L78" s="6">
        <v>0</v>
      </c>
      <c r="M78" s="6">
        <v>100</v>
      </c>
      <c r="N78">
        <v>0</v>
      </c>
      <c r="O78" s="6">
        <v>0</v>
      </c>
      <c r="P78">
        <v>0</v>
      </c>
      <c r="Q78" s="8">
        <v>140.1</v>
      </c>
      <c r="R78" s="8">
        <v>140.1</v>
      </c>
      <c r="S78" s="9" t="s">
        <v>526</v>
      </c>
    </row>
    <row r="79" spans="1:19" hidden="1" x14ac:dyDescent="0.25">
      <c r="A79" t="s">
        <v>123</v>
      </c>
      <c r="B79" t="s">
        <v>79</v>
      </c>
      <c r="C79" t="s">
        <v>127</v>
      </c>
      <c r="D79" t="s">
        <v>524</v>
      </c>
      <c r="E79" t="s">
        <v>90</v>
      </c>
      <c r="F79" t="s">
        <v>6</v>
      </c>
      <c r="G79">
        <v>13</v>
      </c>
      <c r="H79">
        <v>3</v>
      </c>
      <c r="I79">
        <v>3</v>
      </c>
      <c r="J79">
        <v>3</v>
      </c>
      <c r="K79" s="6">
        <v>98.47</v>
      </c>
      <c r="L79" s="6">
        <v>-1.52</v>
      </c>
      <c r="M79" s="6">
        <v>98.47</v>
      </c>
      <c r="N79">
        <v>0</v>
      </c>
      <c r="O79" s="6">
        <v>0</v>
      </c>
      <c r="P79">
        <v>0</v>
      </c>
      <c r="Q79" s="8">
        <v>140.1</v>
      </c>
      <c r="R79" s="8">
        <v>137.94999999999999</v>
      </c>
      <c r="S79" s="9" t="s">
        <v>526</v>
      </c>
    </row>
    <row r="80" spans="1:19" hidden="1" x14ac:dyDescent="0.25">
      <c r="A80" t="s">
        <v>123</v>
      </c>
      <c r="B80" t="s">
        <v>79</v>
      </c>
      <c r="C80" t="s">
        <v>127</v>
      </c>
      <c r="D80" t="s">
        <v>527</v>
      </c>
      <c r="E80" t="s">
        <v>90</v>
      </c>
      <c r="F80" t="s">
        <v>90</v>
      </c>
      <c r="G80">
        <v>0</v>
      </c>
      <c r="H80">
        <v>11</v>
      </c>
      <c r="I80">
        <v>11</v>
      </c>
      <c r="J80">
        <v>11</v>
      </c>
      <c r="K80" s="6">
        <v>100</v>
      </c>
      <c r="L80" s="6">
        <v>0</v>
      </c>
      <c r="M80" s="6">
        <v>100</v>
      </c>
      <c r="N80">
        <v>0</v>
      </c>
      <c r="O80" s="6">
        <v>0</v>
      </c>
      <c r="P80">
        <v>0</v>
      </c>
      <c r="Q80" s="8">
        <v>147.38999999999999</v>
      </c>
      <c r="R80" s="8">
        <v>147.38999999999999</v>
      </c>
      <c r="S80" s="9" t="s">
        <v>528</v>
      </c>
    </row>
    <row r="81" spans="1:19" hidden="1" x14ac:dyDescent="0.25">
      <c r="A81" t="s">
        <v>123</v>
      </c>
      <c r="B81" t="s">
        <v>79</v>
      </c>
      <c r="C81" t="s">
        <v>127</v>
      </c>
      <c r="D81" t="s">
        <v>527</v>
      </c>
      <c r="E81" t="s">
        <v>90</v>
      </c>
      <c r="F81" t="s">
        <v>91</v>
      </c>
      <c r="G81">
        <v>1</v>
      </c>
      <c r="H81">
        <v>11</v>
      </c>
      <c r="I81">
        <v>11</v>
      </c>
      <c r="J81">
        <v>11</v>
      </c>
      <c r="K81" s="6">
        <v>100</v>
      </c>
      <c r="L81" s="6">
        <v>0</v>
      </c>
      <c r="M81" s="6">
        <v>100</v>
      </c>
      <c r="N81">
        <v>0</v>
      </c>
      <c r="O81" s="6">
        <v>0</v>
      </c>
      <c r="P81">
        <v>0</v>
      </c>
      <c r="Q81" s="8">
        <v>147.38999999999999</v>
      </c>
      <c r="R81" s="8">
        <v>147.38999999999999</v>
      </c>
      <c r="S81" s="10" t="s">
        <v>529</v>
      </c>
    </row>
    <row r="82" spans="1:19" hidden="1" x14ac:dyDescent="0.25">
      <c r="A82" t="s">
        <v>123</v>
      </c>
      <c r="B82" t="s">
        <v>79</v>
      </c>
      <c r="C82" t="s">
        <v>127</v>
      </c>
      <c r="D82" t="s">
        <v>527</v>
      </c>
      <c r="E82" t="s">
        <v>90</v>
      </c>
      <c r="F82" t="s">
        <v>94</v>
      </c>
      <c r="G82">
        <v>2</v>
      </c>
      <c r="H82">
        <v>11</v>
      </c>
      <c r="I82">
        <v>11</v>
      </c>
      <c r="J82">
        <v>11</v>
      </c>
      <c r="K82" s="6">
        <v>100</v>
      </c>
      <c r="L82" s="6">
        <v>0</v>
      </c>
      <c r="M82" s="6">
        <v>100</v>
      </c>
      <c r="N82">
        <v>0</v>
      </c>
      <c r="O82" s="6">
        <v>0</v>
      </c>
      <c r="P82">
        <v>0</v>
      </c>
      <c r="Q82" s="8">
        <v>147.38999999999999</v>
      </c>
      <c r="R82" s="8">
        <v>147.38999999999999</v>
      </c>
      <c r="S82" s="10" t="s">
        <v>529</v>
      </c>
    </row>
    <row r="83" spans="1:19" hidden="1" x14ac:dyDescent="0.25">
      <c r="A83" t="s">
        <v>123</v>
      </c>
      <c r="B83" t="s">
        <v>79</v>
      </c>
      <c r="C83" t="s">
        <v>127</v>
      </c>
      <c r="D83" t="s">
        <v>527</v>
      </c>
      <c r="E83" t="s">
        <v>90</v>
      </c>
      <c r="F83" t="s">
        <v>96</v>
      </c>
      <c r="G83">
        <v>6</v>
      </c>
      <c r="H83">
        <v>11</v>
      </c>
      <c r="I83">
        <v>11</v>
      </c>
      <c r="J83">
        <v>11</v>
      </c>
      <c r="K83" s="6">
        <v>100</v>
      </c>
      <c r="L83" s="6">
        <v>0</v>
      </c>
      <c r="M83" s="6">
        <v>100</v>
      </c>
      <c r="N83">
        <v>0</v>
      </c>
      <c r="O83" s="6">
        <v>0</v>
      </c>
      <c r="P83">
        <v>0</v>
      </c>
      <c r="Q83" s="8">
        <v>147.38999999999999</v>
      </c>
      <c r="R83" s="8">
        <v>147.38999999999999</v>
      </c>
      <c r="S83" s="10" t="s">
        <v>529</v>
      </c>
    </row>
    <row r="84" spans="1:19" hidden="1" x14ac:dyDescent="0.25">
      <c r="A84" t="s">
        <v>123</v>
      </c>
      <c r="B84" t="s">
        <v>79</v>
      </c>
      <c r="C84" t="s">
        <v>127</v>
      </c>
      <c r="D84" t="s">
        <v>527</v>
      </c>
      <c r="E84" t="s">
        <v>90</v>
      </c>
      <c r="F84" t="s">
        <v>6</v>
      </c>
      <c r="G84">
        <v>13</v>
      </c>
      <c r="H84">
        <v>11</v>
      </c>
      <c r="I84">
        <v>11</v>
      </c>
      <c r="J84">
        <v>11</v>
      </c>
      <c r="K84" s="6">
        <v>98.59</v>
      </c>
      <c r="L84" s="6">
        <v>-1.51</v>
      </c>
      <c r="M84" s="6">
        <v>98.59</v>
      </c>
      <c r="N84">
        <v>0</v>
      </c>
      <c r="O84" s="6">
        <v>0</v>
      </c>
      <c r="P84">
        <v>0</v>
      </c>
      <c r="Q84" s="8">
        <v>147.38999999999999</v>
      </c>
      <c r="R84" s="8">
        <v>145.31</v>
      </c>
      <c r="S84" s="10" t="s">
        <v>529</v>
      </c>
    </row>
    <row r="85" spans="1:19" hidden="1" x14ac:dyDescent="0.25">
      <c r="A85" t="s">
        <v>123</v>
      </c>
      <c r="B85" t="s">
        <v>79</v>
      </c>
      <c r="C85" t="s">
        <v>127</v>
      </c>
      <c r="D85" t="s">
        <v>530</v>
      </c>
      <c r="E85" t="s">
        <v>90</v>
      </c>
      <c r="F85" t="s">
        <v>90</v>
      </c>
      <c r="G85">
        <v>0</v>
      </c>
      <c r="H85">
        <v>11</v>
      </c>
      <c r="I85">
        <v>11</v>
      </c>
      <c r="J85">
        <v>11</v>
      </c>
      <c r="K85" s="6">
        <v>100</v>
      </c>
      <c r="L85" s="6">
        <v>0</v>
      </c>
      <c r="M85" s="6">
        <v>100</v>
      </c>
      <c r="N85">
        <v>0</v>
      </c>
      <c r="O85" s="6">
        <v>0</v>
      </c>
      <c r="P85">
        <v>0</v>
      </c>
      <c r="Q85" s="8">
        <v>184.3</v>
      </c>
      <c r="R85" s="8">
        <v>184.3</v>
      </c>
      <c r="S85" s="9" t="s">
        <v>528</v>
      </c>
    </row>
    <row r="86" spans="1:19" hidden="1" x14ac:dyDescent="0.25">
      <c r="A86" t="s">
        <v>123</v>
      </c>
      <c r="B86" t="s">
        <v>79</v>
      </c>
      <c r="C86" t="s">
        <v>127</v>
      </c>
      <c r="D86" t="s">
        <v>530</v>
      </c>
      <c r="E86" t="s">
        <v>90</v>
      </c>
      <c r="F86" t="s">
        <v>91</v>
      </c>
      <c r="G86">
        <v>1</v>
      </c>
      <c r="H86">
        <v>11</v>
      </c>
      <c r="I86">
        <v>11</v>
      </c>
      <c r="J86">
        <v>11</v>
      </c>
      <c r="K86" s="6">
        <v>100</v>
      </c>
      <c r="L86" s="6">
        <v>0</v>
      </c>
      <c r="M86" s="6">
        <v>100</v>
      </c>
      <c r="N86">
        <v>0</v>
      </c>
      <c r="O86" s="6">
        <v>0</v>
      </c>
      <c r="P86">
        <v>0</v>
      </c>
      <c r="Q86" s="8">
        <v>184.3</v>
      </c>
      <c r="R86" s="8">
        <v>184.3</v>
      </c>
      <c r="S86" s="10" t="s">
        <v>529</v>
      </c>
    </row>
    <row r="87" spans="1:19" hidden="1" x14ac:dyDescent="0.25">
      <c r="A87" t="s">
        <v>123</v>
      </c>
      <c r="B87" t="s">
        <v>79</v>
      </c>
      <c r="C87" t="s">
        <v>127</v>
      </c>
      <c r="D87" t="s">
        <v>530</v>
      </c>
      <c r="E87" t="s">
        <v>90</v>
      </c>
      <c r="F87" t="s">
        <v>94</v>
      </c>
      <c r="G87">
        <v>2</v>
      </c>
      <c r="H87">
        <v>11</v>
      </c>
      <c r="I87">
        <v>11</v>
      </c>
      <c r="J87">
        <v>11</v>
      </c>
      <c r="K87" s="6">
        <v>100</v>
      </c>
      <c r="L87" s="6">
        <v>0</v>
      </c>
      <c r="M87" s="6">
        <v>100</v>
      </c>
      <c r="N87">
        <v>0</v>
      </c>
      <c r="O87" s="6">
        <v>0</v>
      </c>
      <c r="P87">
        <v>0</v>
      </c>
      <c r="Q87" s="8">
        <v>184.3</v>
      </c>
      <c r="R87" s="8">
        <v>184.3</v>
      </c>
      <c r="S87" s="10" t="s">
        <v>529</v>
      </c>
    </row>
    <row r="88" spans="1:19" hidden="1" x14ac:dyDescent="0.25">
      <c r="A88" t="s">
        <v>123</v>
      </c>
      <c r="B88" t="s">
        <v>79</v>
      </c>
      <c r="C88" t="s">
        <v>127</v>
      </c>
      <c r="D88" t="s">
        <v>530</v>
      </c>
      <c r="E88" t="s">
        <v>90</v>
      </c>
      <c r="F88" t="s">
        <v>96</v>
      </c>
      <c r="G88">
        <v>6</v>
      </c>
      <c r="H88">
        <v>11</v>
      </c>
      <c r="I88">
        <v>11</v>
      </c>
      <c r="J88">
        <v>11</v>
      </c>
      <c r="K88" s="6">
        <v>100</v>
      </c>
      <c r="L88" s="6">
        <v>0</v>
      </c>
      <c r="M88" s="6">
        <v>100</v>
      </c>
      <c r="N88">
        <v>0</v>
      </c>
      <c r="O88" s="6">
        <v>0</v>
      </c>
      <c r="P88">
        <v>0</v>
      </c>
      <c r="Q88" s="8">
        <v>184.3</v>
      </c>
      <c r="R88" s="8">
        <v>184.3</v>
      </c>
      <c r="S88" s="10" t="s">
        <v>529</v>
      </c>
    </row>
    <row r="89" spans="1:19" hidden="1" x14ac:dyDescent="0.25">
      <c r="A89" t="s">
        <v>123</v>
      </c>
      <c r="B89" t="s">
        <v>79</v>
      </c>
      <c r="C89" t="s">
        <v>127</v>
      </c>
      <c r="D89" t="s">
        <v>530</v>
      </c>
      <c r="E89" t="s">
        <v>90</v>
      </c>
      <c r="F89" t="s">
        <v>6</v>
      </c>
      <c r="G89">
        <v>13</v>
      </c>
      <c r="H89">
        <v>11</v>
      </c>
      <c r="I89">
        <v>11</v>
      </c>
      <c r="J89">
        <v>11</v>
      </c>
      <c r="K89" s="6">
        <v>99.93</v>
      </c>
      <c r="L89" s="6">
        <v>0</v>
      </c>
      <c r="M89" s="6">
        <v>99.93</v>
      </c>
      <c r="N89">
        <v>0</v>
      </c>
      <c r="O89" s="6">
        <v>0</v>
      </c>
      <c r="P89">
        <v>0</v>
      </c>
      <c r="Q89" s="8">
        <v>184.3</v>
      </c>
      <c r="R89" s="8">
        <v>184.17</v>
      </c>
      <c r="S89" s="10" t="s">
        <v>529</v>
      </c>
    </row>
    <row r="90" spans="1:19" hidden="1" x14ac:dyDescent="0.25">
      <c r="A90" t="s">
        <v>123</v>
      </c>
      <c r="B90" t="s">
        <v>79</v>
      </c>
      <c r="C90" t="s">
        <v>127</v>
      </c>
      <c r="D90" t="s">
        <v>531</v>
      </c>
      <c r="E90" t="s">
        <v>90</v>
      </c>
      <c r="F90" t="s">
        <v>90</v>
      </c>
      <c r="G90">
        <v>0</v>
      </c>
      <c r="H90">
        <v>11</v>
      </c>
      <c r="I90">
        <v>11</v>
      </c>
      <c r="J90">
        <v>11</v>
      </c>
      <c r="K90" s="6">
        <v>100</v>
      </c>
      <c r="L90" s="6">
        <v>0</v>
      </c>
      <c r="M90" s="6">
        <v>100</v>
      </c>
      <c r="N90">
        <v>0</v>
      </c>
      <c r="O90" s="6">
        <v>0</v>
      </c>
      <c r="P90">
        <v>0</v>
      </c>
      <c r="Q90" s="8">
        <v>193.57</v>
      </c>
      <c r="R90" s="8">
        <v>193.57</v>
      </c>
      <c r="S90" s="9" t="s">
        <v>528</v>
      </c>
    </row>
    <row r="91" spans="1:19" hidden="1" x14ac:dyDescent="0.25">
      <c r="A91" t="s">
        <v>123</v>
      </c>
      <c r="B91" t="s">
        <v>79</v>
      </c>
      <c r="C91" t="s">
        <v>127</v>
      </c>
      <c r="D91" t="s">
        <v>531</v>
      </c>
      <c r="E91" t="s">
        <v>90</v>
      </c>
      <c r="F91" t="s">
        <v>91</v>
      </c>
      <c r="G91">
        <v>1</v>
      </c>
      <c r="H91">
        <v>11</v>
      </c>
      <c r="I91">
        <v>11</v>
      </c>
      <c r="J91">
        <v>11</v>
      </c>
      <c r="K91" s="6">
        <v>100</v>
      </c>
      <c r="L91" s="6">
        <v>0</v>
      </c>
      <c r="M91" s="6">
        <v>100</v>
      </c>
      <c r="N91">
        <v>0</v>
      </c>
      <c r="O91" s="6">
        <v>0</v>
      </c>
      <c r="P91">
        <v>0</v>
      </c>
      <c r="Q91" s="8">
        <v>193.57</v>
      </c>
      <c r="R91" s="8">
        <v>193.57</v>
      </c>
      <c r="S91" s="10" t="s">
        <v>529</v>
      </c>
    </row>
    <row r="92" spans="1:19" hidden="1" x14ac:dyDescent="0.25">
      <c r="A92" t="s">
        <v>123</v>
      </c>
      <c r="B92" t="s">
        <v>79</v>
      </c>
      <c r="C92" t="s">
        <v>127</v>
      </c>
      <c r="D92" t="s">
        <v>531</v>
      </c>
      <c r="E92" t="s">
        <v>90</v>
      </c>
      <c r="F92" t="s">
        <v>94</v>
      </c>
      <c r="G92">
        <v>2</v>
      </c>
      <c r="H92">
        <v>11</v>
      </c>
      <c r="I92">
        <v>11</v>
      </c>
      <c r="J92">
        <v>11</v>
      </c>
      <c r="K92" s="6">
        <v>100.07</v>
      </c>
      <c r="L92" s="6">
        <v>0</v>
      </c>
      <c r="M92" s="6">
        <v>100.07</v>
      </c>
      <c r="N92">
        <v>0</v>
      </c>
      <c r="O92" s="6">
        <v>0</v>
      </c>
      <c r="P92">
        <v>0</v>
      </c>
      <c r="Q92" s="8">
        <v>193.57</v>
      </c>
      <c r="R92" s="8">
        <v>193.7</v>
      </c>
      <c r="S92" s="10" t="s">
        <v>529</v>
      </c>
    </row>
    <row r="93" spans="1:19" hidden="1" x14ac:dyDescent="0.25">
      <c r="A93" t="s">
        <v>123</v>
      </c>
      <c r="B93" t="s">
        <v>79</v>
      </c>
      <c r="C93" t="s">
        <v>127</v>
      </c>
      <c r="D93" t="s">
        <v>531</v>
      </c>
      <c r="E93" t="s">
        <v>90</v>
      </c>
      <c r="F93" t="s">
        <v>96</v>
      </c>
      <c r="G93">
        <v>6</v>
      </c>
      <c r="H93">
        <v>11</v>
      </c>
      <c r="I93">
        <v>11</v>
      </c>
      <c r="J93">
        <v>11</v>
      </c>
      <c r="K93" s="6">
        <v>100.07</v>
      </c>
      <c r="L93" s="6">
        <v>0</v>
      </c>
      <c r="M93" s="6">
        <v>100.07</v>
      </c>
      <c r="N93">
        <v>0</v>
      </c>
      <c r="O93" s="6">
        <v>0</v>
      </c>
      <c r="P93">
        <v>0</v>
      </c>
      <c r="Q93" s="8">
        <v>193.57</v>
      </c>
      <c r="R93" s="8">
        <v>193.7</v>
      </c>
      <c r="S93" s="10" t="s">
        <v>529</v>
      </c>
    </row>
    <row r="94" spans="1:19" hidden="1" x14ac:dyDescent="0.25">
      <c r="A94" t="s">
        <v>123</v>
      </c>
      <c r="B94" t="s">
        <v>79</v>
      </c>
      <c r="C94" t="s">
        <v>127</v>
      </c>
      <c r="D94" t="s">
        <v>531</v>
      </c>
      <c r="E94" t="s">
        <v>90</v>
      </c>
      <c r="F94" t="s">
        <v>6</v>
      </c>
      <c r="G94">
        <v>13</v>
      </c>
      <c r="H94">
        <v>11</v>
      </c>
      <c r="I94">
        <v>11</v>
      </c>
      <c r="J94">
        <v>11</v>
      </c>
      <c r="K94" s="6">
        <v>100.07</v>
      </c>
      <c r="L94" s="6">
        <v>0</v>
      </c>
      <c r="M94" s="6">
        <v>100.07</v>
      </c>
      <c r="N94">
        <v>0</v>
      </c>
      <c r="O94" s="6">
        <v>0</v>
      </c>
      <c r="P94">
        <v>0</v>
      </c>
      <c r="Q94" s="8">
        <v>193.57</v>
      </c>
      <c r="R94" s="8">
        <v>193.7</v>
      </c>
      <c r="S94" s="10" t="s">
        <v>529</v>
      </c>
    </row>
    <row r="95" spans="1:19" hidden="1" x14ac:dyDescent="0.25">
      <c r="A95" t="s">
        <v>123</v>
      </c>
      <c r="B95" t="s">
        <v>79</v>
      </c>
      <c r="C95" t="s">
        <v>127</v>
      </c>
      <c r="D95" t="s">
        <v>532</v>
      </c>
      <c r="E95" t="s">
        <v>90</v>
      </c>
      <c r="F95" t="s">
        <v>90</v>
      </c>
      <c r="G95">
        <v>0</v>
      </c>
      <c r="H95">
        <v>11</v>
      </c>
      <c r="I95">
        <v>11</v>
      </c>
      <c r="J95">
        <v>11</v>
      </c>
      <c r="K95" s="6">
        <v>100</v>
      </c>
      <c r="L95" s="6">
        <v>0</v>
      </c>
      <c r="M95" s="6">
        <v>100</v>
      </c>
      <c r="N95">
        <v>0</v>
      </c>
      <c r="O95" s="6">
        <v>0</v>
      </c>
      <c r="P95">
        <v>0</v>
      </c>
      <c r="Q95" s="8">
        <v>167.33</v>
      </c>
      <c r="R95" s="8">
        <v>167.33</v>
      </c>
      <c r="S95" s="9" t="s">
        <v>528</v>
      </c>
    </row>
    <row r="96" spans="1:19" hidden="1" x14ac:dyDescent="0.25">
      <c r="A96" t="s">
        <v>123</v>
      </c>
      <c r="B96" t="s">
        <v>79</v>
      </c>
      <c r="C96" t="s">
        <v>127</v>
      </c>
      <c r="D96" t="s">
        <v>532</v>
      </c>
      <c r="E96" t="s">
        <v>90</v>
      </c>
      <c r="F96" t="s">
        <v>91</v>
      </c>
      <c r="G96">
        <v>1</v>
      </c>
      <c r="H96">
        <v>11</v>
      </c>
      <c r="I96">
        <v>11</v>
      </c>
      <c r="J96">
        <v>11</v>
      </c>
      <c r="K96" s="6">
        <v>100</v>
      </c>
      <c r="L96" s="6">
        <v>0</v>
      </c>
      <c r="M96" s="6">
        <v>100</v>
      </c>
      <c r="N96">
        <v>0</v>
      </c>
      <c r="O96" s="6">
        <v>0</v>
      </c>
      <c r="P96">
        <v>0</v>
      </c>
      <c r="Q96" s="8">
        <v>167.33</v>
      </c>
      <c r="R96" s="8">
        <v>167.33</v>
      </c>
      <c r="S96" s="10" t="s">
        <v>529</v>
      </c>
    </row>
    <row r="97" spans="1:19" hidden="1" x14ac:dyDescent="0.25">
      <c r="A97" t="s">
        <v>123</v>
      </c>
      <c r="B97" t="s">
        <v>79</v>
      </c>
      <c r="C97" t="s">
        <v>127</v>
      </c>
      <c r="D97" t="s">
        <v>532</v>
      </c>
      <c r="E97" t="s">
        <v>90</v>
      </c>
      <c r="F97" t="s">
        <v>94</v>
      </c>
      <c r="G97">
        <v>2</v>
      </c>
      <c r="H97">
        <v>11</v>
      </c>
      <c r="I97">
        <v>11</v>
      </c>
      <c r="J97">
        <v>11</v>
      </c>
      <c r="K97" s="6">
        <v>100</v>
      </c>
      <c r="L97" s="6">
        <v>0</v>
      </c>
      <c r="M97" s="6">
        <v>100</v>
      </c>
      <c r="N97">
        <v>0</v>
      </c>
      <c r="O97" s="6">
        <v>0</v>
      </c>
      <c r="P97">
        <v>0</v>
      </c>
      <c r="Q97" s="8">
        <v>167.33</v>
      </c>
      <c r="R97" s="8">
        <v>167.33</v>
      </c>
      <c r="S97" s="10" t="s">
        <v>529</v>
      </c>
    </row>
    <row r="98" spans="1:19" hidden="1" x14ac:dyDescent="0.25">
      <c r="A98" t="s">
        <v>123</v>
      </c>
      <c r="B98" t="s">
        <v>79</v>
      </c>
      <c r="C98" t="s">
        <v>127</v>
      </c>
      <c r="D98" t="s">
        <v>532</v>
      </c>
      <c r="E98" t="s">
        <v>90</v>
      </c>
      <c r="F98" t="s">
        <v>96</v>
      </c>
      <c r="G98">
        <v>6</v>
      </c>
      <c r="H98">
        <v>11</v>
      </c>
      <c r="I98">
        <v>11</v>
      </c>
      <c r="J98">
        <v>11</v>
      </c>
      <c r="K98" s="6">
        <v>100</v>
      </c>
      <c r="L98" s="6">
        <v>0</v>
      </c>
      <c r="M98" s="6">
        <v>100</v>
      </c>
      <c r="N98">
        <v>0</v>
      </c>
      <c r="O98" s="6">
        <v>0</v>
      </c>
      <c r="P98">
        <v>0</v>
      </c>
      <c r="Q98" s="8">
        <v>167.33</v>
      </c>
      <c r="R98" s="8">
        <v>167.33</v>
      </c>
      <c r="S98" s="10" t="s">
        <v>529</v>
      </c>
    </row>
    <row r="99" spans="1:19" hidden="1" x14ac:dyDescent="0.25">
      <c r="A99" t="s">
        <v>123</v>
      </c>
      <c r="B99" t="s">
        <v>79</v>
      </c>
      <c r="C99" t="s">
        <v>127</v>
      </c>
      <c r="D99" t="s">
        <v>532</v>
      </c>
      <c r="E99" t="s">
        <v>90</v>
      </c>
      <c r="F99" t="s">
        <v>6</v>
      </c>
      <c r="G99">
        <v>13</v>
      </c>
      <c r="H99">
        <v>11</v>
      </c>
      <c r="I99">
        <v>11</v>
      </c>
      <c r="J99">
        <v>11</v>
      </c>
      <c r="K99" s="6">
        <v>99.92</v>
      </c>
      <c r="L99" s="6">
        <v>0</v>
      </c>
      <c r="M99" s="6">
        <v>99.92</v>
      </c>
      <c r="N99">
        <v>0</v>
      </c>
      <c r="O99" s="6">
        <v>0</v>
      </c>
      <c r="P99">
        <v>0</v>
      </c>
      <c r="Q99" s="8">
        <v>167.33</v>
      </c>
      <c r="R99" s="8">
        <v>167.2</v>
      </c>
      <c r="S99" s="10" t="s">
        <v>529</v>
      </c>
    </row>
    <row r="100" spans="1:19" hidden="1" x14ac:dyDescent="0.25">
      <c r="A100" t="s">
        <v>123</v>
      </c>
      <c r="B100" t="s">
        <v>79</v>
      </c>
      <c r="C100" t="s">
        <v>127</v>
      </c>
      <c r="D100" t="s">
        <v>533</v>
      </c>
      <c r="E100" t="s">
        <v>94</v>
      </c>
      <c r="F100" t="s">
        <v>94</v>
      </c>
      <c r="G100">
        <v>0</v>
      </c>
      <c r="H100">
        <v>6</v>
      </c>
      <c r="I100">
        <v>6</v>
      </c>
      <c r="J100">
        <v>6</v>
      </c>
      <c r="K100" s="6">
        <v>100</v>
      </c>
      <c r="L100" s="6">
        <v>0</v>
      </c>
      <c r="M100" s="6">
        <v>100</v>
      </c>
      <c r="N100">
        <v>0</v>
      </c>
      <c r="O100" s="6">
        <v>0</v>
      </c>
      <c r="P100">
        <v>0</v>
      </c>
      <c r="Q100" s="8">
        <v>162.55000000000001</v>
      </c>
      <c r="R100" s="8">
        <v>162.55000000000001</v>
      </c>
      <c r="S100" s="9" t="s">
        <v>534</v>
      </c>
    </row>
    <row r="101" spans="1:19" hidden="1" x14ac:dyDescent="0.25">
      <c r="A101" t="s">
        <v>123</v>
      </c>
      <c r="B101" t="s">
        <v>79</v>
      </c>
      <c r="C101" t="s">
        <v>127</v>
      </c>
      <c r="D101" t="s">
        <v>533</v>
      </c>
      <c r="E101" t="s">
        <v>94</v>
      </c>
      <c r="F101" t="s">
        <v>96</v>
      </c>
      <c r="G101">
        <v>4</v>
      </c>
      <c r="H101">
        <v>6</v>
      </c>
      <c r="I101">
        <v>6</v>
      </c>
      <c r="J101">
        <v>6</v>
      </c>
      <c r="K101" s="6">
        <v>100</v>
      </c>
      <c r="L101" s="6">
        <v>0</v>
      </c>
      <c r="M101" s="6">
        <v>100</v>
      </c>
      <c r="N101">
        <v>0</v>
      </c>
      <c r="O101" s="6">
        <v>0</v>
      </c>
      <c r="P101">
        <v>0</v>
      </c>
      <c r="Q101" s="8">
        <v>162.55000000000001</v>
      </c>
      <c r="R101" s="8">
        <v>162.55000000000001</v>
      </c>
      <c r="S101" s="9" t="s">
        <v>535</v>
      </c>
    </row>
    <row r="102" spans="1:19" hidden="1" x14ac:dyDescent="0.25">
      <c r="A102" t="s">
        <v>123</v>
      </c>
      <c r="B102" t="s">
        <v>79</v>
      </c>
      <c r="C102" t="s">
        <v>127</v>
      </c>
      <c r="D102" t="s">
        <v>533</v>
      </c>
      <c r="E102" t="s">
        <v>94</v>
      </c>
      <c r="F102" t="s">
        <v>6</v>
      </c>
      <c r="G102">
        <v>11</v>
      </c>
      <c r="H102">
        <v>6</v>
      </c>
      <c r="I102">
        <v>6</v>
      </c>
      <c r="J102">
        <v>6</v>
      </c>
      <c r="K102" s="6">
        <v>99.85</v>
      </c>
      <c r="L102" s="6">
        <v>0</v>
      </c>
      <c r="M102" s="6">
        <v>99.85</v>
      </c>
      <c r="N102">
        <v>0</v>
      </c>
      <c r="O102" s="6">
        <v>0</v>
      </c>
      <c r="P102">
        <v>0</v>
      </c>
      <c r="Q102" s="8">
        <v>162.55000000000001</v>
      </c>
      <c r="R102" s="8">
        <v>162.31</v>
      </c>
      <c r="S102" s="9" t="s">
        <v>535</v>
      </c>
    </row>
    <row r="103" spans="1:19" hidden="1" x14ac:dyDescent="0.25">
      <c r="A103" t="s">
        <v>123</v>
      </c>
      <c r="B103" t="s">
        <v>79</v>
      </c>
      <c r="C103" t="s">
        <v>128</v>
      </c>
      <c r="D103" t="s">
        <v>524</v>
      </c>
      <c r="E103" t="s">
        <v>90</v>
      </c>
      <c r="F103" t="s">
        <v>90</v>
      </c>
      <c r="G103">
        <v>0</v>
      </c>
      <c r="H103">
        <v>2</v>
      </c>
      <c r="I103">
        <v>2</v>
      </c>
      <c r="J103">
        <v>2</v>
      </c>
      <c r="K103" s="6">
        <v>100</v>
      </c>
      <c r="L103" s="6">
        <v>0</v>
      </c>
      <c r="M103" s="6">
        <v>100</v>
      </c>
      <c r="N103">
        <v>0</v>
      </c>
      <c r="O103" s="6">
        <v>0</v>
      </c>
      <c r="P103">
        <v>0</v>
      </c>
      <c r="Q103" s="8">
        <v>342</v>
      </c>
      <c r="R103" s="8">
        <v>342</v>
      </c>
      <c r="S103" s="9" t="s">
        <v>536</v>
      </c>
    </row>
    <row r="104" spans="1:19" hidden="1" x14ac:dyDescent="0.25">
      <c r="A104" t="s">
        <v>123</v>
      </c>
      <c r="B104" t="s">
        <v>79</v>
      </c>
      <c r="C104" t="s">
        <v>128</v>
      </c>
      <c r="D104" t="s">
        <v>524</v>
      </c>
      <c r="E104" t="s">
        <v>90</v>
      </c>
      <c r="F104" t="s">
        <v>91</v>
      </c>
      <c r="G104">
        <v>1</v>
      </c>
      <c r="H104">
        <v>2</v>
      </c>
      <c r="I104">
        <v>2</v>
      </c>
      <c r="J104">
        <v>2</v>
      </c>
      <c r="K104" s="6">
        <v>100</v>
      </c>
      <c r="L104" s="6">
        <v>0</v>
      </c>
      <c r="M104" s="6">
        <v>100</v>
      </c>
      <c r="N104">
        <v>0</v>
      </c>
      <c r="O104" s="6">
        <v>0</v>
      </c>
      <c r="P104">
        <v>0</v>
      </c>
      <c r="Q104" s="8">
        <v>342</v>
      </c>
      <c r="R104" s="8">
        <v>342</v>
      </c>
      <c r="S104" s="9" t="s">
        <v>537</v>
      </c>
    </row>
    <row r="105" spans="1:19" hidden="1" x14ac:dyDescent="0.25">
      <c r="A105" t="s">
        <v>123</v>
      </c>
      <c r="B105" t="s">
        <v>79</v>
      </c>
      <c r="C105" t="s">
        <v>128</v>
      </c>
      <c r="D105" t="s">
        <v>524</v>
      </c>
      <c r="E105" t="s">
        <v>90</v>
      </c>
      <c r="F105" t="s">
        <v>94</v>
      </c>
      <c r="G105">
        <v>2</v>
      </c>
      <c r="H105">
        <v>2</v>
      </c>
      <c r="I105">
        <v>2</v>
      </c>
      <c r="J105">
        <v>2</v>
      </c>
      <c r="K105" s="6">
        <v>99.85</v>
      </c>
      <c r="L105" s="6">
        <v>-0.15</v>
      </c>
      <c r="M105" s="6">
        <v>99.85</v>
      </c>
      <c r="N105">
        <v>0</v>
      </c>
      <c r="O105" s="6">
        <v>0</v>
      </c>
      <c r="P105">
        <v>0</v>
      </c>
      <c r="Q105" s="8">
        <v>342</v>
      </c>
      <c r="R105" s="8">
        <v>341.5</v>
      </c>
      <c r="S105" s="9" t="s">
        <v>537</v>
      </c>
    </row>
    <row r="106" spans="1:19" hidden="1" x14ac:dyDescent="0.25">
      <c r="A106" t="s">
        <v>123</v>
      </c>
      <c r="B106" t="s">
        <v>79</v>
      </c>
      <c r="C106" t="s">
        <v>128</v>
      </c>
      <c r="D106" t="s">
        <v>524</v>
      </c>
      <c r="E106" t="s">
        <v>90</v>
      </c>
      <c r="F106" t="s">
        <v>96</v>
      </c>
      <c r="G106">
        <v>6</v>
      </c>
      <c r="H106">
        <v>2</v>
      </c>
      <c r="I106">
        <v>2</v>
      </c>
      <c r="J106">
        <v>2</v>
      </c>
      <c r="K106" s="6">
        <v>99.85</v>
      </c>
      <c r="L106" s="6">
        <v>-0.15</v>
      </c>
      <c r="M106" s="6">
        <v>99.85</v>
      </c>
      <c r="N106">
        <v>0</v>
      </c>
      <c r="O106" s="6">
        <v>0</v>
      </c>
      <c r="P106">
        <v>0</v>
      </c>
      <c r="Q106" s="8">
        <v>342</v>
      </c>
      <c r="R106" s="8">
        <v>341.5</v>
      </c>
      <c r="S106" s="9" t="s">
        <v>537</v>
      </c>
    </row>
    <row r="107" spans="1:19" hidden="1" x14ac:dyDescent="0.25">
      <c r="A107" t="s">
        <v>123</v>
      </c>
      <c r="B107" t="s">
        <v>79</v>
      </c>
      <c r="C107" t="s">
        <v>128</v>
      </c>
      <c r="D107" t="s">
        <v>524</v>
      </c>
      <c r="E107" t="s">
        <v>90</v>
      </c>
      <c r="F107" t="s">
        <v>6</v>
      </c>
      <c r="G107">
        <v>13</v>
      </c>
      <c r="H107">
        <v>2</v>
      </c>
      <c r="I107">
        <v>2</v>
      </c>
      <c r="J107">
        <v>2</v>
      </c>
      <c r="K107" s="6">
        <v>99.81</v>
      </c>
      <c r="L107" s="6">
        <v>-0.2</v>
      </c>
      <c r="M107" s="6">
        <v>99.81</v>
      </c>
      <c r="N107">
        <v>0</v>
      </c>
      <c r="O107" s="6">
        <v>0</v>
      </c>
      <c r="P107">
        <v>0</v>
      </c>
      <c r="Q107" s="8">
        <v>342</v>
      </c>
      <c r="R107" s="8">
        <v>341.36</v>
      </c>
      <c r="S107" s="9" t="s">
        <v>537</v>
      </c>
    </row>
    <row r="108" spans="1:19" hidden="1" x14ac:dyDescent="0.25">
      <c r="A108" t="s">
        <v>123</v>
      </c>
      <c r="B108" t="s">
        <v>79</v>
      </c>
      <c r="C108" t="s">
        <v>128</v>
      </c>
      <c r="D108" t="s">
        <v>527</v>
      </c>
      <c r="E108" t="s">
        <v>90</v>
      </c>
      <c r="F108" t="s">
        <v>90</v>
      </c>
      <c r="G108">
        <v>0</v>
      </c>
      <c r="H108">
        <v>11</v>
      </c>
      <c r="I108">
        <v>11</v>
      </c>
      <c r="J108">
        <v>11</v>
      </c>
      <c r="K108" s="6">
        <v>100</v>
      </c>
      <c r="L108" s="6">
        <v>0</v>
      </c>
      <c r="M108" s="6">
        <v>100</v>
      </c>
      <c r="N108">
        <v>0</v>
      </c>
      <c r="O108" s="6">
        <v>0</v>
      </c>
      <c r="P108">
        <v>0</v>
      </c>
      <c r="Q108" s="8">
        <v>380.3</v>
      </c>
      <c r="R108" s="8">
        <v>380.3</v>
      </c>
      <c r="S108" s="9" t="s">
        <v>528</v>
      </c>
    </row>
    <row r="109" spans="1:19" hidden="1" x14ac:dyDescent="0.25">
      <c r="A109" t="s">
        <v>123</v>
      </c>
      <c r="B109" t="s">
        <v>79</v>
      </c>
      <c r="C109" t="s">
        <v>128</v>
      </c>
      <c r="D109" t="s">
        <v>527</v>
      </c>
      <c r="E109" t="s">
        <v>90</v>
      </c>
      <c r="F109" t="s">
        <v>91</v>
      </c>
      <c r="G109">
        <v>1</v>
      </c>
      <c r="H109">
        <v>11</v>
      </c>
      <c r="I109">
        <v>11</v>
      </c>
      <c r="J109">
        <v>11</v>
      </c>
      <c r="K109" s="6">
        <v>100.02</v>
      </c>
      <c r="L109" s="6">
        <v>0</v>
      </c>
      <c r="M109" s="6">
        <v>100.02</v>
      </c>
      <c r="N109">
        <v>0</v>
      </c>
      <c r="O109" s="6">
        <v>0</v>
      </c>
      <c r="P109">
        <v>0</v>
      </c>
      <c r="Q109" s="8">
        <v>380.3</v>
      </c>
      <c r="R109" s="8">
        <v>380.39</v>
      </c>
      <c r="S109" s="10" t="s">
        <v>529</v>
      </c>
    </row>
    <row r="110" spans="1:19" hidden="1" x14ac:dyDescent="0.25">
      <c r="A110" t="s">
        <v>123</v>
      </c>
      <c r="B110" t="s">
        <v>79</v>
      </c>
      <c r="C110" t="s">
        <v>128</v>
      </c>
      <c r="D110" t="s">
        <v>527</v>
      </c>
      <c r="E110" t="s">
        <v>90</v>
      </c>
      <c r="F110" t="s">
        <v>94</v>
      </c>
      <c r="G110">
        <v>2</v>
      </c>
      <c r="H110">
        <v>11</v>
      </c>
      <c r="I110">
        <v>11</v>
      </c>
      <c r="J110">
        <v>11</v>
      </c>
      <c r="K110" s="6">
        <v>100.02</v>
      </c>
      <c r="L110" s="6">
        <v>0</v>
      </c>
      <c r="M110" s="6">
        <v>100.02</v>
      </c>
      <c r="N110">
        <v>0</v>
      </c>
      <c r="O110" s="6">
        <v>0</v>
      </c>
      <c r="P110">
        <v>0</v>
      </c>
      <c r="Q110" s="8">
        <v>380.3</v>
      </c>
      <c r="R110" s="8">
        <v>380.39</v>
      </c>
      <c r="S110" s="10" t="s">
        <v>529</v>
      </c>
    </row>
    <row r="111" spans="1:19" hidden="1" x14ac:dyDescent="0.25">
      <c r="A111" t="s">
        <v>123</v>
      </c>
      <c r="B111" t="s">
        <v>79</v>
      </c>
      <c r="C111" t="s">
        <v>128</v>
      </c>
      <c r="D111" t="s">
        <v>527</v>
      </c>
      <c r="E111" t="s">
        <v>90</v>
      </c>
      <c r="F111" t="s">
        <v>96</v>
      </c>
      <c r="G111">
        <v>6</v>
      </c>
      <c r="H111">
        <v>11</v>
      </c>
      <c r="I111">
        <v>11</v>
      </c>
      <c r="J111">
        <v>11</v>
      </c>
      <c r="K111" s="6">
        <v>100.02</v>
      </c>
      <c r="L111" s="6">
        <v>0</v>
      </c>
      <c r="M111" s="6">
        <v>100.02</v>
      </c>
      <c r="N111">
        <v>0</v>
      </c>
      <c r="O111" s="6">
        <v>0</v>
      </c>
      <c r="P111">
        <v>0</v>
      </c>
      <c r="Q111" s="8">
        <v>380.3</v>
      </c>
      <c r="R111" s="8">
        <v>380.39</v>
      </c>
      <c r="S111" s="10" t="s">
        <v>529</v>
      </c>
    </row>
    <row r="112" spans="1:19" hidden="1" x14ac:dyDescent="0.25">
      <c r="A112" t="s">
        <v>123</v>
      </c>
      <c r="B112" t="s">
        <v>79</v>
      </c>
      <c r="C112" t="s">
        <v>128</v>
      </c>
      <c r="D112" t="s">
        <v>527</v>
      </c>
      <c r="E112" t="s">
        <v>90</v>
      </c>
      <c r="F112" t="s">
        <v>6</v>
      </c>
      <c r="G112">
        <v>13</v>
      </c>
      <c r="H112">
        <v>11</v>
      </c>
      <c r="I112">
        <v>11</v>
      </c>
      <c r="J112">
        <v>11</v>
      </c>
      <c r="K112" s="6">
        <v>99.72</v>
      </c>
      <c r="L112" s="6">
        <v>-0.04</v>
      </c>
      <c r="M112" s="6">
        <v>99.72</v>
      </c>
      <c r="N112">
        <v>0</v>
      </c>
      <c r="O112" s="6">
        <v>0</v>
      </c>
      <c r="P112">
        <v>0</v>
      </c>
      <c r="Q112" s="8">
        <v>380.3</v>
      </c>
      <c r="R112" s="8">
        <v>379.22</v>
      </c>
      <c r="S112" s="10" t="s">
        <v>529</v>
      </c>
    </row>
    <row r="113" spans="1:19" hidden="1" x14ac:dyDescent="0.25">
      <c r="A113" t="s">
        <v>123</v>
      </c>
      <c r="B113" t="s">
        <v>79</v>
      </c>
      <c r="C113" t="s">
        <v>128</v>
      </c>
      <c r="D113" t="s">
        <v>530</v>
      </c>
      <c r="E113" t="s">
        <v>90</v>
      </c>
      <c r="F113" t="s">
        <v>90</v>
      </c>
      <c r="G113">
        <v>0</v>
      </c>
      <c r="H113">
        <v>11</v>
      </c>
      <c r="I113">
        <v>11</v>
      </c>
      <c r="J113">
        <v>11</v>
      </c>
      <c r="K113" s="6">
        <v>100</v>
      </c>
      <c r="L113" s="6">
        <v>0</v>
      </c>
      <c r="M113" s="6">
        <v>100</v>
      </c>
      <c r="N113">
        <v>0</v>
      </c>
      <c r="O113" s="6">
        <v>0</v>
      </c>
      <c r="P113">
        <v>0</v>
      </c>
      <c r="Q113" s="8">
        <v>421.08</v>
      </c>
      <c r="R113" s="8">
        <v>421.08</v>
      </c>
      <c r="S113" s="9" t="s">
        <v>528</v>
      </c>
    </row>
    <row r="114" spans="1:19" hidden="1" x14ac:dyDescent="0.25">
      <c r="A114" t="s">
        <v>123</v>
      </c>
      <c r="B114" t="s">
        <v>79</v>
      </c>
      <c r="C114" t="s">
        <v>128</v>
      </c>
      <c r="D114" t="s">
        <v>530</v>
      </c>
      <c r="E114" t="s">
        <v>90</v>
      </c>
      <c r="F114" t="s">
        <v>91</v>
      </c>
      <c r="G114">
        <v>1</v>
      </c>
      <c r="H114">
        <v>11</v>
      </c>
      <c r="I114">
        <v>11</v>
      </c>
      <c r="J114">
        <v>11</v>
      </c>
      <c r="K114" s="6">
        <v>100</v>
      </c>
      <c r="L114" s="6">
        <v>0</v>
      </c>
      <c r="M114" s="6">
        <v>100</v>
      </c>
      <c r="N114">
        <v>0</v>
      </c>
      <c r="O114" s="6">
        <v>0</v>
      </c>
      <c r="P114">
        <v>0</v>
      </c>
      <c r="Q114" s="8">
        <v>421.08</v>
      </c>
      <c r="R114" s="8">
        <v>421.08</v>
      </c>
      <c r="S114" s="10" t="s">
        <v>529</v>
      </c>
    </row>
    <row r="115" spans="1:19" hidden="1" x14ac:dyDescent="0.25">
      <c r="A115" t="s">
        <v>123</v>
      </c>
      <c r="B115" t="s">
        <v>79</v>
      </c>
      <c r="C115" t="s">
        <v>128</v>
      </c>
      <c r="D115" t="s">
        <v>530</v>
      </c>
      <c r="E115" t="s">
        <v>90</v>
      </c>
      <c r="F115" t="s">
        <v>94</v>
      </c>
      <c r="G115">
        <v>2</v>
      </c>
      <c r="H115">
        <v>11</v>
      </c>
      <c r="I115">
        <v>11</v>
      </c>
      <c r="J115">
        <v>11</v>
      </c>
      <c r="K115" s="6">
        <v>100</v>
      </c>
      <c r="L115" s="6">
        <v>0</v>
      </c>
      <c r="M115" s="6">
        <v>100</v>
      </c>
      <c r="N115">
        <v>0</v>
      </c>
      <c r="O115" s="6">
        <v>0</v>
      </c>
      <c r="P115">
        <v>0</v>
      </c>
      <c r="Q115" s="8">
        <v>421.08</v>
      </c>
      <c r="R115" s="8">
        <v>421.08</v>
      </c>
      <c r="S115" s="10" t="s">
        <v>529</v>
      </c>
    </row>
    <row r="116" spans="1:19" hidden="1" x14ac:dyDescent="0.25">
      <c r="A116" t="s">
        <v>123</v>
      </c>
      <c r="B116" t="s">
        <v>79</v>
      </c>
      <c r="C116" t="s">
        <v>128</v>
      </c>
      <c r="D116" t="s">
        <v>530</v>
      </c>
      <c r="E116" t="s">
        <v>90</v>
      </c>
      <c r="F116" t="s">
        <v>96</v>
      </c>
      <c r="G116">
        <v>6</v>
      </c>
      <c r="H116">
        <v>11</v>
      </c>
      <c r="I116">
        <v>11</v>
      </c>
      <c r="J116">
        <v>11</v>
      </c>
      <c r="K116" s="6">
        <v>100</v>
      </c>
      <c r="L116" s="6">
        <v>0</v>
      </c>
      <c r="M116" s="6">
        <v>100</v>
      </c>
      <c r="N116">
        <v>0</v>
      </c>
      <c r="O116" s="6">
        <v>0</v>
      </c>
      <c r="P116">
        <v>0</v>
      </c>
      <c r="Q116" s="8">
        <v>421.08</v>
      </c>
      <c r="R116" s="8">
        <v>421.08</v>
      </c>
      <c r="S116" s="10" t="s">
        <v>529</v>
      </c>
    </row>
    <row r="117" spans="1:19" hidden="1" x14ac:dyDescent="0.25">
      <c r="A117" t="s">
        <v>123</v>
      </c>
      <c r="B117" t="s">
        <v>79</v>
      </c>
      <c r="C117" t="s">
        <v>128</v>
      </c>
      <c r="D117" t="s">
        <v>530</v>
      </c>
      <c r="E117" t="s">
        <v>90</v>
      </c>
      <c r="F117" t="s">
        <v>6</v>
      </c>
      <c r="G117">
        <v>13</v>
      </c>
      <c r="H117">
        <v>11</v>
      </c>
      <c r="I117">
        <v>11</v>
      </c>
      <c r="J117">
        <v>11</v>
      </c>
      <c r="K117" s="6">
        <v>102.31</v>
      </c>
      <c r="L117" s="6">
        <v>0</v>
      </c>
      <c r="M117" s="6">
        <v>102.31</v>
      </c>
      <c r="N117">
        <v>0</v>
      </c>
      <c r="O117" s="6">
        <v>0</v>
      </c>
      <c r="P117">
        <v>0</v>
      </c>
      <c r="Q117" s="8">
        <v>421.08</v>
      </c>
      <c r="R117" s="8">
        <v>430.81</v>
      </c>
      <c r="S117" s="10" t="s">
        <v>529</v>
      </c>
    </row>
    <row r="118" spans="1:19" hidden="1" x14ac:dyDescent="0.25">
      <c r="A118" t="s">
        <v>123</v>
      </c>
      <c r="B118" t="s">
        <v>79</v>
      </c>
      <c r="C118" t="s">
        <v>128</v>
      </c>
      <c r="D118" t="s">
        <v>531</v>
      </c>
      <c r="E118" t="s">
        <v>90</v>
      </c>
      <c r="F118" t="s">
        <v>90</v>
      </c>
      <c r="G118">
        <v>0</v>
      </c>
      <c r="H118">
        <v>11</v>
      </c>
      <c r="I118">
        <v>11</v>
      </c>
      <c r="J118">
        <v>11</v>
      </c>
      <c r="K118" s="6">
        <v>100</v>
      </c>
      <c r="L118" s="6">
        <v>0</v>
      </c>
      <c r="M118" s="6">
        <v>100</v>
      </c>
      <c r="N118">
        <v>0</v>
      </c>
      <c r="O118" s="6">
        <v>0</v>
      </c>
      <c r="P118">
        <v>0</v>
      </c>
      <c r="Q118" s="8">
        <v>426.56</v>
      </c>
      <c r="R118" s="8">
        <v>426.56</v>
      </c>
      <c r="S118" s="9" t="s">
        <v>528</v>
      </c>
    </row>
    <row r="119" spans="1:19" hidden="1" x14ac:dyDescent="0.25">
      <c r="A119" t="s">
        <v>123</v>
      </c>
      <c r="B119" t="s">
        <v>79</v>
      </c>
      <c r="C119" t="s">
        <v>128</v>
      </c>
      <c r="D119" t="s">
        <v>531</v>
      </c>
      <c r="E119" t="s">
        <v>90</v>
      </c>
      <c r="F119" t="s">
        <v>91</v>
      </c>
      <c r="G119">
        <v>1</v>
      </c>
      <c r="H119">
        <v>11</v>
      </c>
      <c r="I119">
        <v>11</v>
      </c>
      <c r="J119">
        <v>11</v>
      </c>
      <c r="K119" s="6">
        <v>100</v>
      </c>
      <c r="L119" s="6">
        <v>0</v>
      </c>
      <c r="M119" s="6">
        <v>100</v>
      </c>
      <c r="N119">
        <v>0</v>
      </c>
      <c r="O119" s="6">
        <v>0</v>
      </c>
      <c r="P119">
        <v>0</v>
      </c>
      <c r="Q119" s="8">
        <v>426.56</v>
      </c>
      <c r="R119" s="8">
        <v>426.56</v>
      </c>
      <c r="S119" s="10" t="s">
        <v>529</v>
      </c>
    </row>
    <row r="120" spans="1:19" hidden="1" x14ac:dyDescent="0.25">
      <c r="A120" t="s">
        <v>123</v>
      </c>
      <c r="B120" t="s">
        <v>79</v>
      </c>
      <c r="C120" t="s">
        <v>128</v>
      </c>
      <c r="D120" t="s">
        <v>531</v>
      </c>
      <c r="E120" t="s">
        <v>90</v>
      </c>
      <c r="F120" t="s">
        <v>94</v>
      </c>
      <c r="G120">
        <v>2</v>
      </c>
      <c r="H120">
        <v>11</v>
      </c>
      <c r="I120">
        <v>11</v>
      </c>
      <c r="J120">
        <v>11</v>
      </c>
      <c r="K120" s="6">
        <v>100</v>
      </c>
      <c r="L120" s="6">
        <v>0</v>
      </c>
      <c r="M120" s="6">
        <v>100</v>
      </c>
      <c r="N120">
        <v>0</v>
      </c>
      <c r="O120" s="6">
        <v>0</v>
      </c>
      <c r="P120">
        <v>0</v>
      </c>
      <c r="Q120" s="8">
        <v>426.56</v>
      </c>
      <c r="R120" s="8">
        <v>426.56</v>
      </c>
      <c r="S120" s="10" t="s">
        <v>529</v>
      </c>
    </row>
    <row r="121" spans="1:19" hidden="1" x14ac:dyDescent="0.25">
      <c r="A121" t="s">
        <v>123</v>
      </c>
      <c r="B121" t="s">
        <v>79</v>
      </c>
      <c r="C121" t="s">
        <v>128</v>
      </c>
      <c r="D121" t="s">
        <v>531</v>
      </c>
      <c r="E121" t="s">
        <v>90</v>
      </c>
      <c r="F121" t="s">
        <v>96</v>
      </c>
      <c r="G121">
        <v>6</v>
      </c>
      <c r="H121">
        <v>11</v>
      </c>
      <c r="I121">
        <v>11</v>
      </c>
      <c r="J121">
        <v>11</v>
      </c>
      <c r="K121" s="6">
        <v>100</v>
      </c>
      <c r="L121" s="6">
        <v>0</v>
      </c>
      <c r="M121" s="6">
        <v>100</v>
      </c>
      <c r="N121">
        <v>0</v>
      </c>
      <c r="O121" s="6">
        <v>0</v>
      </c>
      <c r="P121">
        <v>0</v>
      </c>
      <c r="Q121" s="8">
        <v>426.56</v>
      </c>
      <c r="R121" s="8">
        <v>426.56</v>
      </c>
      <c r="S121" s="10" t="s">
        <v>529</v>
      </c>
    </row>
    <row r="122" spans="1:19" hidden="1" x14ac:dyDescent="0.25">
      <c r="A122" t="s">
        <v>123</v>
      </c>
      <c r="B122" t="s">
        <v>79</v>
      </c>
      <c r="C122" t="s">
        <v>128</v>
      </c>
      <c r="D122" t="s">
        <v>531</v>
      </c>
      <c r="E122" t="s">
        <v>90</v>
      </c>
      <c r="F122" t="s">
        <v>6</v>
      </c>
      <c r="G122">
        <v>13</v>
      </c>
      <c r="H122">
        <v>11</v>
      </c>
      <c r="I122">
        <v>11</v>
      </c>
      <c r="J122">
        <v>11</v>
      </c>
      <c r="K122" s="6">
        <v>100.3</v>
      </c>
      <c r="L122" s="6">
        <v>0</v>
      </c>
      <c r="M122" s="6">
        <v>100.3</v>
      </c>
      <c r="N122">
        <v>0</v>
      </c>
      <c r="O122" s="6">
        <v>0</v>
      </c>
      <c r="P122">
        <v>0</v>
      </c>
      <c r="Q122" s="8">
        <v>426.56</v>
      </c>
      <c r="R122" s="8">
        <v>427.82</v>
      </c>
      <c r="S122" s="10" t="s">
        <v>529</v>
      </c>
    </row>
    <row r="123" spans="1:19" hidden="1" x14ac:dyDescent="0.25">
      <c r="A123" t="s">
        <v>123</v>
      </c>
      <c r="B123" t="s">
        <v>79</v>
      </c>
      <c r="C123" t="s">
        <v>128</v>
      </c>
      <c r="D123" t="s">
        <v>532</v>
      </c>
      <c r="E123" t="s">
        <v>90</v>
      </c>
      <c r="F123" t="s">
        <v>90</v>
      </c>
      <c r="G123">
        <v>0</v>
      </c>
      <c r="H123">
        <v>11</v>
      </c>
      <c r="I123">
        <v>11</v>
      </c>
      <c r="J123">
        <v>11</v>
      </c>
      <c r="K123" s="6">
        <v>100</v>
      </c>
      <c r="L123" s="6">
        <v>0</v>
      </c>
      <c r="M123" s="6">
        <v>100</v>
      </c>
      <c r="N123">
        <v>0</v>
      </c>
      <c r="O123" s="6">
        <v>0</v>
      </c>
      <c r="P123">
        <v>0</v>
      </c>
      <c r="Q123" s="8">
        <v>399.86</v>
      </c>
      <c r="R123" s="8">
        <v>399.86</v>
      </c>
      <c r="S123" s="9" t="s">
        <v>528</v>
      </c>
    </row>
    <row r="124" spans="1:19" hidden="1" x14ac:dyDescent="0.25">
      <c r="A124" t="s">
        <v>123</v>
      </c>
      <c r="B124" t="s">
        <v>79</v>
      </c>
      <c r="C124" t="s">
        <v>128</v>
      </c>
      <c r="D124" t="s">
        <v>532</v>
      </c>
      <c r="E124" t="s">
        <v>90</v>
      </c>
      <c r="F124" t="s">
        <v>91</v>
      </c>
      <c r="G124">
        <v>1</v>
      </c>
      <c r="H124">
        <v>11</v>
      </c>
      <c r="I124">
        <v>11</v>
      </c>
      <c r="J124">
        <v>11</v>
      </c>
      <c r="K124" s="6">
        <v>100</v>
      </c>
      <c r="L124" s="6">
        <v>0</v>
      </c>
      <c r="M124" s="6">
        <v>100</v>
      </c>
      <c r="N124">
        <v>0</v>
      </c>
      <c r="O124" s="6">
        <v>0</v>
      </c>
      <c r="P124">
        <v>0</v>
      </c>
      <c r="Q124" s="8">
        <v>399.86</v>
      </c>
      <c r="R124" s="8">
        <v>399.86</v>
      </c>
      <c r="S124" s="10" t="s">
        <v>529</v>
      </c>
    </row>
    <row r="125" spans="1:19" hidden="1" x14ac:dyDescent="0.25">
      <c r="A125" t="s">
        <v>123</v>
      </c>
      <c r="B125" t="s">
        <v>79</v>
      </c>
      <c r="C125" t="s">
        <v>128</v>
      </c>
      <c r="D125" t="s">
        <v>532</v>
      </c>
      <c r="E125" t="s">
        <v>90</v>
      </c>
      <c r="F125" t="s">
        <v>94</v>
      </c>
      <c r="G125">
        <v>2</v>
      </c>
      <c r="H125">
        <v>11</v>
      </c>
      <c r="I125">
        <v>11</v>
      </c>
      <c r="J125">
        <v>11</v>
      </c>
      <c r="K125" s="6">
        <v>100</v>
      </c>
      <c r="L125" s="6">
        <v>0</v>
      </c>
      <c r="M125" s="6">
        <v>100</v>
      </c>
      <c r="N125">
        <v>0</v>
      </c>
      <c r="O125" s="6">
        <v>0</v>
      </c>
      <c r="P125">
        <v>0</v>
      </c>
      <c r="Q125" s="8">
        <v>399.86</v>
      </c>
      <c r="R125" s="8">
        <v>399.86</v>
      </c>
      <c r="S125" s="10" t="s">
        <v>529</v>
      </c>
    </row>
    <row r="126" spans="1:19" hidden="1" x14ac:dyDescent="0.25">
      <c r="A126" t="s">
        <v>123</v>
      </c>
      <c r="B126" t="s">
        <v>79</v>
      </c>
      <c r="C126" t="s">
        <v>128</v>
      </c>
      <c r="D126" t="s">
        <v>532</v>
      </c>
      <c r="E126" t="s">
        <v>90</v>
      </c>
      <c r="F126" t="s">
        <v>96</v>
      </c>
      <c r="G126">
        <v>6</v>
      </c>
      <c r="H126">
        <v>11</v>
      </c>
      <c r="I126">
        <v>11</v>
      </c>
      <c r="J126">
        <v>11</v>
      </c>
      <c r="K126" s="6">
        <v>100</v>
      </c>
      <c r="L126" s="6">
        <v>0</v>
      </c>
      <c r="M126" s="6">
        <v>100</v>
      </c>
      <c r="N126">
        <v>0</v>
      </c>
      <c r="O126" s="6">
        <v>0</v>
      </c>
      <c r="P126">
        <v>0</v>
      </c>
      <c r="Q126" s="8">
        <v>399.86</v>
      </c>
      <c r="R126" s="8">
        <v>399.86</v>
      </c>
      <c r="S126" s="10" t="s">
        <v>529</v>
      </c>
    </row>
    <row r="127" spans="1:19" hidden="1" x14ac:dyDescent="0.25">
      <c r="A127" t="s">
        <v>123</v>
      </c>
      <c r="B127" t="s">
        <v>79</v>
      </c>
      <c r="C127" t="s">
        <v>128</v>
      </c>
      <c r="D127" t="s">
        <v>532</v>
      </c>
      <c r="E127" t="s">
        <v>90</v>
      </c>
      <c r="F127" t="s">
        <v>6</v>
      </c>
      <c r="G127">
        <v>13</v>
      </c>
      <c r="H127">
        <v>11</v>
      </c>
      <c r="I127">
        <v>11</v>
      </c>
      <c r="J127">
        <v>11</v>
      </c>
      <c r="K127" s="6">
        <v>100</v>
      </c>
      <c r="L127" s="6">
        <v>0</v>
      </c>
      <c r="M127" s="6">
        <v>100</v>
      </c>
      <c r="N127">
        <v>0</v>
      </c>
      <c r="O127" s="6">
        <v>0</v>
      </c>
      <c r="P127">
        <v>0</v>
      </c>
      <c r="Q127" s="8">
        <v>399.86</v>
      </c>
      <c r="R127" s="8">
        <v>399.86</v>
      </c>
      <c r="S127" s="10" t="s">
        <v>529</v>
      </c>
    </row>
    <row r="128" spans="1:19" hidden="1" x14ac:dyDescent="0.25">
      <c r="A128" t="s">
        <v>123</v>
      </c>
      <c r="B128" t="s">
        <v>79</v>
      </c>
      <c r="C128" t="s">
        <v>128</v>
      </c>
      <c r="D128" t="s">
        <v>533</v>
      </c>
      <c r="E128" t="s">
        <v>94</v>
      </c>
      <c r="F128" t="s">
        <v>94</v>
      </c>
      <c r="G128">
        <v>0</v>
      </c>
      <c r="H128">
        <v>5</v>
      </c>
      <c r="I128">
        <v>5</v>
      </c>
      <c r="J128">
        <v>5</v>
      </c>
      <c r="K128" s="6">
        <v>100</v>
      </c>
      <c r="L128" s="6">
        <v>0</v>
      </c>
      <c r="M128" s="6">
        <v>100</v>
      </c>
      <c r="N128">
        <v>0</v>
      </c>
      <c r="O128" s="6">
        <v>0</v>
      </c>
      <c r="P128">
        <v>0</v>
      </c>
      <c r="Q128" s="8">
        <v>390.49</v>
      </c>
      <c r="R128" s="8">
        <v>390.49</v>
      </c>
      <c r="S128" s="9" t="s">
        <v>538</v>
      </c>
    </row>
    <row r="129" spans="1:19" hidden="1" x14ac:dyDescent="0.25">
      <c r="A129" t="s">
        <v>123</v>
      </c>
      <c r="B129" t="s">
        <v>79</v>
      </c>
      <c r="C129" t="s">
        <v>128</v>
      </c>
      <c r="D129" t="s">
        <v>533</v>
      </c>
      <c r="E129" t="s">
        <v>94</v>
      </c>
      <c r="F129" t="s">
        <v>96</v>
      </c>
      <c r="G129">
        <v>4</v>
      </c>
      <c r="H129">
        <v>5</v>
      </c>
      <c r="I129">
        <v>6</v>
      </c>
      <c r="J129">
        <v>5</v>
      </c>
      <c r="K129" s="6">
        <v>104.94</v>
      </c>
      <c r="L129" s="6">
        <v>0</v>
      </c>
      <c r="M129" s="6">
        <v>104.86</v>
      </c>
      <c r="N129">
        <v>-0.08</v>
      </c>
      <c r="O129" s="6">
        <v>0</v>
      </c>
      <c r="P129">
        <v>1</v>
      </c>
      <c r="Q129" s="8">
        <v>390.49</v>
      </c>
      <c r="R129" s="8">
        <v>409.76</v>
      </c>
      <c r="S129" s="9" t="s">
        <v>133</v>
      </c>
    </row>
    <row r="130" spans="1:19" hidden="1" x14ac:dyDescent="0.25">
      <c r="A130" t="s">
        <v>123</v>
      </c>
      <c r="B130" t="s">
        <v>79</v>
      </c>
      <c r="C130" t="s">
        <v>128</v>
      </c>
      <c r="D130" t="s">
        <v>533</v>
      </c>
      <c r="E130" t="s">
        <v>94</v>
      </c>
      <c r="F130" t="s">
        <v>6</v>
      </c>
      <c r="G130">
        <v>11</v>
      </c>
      <c r="H130">
        <v>5</v>
      </c>
      <c r="I130">
        <v>6</v>
      </c>
      <c r="J130">
        <v>5</v>
      </c>
      <c r="K130" s="6">
        <v>105.37</v>
      </c>
      <c r="L130" s="6">
        <v>0</v>
      </c>
      <c r="M130" s="6">
        <v>105.22</v>
      </c>
      <c r="N130">
        <v>-0.15</v>
      </c>
      <c r="O130" s="6">
        <v>0</v>
      </c>
      <c r="P130">
        <v>1</v>
      </c>
      <c r="Q130" s="8">
        <v>390.49</v>
      </c>
      <c r="R130" s="8">
        <v>411.48</v>
      </c>
      <c r="S130" s="9" t="s">
        <v>133</v>
      </c>
    </row>
    <row r="131" spans="1:19" hidden="1" x14ac:dyDescent="0.25">
      <c r="A131" t="s">
        <v>123</v>
      </c>
      <c r="B131" t="s">
        <v>78</v>
      </c>
      <c r="C131" t="s">
        <v>124</v>
      </c>
      <c r="D131" t="s">
        <v>539</v>
      </c>
      <c r="E131" t="s">
        <v>91</v>
      </c>
      <c r="F131" t="s">
        <v>91</v>
      </c>
      <c r="G131">
        <v>0</v>
      </c>
      <c r="H131">
        <v>1</v>
      </c>
      <c r="I131">
        <v>1</v>
      </c>
      <c r="J131">
        <v>1</v>
      </c>
      <c r="K131" s="6">
        <v>100</v>
      </c>
      <c r="L131" s="6">
        <v>0</v>
      </c>
      <c r="M131" s="6">
        <v>100</v>
      </c>
      <c r="N131">
        <v>0</v>
      </c>
      <c r="O131" s="6">
        <v>0</v>
      </c>
      <c r="P131">
        <v>0</v>
      </c>
      <c r="Q131" s="8">
        <v>291.5</v>
      </c>
      <c r="R131" s="8">
        <v>291.5</v>
      </c>
      <c r="S131" s="9" t="s">
        <v>540</v>
      </c>
    </row>
    <row r="132" spans="1:19" hidden="1" x14ac:dyDescent="0.25">
      <c r="A132" t="s">
        <v>123</v>
      </c>
      <c r="B132" t="s">
        <v>78</v>
      </c>
      <c r="C132" t="s">
        <v>124</v>
      </c>
      <c r="D132" t="s">
        <v>539</v>
      </c>
      <c r="E132" t="s">
        <v>91</v>
      </c>
      <c r="F132" t="s">
        <v>94</v>
      </c>
      <c r="G132">
        <v>1</v>
      </c>
      <c r="H132">
        <v>1</v>
      </c>
      <c r="I132">
        <v>1</v>
      </c>
      <c r="J132">
        <v>1</v>
      </c>
      <c r="K132" s="6">
        <v>124.01</v>
      </c>
      <c r="L132" s="6">
        <v>24.01</v>
      </c>
      <c r="M132" s="6">
        <v>124.01</v>
      </c>
      <c r="N132">
        <v>0</v>
      </c>
      <c r="O132" s="6">
        <v>0</v>
      </c>
      <c r="P132">
        <v>0</v>
      </c>
      <c r="Q132" s="8">
        <v>291.5</v>
      </c>
      <c r="R132" s="8">
        <v>361.5</v>
      </c>
      <c r="S132" s="9" t="s">
        <v>541</v>
      </c>
    </row>
    <row r="133" spans="1:19" hidden="1" x14ac:dyDescent="0.25">
      <c r="A133" t="s">
        <v>123</v>
      </c>
      <c r="B133" t="s">
        <v>78</v>
      </c>
      <c r="C133" t="s">
        <v>124</v>
      </c>
      <c r="D133" t="s">
        <v>539</v>
      </c>
      <c r="E133" t="s">
        <v>91</v>
      </c>
      <c r="F133" t="s">
        <v>6</v>
      </c>
      <c r="G133">
        <v>12</v>
      </c>
      <c r="H133">
        <v>1</v>
      </c>
      <c r="I133">
        <v>1</v>
      </c>
      <c r="J133">
        <v>0</v>
      </c>
      <c r="M133" s="6">
        <v>71.8</v>
      </c>
      <c r="O133" s="6">
        <v>100</v>
      </c>
      <c r="P133">
        <v>1</v>
      </c>
      <c r="S133" s="9" t="s">
        <v>542</v>
      </c>
    </row>
    <row r="134" spans="1:19" hidden="1" x14ac:dyDescent="0.25">
      <c r="A134" t="s">
        <v>123</v>
      </c>
      <c r="B134" t="s">
        <v>78</v>
      </c>
      <c r="C134" t="s">
        <v>124</v>
      </c>
      <c r="D134" t="s">
        <v>524</v>
      </c>
      <c r="E134" t="s">
        <v>90</v>
      </c>
      <c r="F134" t="s">
        <v>90</v>
      </c>
      <c r="G134">
        <v>0</v>
      </c>
      <c r="H134">
        <v>1</v>
      </c>
      <c r="I134">
        <v>1</v>
      </c>
      <c r="J134">
        <v>1</v>
      </c>
      <c r="K134" s="6">
        <v>100</v>
      </c>
      <c r="L134" s="6">
        <v>0</v>
      </c>
      <c r="M134" s="6">
        <v>100</v>
      </c>
      <c r="N134">
        <v>0</v>
      </c>
      <c r="O134" s="6">
        <v>0</v>
      </c>
      <c r="P134">
        <v>0</v>
      </c>
      <c r="Q134" s="8">
        <v>208.17</v>
      </c>
      <c r="R134" s="8">
        <v>208.17</v>
      </c>
      <c r="S134" s="9" t="s">
        <v>540</v>
      </c>
    </row>
    <row r="135" spans="1:19" hidden="1" x14ac:dyDescent="0.25">
      <c r="A135" t="s">
        <v>123</v>
      </c>
      <c r="B135" t="s">
        <v>78</v>
      </c>
      <c r="C135" t="s">
        <v>124</v>
      </c>
      <c r="D135" t="s">
        <v>524</v>
      </c>
      <c r="E135" t="s">
        <v>90</v>
      </c>
      <c r="F135" t="s">
        <v>91</v>
      </c>
      <c r="G135">
        <v>1</v>
      </c>
      <c r="H135">
        <v>1</v>
      </c>
      <c r="I135">
        <v>1</v>
      </c>
      <c r="J135">
        <v>1</v>
      </c>
      <c r="K135" s="6">
        <v>100</v>
      </c>
      <c r="L135" s="6">
        <v>0</v>
      </c>
      <c r="M135" s="6">
        <v>100</v>
      </c>
      <c r="N135">
        <v>0</v>
      </c>
      <c r="O135" s="6">
        <v>0</v>
      </c>
      <c r="P135">
        <v>0</v>
      </c>
      <c r="Q135" s="8">
        <v>208.17</v>
      </c>
      <c r="R135" s="8">
        <v>208.17</v>
      </c>
      <c r="S135" s="9" t="s">
        <v>541</v>
      </c>
    </row>
    <row r="136" spans="1:19" hidden="1" x14ac:dyDescent="0.25">
      <c r="A136" t="s">
        <v>123</v>
      </c>
      <c r="B136" t="s">
        <v>78</v>
      </c>
      <c r="C136" t="s">
        <v>124</v>
      </c>
      <c r="D136" t="s">
        <v>524</v>
      </c>
      <c r="E136" t="s">
        <v>90</v>
      </c>
      <c r="F136" t="s">
        <v>94</v>
      </c>
      <c r="G136">
        <v>2</v>
      </c>
      <c r="H136">
        <v>1</v>
      </c>
      <c r="I136">
        <v>1</v>
      </c>
      <c r="J136">
        <v>1</v>
      </c>
      <c r="K136" s="6">
        <v>100</v>
      </c>
      <c r="L136" s="6">
        <v>0</v>
      </c>
      <c r="M136" s="6">
        <v>100</v>
      </c>
      <c r="N136">
        <v>0</v>
      </c>
      <c r="O136" s="6">
        <v>0</v>
      </c>
      <c r="P136">
        <v>0</v>
      </c>
      <c r="Q136" s="8">
        <v>208.17</v>
      </c>
      <c r="R136" s="8">
        <v>208.17</v>
      </c>
      <c r="S136" s="9" t="s">
        <v>541</v>
      </c>
    </row>
    <row r="137" spans="1:19" hidden="1" x14ac:dyDescent="0.25">
      <c r="A137" t="s">
        <v>123</v>
      </c>
      <c r="B137" t="s">
        <v>78</v>
      </c>
      <c r="C137" t="s">
        <v>124</v>
      </c>
      <c r="D137" t="s">
        <v>524</v>
      </c>
      <c r="E137" t="s">
        <v>90</v>
      </c>
      <c r="F137" t="s">
        <v>96</v>
      </c>
      <c r="G137">
        <v>6</v>
      </c>
      <c r="H137">
        <v>1</v>
      </c>
      <c r="I137">
        <v>1</v>
      </c>
      <c r="J137">
        <v>1</v>
      </c>
      <c r="K137" s="6">
        <v>102</v>
      </c>
      <c r="L137" s="6">
        <v>2</v>
      </c>
      <c r="M137" s="6">
        <v>102</v>
      </c>
      <c r="N137">
        <v>0</v>
      </c>
      <c r="O137" s="6">
        <v>0</v>
      </c>
      <c r="P137">
        <v>0</v>
      </c>
      <c r="Q137" s="8">
        <v>208.17</v>
      </c>
      <c r="R137" s="8">
        <v>212.33</v>
      </c>
      <c r="S137" s="9" t="s">
        <v>541</v>
      </c>
    </row>
    <row r="138" spans="1:19" hidden="1" x14ac:dyDescent="0.25">
      <c r="A138" t="s">
        <v>123</v>
      </c>
      <c r="B138" t="s">
        <v>78</v>
      </c>
      <c r="C138" t="s">
        <v>124</v>
      </c>
      <c r="D138" t="s">
        <v>524</v>
      </c>
      <c r="E138" t="s">
        <v>90</v>
      </c>
      <c r="F138" t="s">
        <v>6</v>
      </c>
      <c r="G138">
        <v>13</v>
      </c>
      <c r="H138">
        <v>1</v>
      </c>
      <c r="I138">
        <v>1</v>
      </c>
      <c r="J138">
        <v>1</v>
      </c>
      <c r="K138" s="6">
        <v>104</v>
      </c>
      <c r="L138" s="6">
        <v>4</v>
      </c>
      <c r="M138" s="6">
        <v>104</v>
      </c>
      <c r="N138">
        <v>0</v>
      </c>
      <c r="O138" s="6">
        <v>0</v>
      </c>
      <c r="P138">
        <v>0</v>
      </c>
      <c r="Q138" s="8">
        <v>208.17</v>
      </c>
      <c r="R138" s="8">
        <v>216.5</v>
      </c>
      <c r="S138" s="9" t="s">
        <v>541</v>
      </c>
    </row>
    <row r="139" spans="1:19" hidden="1" x14ac:dyDescent="0.25">
      <c r="A139" t="s">
        <v>123</v>
      </c>
      <c r="B139" t="s">
        <v>78</v>
      </c>
      <c r="C139" t="s">
        <v>124</v>
      </c>
      <c r="D139" t="s">
        <v>527</v>
      </c>
      <c r="E139" t="s">
        <v>90</v>
      </c>
      <c r="F139" t="s">
        <v>90</v>
      </c>
      <c r="G139">
        <v>0</v>
      </c>
      <c r="H139">
        <v>2</v>
      </c>
      <c r="I139">
        <v>2</v>
      </c>
      <c r="J139">
        <v>2</v>
      </c>
      <c r="K139" s="6">
        <v>100</v>
      </c>
      <c r="L139" s="6">
        <v>0</v>
      </c>
      <c r="M139" s="6">
        <v>100</v>
      </c>
      <c r="N139">
        <v>0</v>
      </c>
      <c r="O139" s="6">
        <v>0</v>
      </c>
      <c r="P139">
        <v>0</v>
      </c>
      <c r="Q139" s="8">
        <v>271.3</v>
      </c>
      <c r="R139" s="8">
        <v>271.3</v>
      </c>
      <c r="S139" s="9" t="s">
        <v>536</v>
      </c>
    </row>
    <row r="140" spans="1:19" hidden="1" x14ac:dyDescent="0.25">
      <c r="A140" t="s">
        <v>123</v>
      </c>
      <c r="B140" t="s">
        <v>78</v>
      </c>
      <c r="C140" t="s">
        <v>124</v>
      </c>
      <c r="D140" t="s">
        <v>527</v>
      </c>
      <c r="E140" t="s">
        <v>90</v>
      </c>
      <c r="F140" t="s">
        <v>91</v>
      </c>
      <c r="G140">
        <v>1</v>
      </c>
      <c r="H140">
        <v>2</v>
      </c>
      <c r="I140">
        <v>2</v>
      </c>
      <c r="J140">
        <v>2</v>
      </c>
      <c r="K140" s="6">
        <v>98.71</v>
      </c>
      <c r="L140" s="6">
        <v>-1.17</v>
      </c>
      <c r="M140" s="6">
        <v>98.71</v>
      </c>
      <c r="N140">
        <v>0</v>
      </c>
      <c r="O140" s="6">
        <v>0</v>
      </c>
      <c r="P140">
        <v>0</v>
      </c>
      <c r="Q140" s="8">
        <v>271.3</v>
      </c>
      <c r="R140" s="8">
        <v>267.8</v>
      </c>
      <c r="S140" s="9" t="s">
        <v>537</v>
      </c>
    </row>
    <row r="141" spans="1:19" hidden="1" x14ac:dyDescent="0.25">
      <c r="A141" t="s">
        <v>123</v>
      </c>
      <c r="B141" t="s">
        <v>78</v>
      </c>
      <c r="C141" t="s">
        <v>124</v>
      </c>
      <c r="D141" t="s">
        <v>527</v>
      </c>
      <c r="E141" t="s">
        <v>90</v>
      </c>
      <c r="F141" t="s">
        <v>94</v>
      </c>
      <c r="G141">
        <v>2</v>
      </c>
      <c r="H141">
        <v>2</v>
      </c>
      <c r="I141">
        <v>2</v>
      </c>
      <c r="J141">
        <v>2</v>
      </c>
      <c r="K141" s="6">
        <v>98.71</v>
      </c>
      <c r="L141" s="6">
        <v>-1.17</v>
      </c>
      <c r="M141" s="6">
        <v>98.71</v>
      </c>
      <c r="N141">
        <v>0</v>
      </c>
      <c r="O141" s="6">
        <v>0</v>
      </c>
      <c r="P141">
        <v>0</v>
      </c>
      <c r="Q141" s="8">
        <v>271.3</v>
      </c>
      <c r="R141" s="8">
        <v>267.8</v>
      </c>
      <c r="S141" s="9" t="s">
        <v>537</v>
      </c>
    </row>
    <row r="142" spans="1:19" hidden="1" x14ac:dyDescent="0.25">
      <c r="A142" t="s">
        <v>123</v>
      </c>
      <c r="B142" t="s">
        <v>78</v>
      </c>
      <c r="C142" t="s">
        <v>124</v>
      </c>
      <c r="D142" t="s">
        <v>527</v>
      </c>
      <c r="E142" t="s">
        <v>90</v>
      </c>
      <c r="F142" t="s">
        <v>96</v>
      </c>
      <c r="G142">
        <v>6</v>
      </c>
      <c r="H142">
        <v>2</v>
      </c>
      <c r="I142">
        <v>2</v>
      </c>
      <c r="J142">
        <v>2</v>
      </c>
      <c r="K142" s="6">
        <v>100.65</v>
      </c>
      <c r="L142" s="6">
        <v>0.81</v>
      </c>
      <c r="M142" s="6">
        <v>100.65</v>
      </c>
      <c r="N142">
        <v>0</v>
      </c>
      <c r="O142" s="6">
        <v>0</v>
      </c>
      <c r="P142">
        <v>0</v>
      </c>
      <c r="Q142" s="8">
        <v>271.3</v>
      </c>
      <c r="R142" s="8">
        <v>273.05</v>
      </c>
      <c r="S142" s="9" t="s">
        <v>537</v>
      </c>
    </row>
    <row r="143" spans="1:19" hidden="1" x14ac:dyDescent="0.25">
      <c r="A143" t="s">
        <v>123</v>
      </c>
      <c r="B143" t="s">
        <v>78</v>
      </c>
      <c r="C143" t="s">
        <v>124</v>
      </c>
      <c r="D143" t="s">
        <v>527</v>
      </c>
      <c r="E143" t="s">
        <v>90</v>
      </c>
      <c r="F143" t="s">
        <v>6</v>
      </c>
      <c r="G143">
        <v>13</v>
      </c>
      <c r="H143">
        <v>2</v>
      </c>
      <c r="I143">
        <v>2</v>
      </c>
      <c r="J143">
        <v>2</v>
      </c>
      <c r="K143" s="6">
        <v>100.65</v>
      </c>
      <c r="L143" s="6">
        <v>0.81</v>
      </c>
      <c r="M143" s="6">
        <v>100.65</v>
      </c>
      <c r="N143">
        <v>0</v>
      </c>
      <c r="O143" s="6">
        <v>0</v>
      </c>
      <c r="P143">
        <v>0</v>
      </c>
      <c r="Q143" s="8">
        <v>271.3</v>
      </c>
      <c r="R143" s="8">
        <v>273.05</v>
      </c>
      <c r="S143" s="9" t="s">
        <v>537</v>
      </c>
    </row>
    <row r="144" spans="1:19" hidden="1" x14ac:dyDescent="0.25">
      <c r="A144" t="s">
        <v>123</v>
      </c>
      <c r="B144" t="s">
        <v>78</v>
      </c>
      <c r="C144" t="s">
        <v>124</v>
      </c>
      <c r="D144" t="s">
        <v>530</v>
      </c>
      <c r="E144" t="s">
        <v>90</v>
      </c>
      <c r="F144" t="s">
        <v>90</v>
      </c>
      <c r="G144">
        <v>0</v>
      </c>
      <c r="H144">
        <v>2</v>
      </c>
      <c r="I144">
        <v>2</v>
      </c>
      <c r="J144">
        <v>2</v>
      </c>
      <c r="K144" s="6">
        <v>100</v>
      </c>
      <c r="L144" s="6">
        <v>0</v>
      </c>
      <c r="M144" s="6">
        <v>100</v>
      </c>
      <c r="N144">
        <v>0</v>
      </c>
      <c r="O144" s="6">
        <v>0</v>
      </c>
      <c r="P144">
        <v>0</v>
      </c>
      <c r="Q144" s="8">
        <v>244.96</v>
      </c>
      <c r="R144" s="8">
        <v>244.96</v>
      </c>
      <c r="S144" s="9" t="s">
        <v>536</v>
      </c>
    </row>
    <row r="145" spans="1:19" hidden="1" x14ac:dyDescent="0.25">
      <c r="A145" t="s">
        <v>123</v>
      </c>
      <c r="B145" t="s">
        <v>78</v>
      </c>
      <c r="C145" t="s">
        <v>124</v>
      </c>
      <c r="D145" t="s">
        <v>530</v>
      </c>
      <c r="E145" t="s">
        <v>90</v>
      </c>
      <c r="F145" t="s">
        <v>91</v>
      </c>
      <c r="G145">
        <v>1</v>
      </c>
      <c r="H145">
        <v>2</v>
      </c>
      <c r="I145">
        <v>2</v>
      </c>
      <c r="J145">
        <v>2</v>
      </c>
      <c r="K145" s="6">
        <v>100</v>
      </c>
      <c r="L145" s="6">
        <v>0</v>
      </c>
      <c r="M145" s="6">
        <v>100</v>
      </c>
      <c r="N145">
        <v>0</v>
      </c>
      <c r="O145" s="6">
        <v>0</v>
      </c>
      <c r="P145">
        <v>0</v>
      </c>
      <c r="Q145" s="8">
        <v>244.96</v>
      </c>
      <c r="R145" s="8">
        <v>244.96</v>
      </c>
      <c r="S145" s="9" t="s">
        <v>537</v>
      </c>
    </row>
    <row r="146" spans="1:19" hidden="1" x14ac:dyDescent="0.25">
      <c r="A146" t="s">
        <v>123</v>
      </c>
      <c r="B146" t="s">
        <v>78</v>
      </c>
      <c r="C146" t="s">
        <v>124</v>
      </c>
      <c r="D146" t="s">
        <v>530</v>
      </c>
      <c r="E146" t="s">
        <v>90</v>
      </c>
      <c r="F146" t="s">
        <v>94</v>
      </c>
      <c r="G146">
        <v>2</v>
      </c>
      <c r="H146">
        <v>2</v>
      </c>
      <c r="I146">
        <v>2</v>
      </c>
      <c r="J146">
        <v>2</v>
      </c>
      <c r="K146" s="6">
        <v>100</v>
      </c>
      <c r="L146" s="6">
        <v>0</v>
      </c>
      <c r="M146" s="6">
        <v>100</v>
      </c>
      <c r="N146">
        <v>0</v>
      </c>
      <c r="O146" s="6">
        <v>0</v>
      </c>
      <c r="P146">
        <v>0</v>
      </c>
      <c r="Q146" s="8">
        <v>244.96</v>
      </c>
      <c r="R146" s="8">
        <v>244.96</v>
      </c>
      <c r="S146" s="9" t="s">
        <v>537</v>
      </c>
    </row>
    <row r="147" spans="1:19" hidden="1" x14ac:dyDescent="0.25">
      <c r="A147" t="s">
        <v>123</v>
      </c>
      <c r="B147" t="s">
        <v>78</v>
      </c>
      <c r="C147" t="s">
        <v>124</v>
      </c>
      <c r="D147" t="s">
        <v>530</v>
      </c>
      <c r="E147" t="s">
        <v>90</v>
      </c>
      <c r="F147" t="s">
        <v>96</v>
      </c>
      <c r="G147">
        <v>6</v>
      </c>
      <c r="H147">
        <v>2</v>
      </c>
      <c r="I147">
        <v>2</v>
      </c>
      <c r="J147">
        <v>2</v>
      </c>
      <c r="K147" s="6">
        <v>100.75</v>
      </c>
      <c r="L147" s="6">
        <v>0.73</v>
      </c>
      <c r="M147" s="6">
        <v>100.75</v>
      </c>
      <c r="N147">
        <v>0</v>
      </c>
      <c r="O147" s="6">
        <v>0</v>
      </c>
      <c r="P147">
        <v>0</v>
      </c>
      <c r="Q147" s="8">
        <v>244.96</v>
      </c>
      <c r="R147" s="8">
        <v>246.8</v>
      </c>
      <c r="S147" s="9" t="s">
        <v>537</v>
      </c>
    </row>
    <row r="148" spans="1:19" hidden="1" x14ac:dyDescent="0.25">
      <c r="A148" t="s">
        <v>123</v>
      </c>
      <c r="B148" t="s">
        <v>78</v>
      </c>
      <c r="C148" t="s">
        <v>124</v>
      </c>
      <c r="D148" t="s">
        <v>530</v>
      </c>
      <c r="E148" t="s">
        <v>90</v>
      </c>
      <c r="F148" t="s">
        <v>6</v>
      </c>
      <c r="G148">
        <v>13</v>
      </c>
      <c r="H148">
        <v>2</v>
      </c>
      <c r="I148">
        <v>2</v>
      </c>
      <c r="J148">
        <v>2</v>
      </c>
      <c r="K148" s="6">
        <v>100</v>
      </c>
      <c r="L148" s="6">
        <v>0</v>
      </c>
      <c r="M148" s="6">
        <v>100</v>
      </c>
      <c r="N148">
        <v>0</v>
      </c>
      <c r="O148" s="6">
        <v>0</v>
      </c>
      <c r="P148">
        <v>0</v>
      </c>
      <c r="Q148" s="8">
        <v>244.96</v>
      </c>
      <c r="R148" s="8">
        <v>244.96</v>
      </c>
      <c r="S148" s="9" t="s">
        <v>537</v>
      </c>
    </row>
    <row r="149" spans="1:19" hidden="1" x14ac:dyDescent="0.25">
      <c r="A149" t="s">
        <v>123</v>
      </c>
      <c r="B149" t="s">
        <v>78</v>
      </c>
      <c r="C149" t="s">
        <v>124</v>
      </c>
      <c r="D149" t="s">
        <v>531</v>
      </c>
      <c r="E149" t="s">
        <v>90</v>
      </c>
      <c r="F149" t="s">
        <v>90</v>
      </c>
      <c r="G149">
        <v>0</v>
      </c>
      <c r="H149">
        <v>5</v>
      </c>
      <c r="I149">
        <v>5</v>
      </c>
      <c r="J149">
        <v>5</v>
      </c>
      <c r="K149" s="6">
        <v>100</v>
      </c>
      <c r="L149" s="6">
        <v>0</v>
      </c>
      <c r="M149" s="6">
        <v>100</v>
      </c>
      <c r="N149">
        <v>0</v>
      </c>
      <c r="O149" s="6">
        <v>0</v>
      </c>
      <c r="P149">
        <v>0</v>
      </c>
      <c r="Q149" s="8">
        <v>233.33</v>
      </c>
      <c r="R149" s="8">
        <v>233.33</v>
      </c>
      <c r="S149" s="9" t="s">
        <v>538</v>
      </c>
    </row>
    <row r="150" spans="1:19" hidden="1" x14ac:dyDescent="0.25">
      <c r="A150" t="s">
        <v>123</v>
      </c>
      <c r="B150" t="s">
        <v>78</v>
      </c>
      <c r="C150" t="s">
        <v>124</v>
      </c>
      <c r="D150" t="s">
        <v>531</v>
      </c>
      <c r="E150" t="s">
        <v>90</v>
      </c>
      <c r="F150" t="s">
        <v>91</v>
      </c>
      <c r="G150">
        <v>1</v>
      </c>
      <c r="H150">
        <v>5</v>
      </c>
      <c r="I150">
        <v>5</v>
      </c>
      <c r="J150">
        <v>5</v>
      </c>
      <c r="K150" s="6">
        <v>100</v>
      </c>
      <c r="L150" s="6">
        <v>0</v>
      </c>
      <c r="M150" s="6">
        <v>100</v>
      </c>
      <c r="N150">
        <v>0</v>
      </c>
      <c r="O150" s="6">
        <v>0</v>
      </c>
      <c r="P150">
        <v>0</v>
      </c>
      <c r="Q150" s="8">
        <v>233.33</v>
      </c>
      <c r="R150" s="8">
        <v>233.33</v>
      </c>
      <c r="S150" s="9" t="s">
        <v>133</v>
      </c>
    </row>
    <row r="151" spans="1:19" hidden="1" x14ac:dyDescent="0.25">
      <c r="A151" t="s">
        <v>123</v>
      </c>
      <c r="B151" t="s">
        <v>78</v>
      </c>
      <c r="C151" t="s">
        <v>124</v>
      </c>
      <c r="D151" t="s">
        <v>531</v>
      </c>
      <c r="E151" t="s">
        <v>90</v>
      </c>
      <c r="F151" t="s">
        <v>94</v>
      </c>
      <c r="G151">
        <v>2</v>
      </c>
      <c r="H151">
        <v>5</v>
      </c>
      <c r="I151">
        <v>5</v>
      </c>
      <c r="J151">
        <v>5</v>
      </c>
      <c r="K151" s="6">
        <v>100</v>
      </c>
      <c r="L151" s="6">
        <v>0</v>
      </c>
      <c r="M151" s="6">
        <v>100</v>
      </c>
      <c r="N151">
        <v>0</v>
      </c>
      <c r="O151" s="6">
        <v>0</v>
      </c>
      <c r="P151">
        <v>0</v>
      </c>
      <c r="Q151" s="8">
        <v>233.33</v>
      </c>
      <c r="R151" s="8">
        <v>233.33</v>
      </c>
      <c r="S151" s="9" t="s">
        <v>133</v>
      </c>
    </row>
    <row r="152" spans="1:19" hidden="1" x14ac:dyDescent="0.25">
      <c r="A152" t="s">
        <v>123</v>
      </c>
      <c r="B152" t="s">
        <v>78</v>
      </c>
      <c r="C152" t="s">
        <v>124</v>
      </c>
      <c r="D152" t="s">
        <v>531</v>
      </c>
      <c r="E152" t="s">
        <v>90</v>
      </c>
      <c r="F152" t="s">
        <v>96</v>
      </c>
      <c r="G152">
        <v>6</v>
      </c>
      <c r="H152">
        <v>5</v>
      </c>
      <c r="I152">
        <v>5</v>
      </c>
      <c r="J152">
        <v>5</v>
      </c>
      <c r="K152" s="6">
        <v>100</v>
      </c>
      <c r="L152" s="6">
        <v>0</v>
      </c>
      <c r="M152" s="6">
        <v>100</v>
      </c>
      <c r="N152">
        <v>0</v>
      </c>
      <c r="O152" s="6">
        <v>0</v>
      </c>
      <c r="P152">
        <v>0</v>
      </c>
      <c r="Q152" s="8">
        <v>233.33</v>
      </c>
      <c r="R152" s="8">
        <v>233.33</v>
      </c>
      <c r="S152" s="9" t="s">
        <v>133</v>
      </c>
    </row>
    <row r="153" spans="1:19" hidden="1" x14ac:dyDescent="0.25">
      <c r="A153" t="s">
        <v>123</v>
      </c>
      <c r="B153" t="s">
        <v>78</v>
      </c>
      <c r="C153" t="s">
        <v>124</v>
      </c>
      <c r="D153" t="s">
        <v>531</v>
      </c>
      <c r="E153" t="s">
        <v>90</v>
      </c>
      <c r="F153" t="s">
        <v>6</v>
      </c>
      <c r="G153">
        <v>13</v>
      </c>
      <c r="H153">
        <v>5</v>
      </c>
      <c r="I153">
        <v>5</v>
      </c>
      <c r="J153">
        <v>5</v>
      </c>
      <c r="K153" s="6">
        <v>100</v>
      </c>
      <c r="L153" s="6">
        <v>0</v>
      </c>
      <c r="M153" s="6">
        <v>100</v>
      </c>
      <c r="N153">
        <v>0</v>
      </c>
      <c r="O153" s="6">
        <v>0</v>
      </c>
      <c r="P153">
        <v>0</v>
      </c>
      <c r="Q153" s="8">
        <v>233.33</v>
      </c>
      <c r="R153" s="8">
        <v>233.33</v>
      </c>
      <c r="S153" s="9" t="s">
        <v>133</v>
      </c>
    </row>
    <row r="154" spans="1:19" hidden="1" x14ac:dyDescent="0.25">
      <c r="A154" t="s">
        <v>123</v>
      </c>
      <c r="B154" t="s">
        <v>78</v>
      </c>
      <c r="C154" t="s">
        <v>124</v>
      </c>
      <c r="D154" t="s">
        <v>532</v>
      </c>
      <c r="E154" t="s">
        <v>90</v>
      </c>
      <c r="F154" t="s">
        <v>90</v>
      </c>
      <c r="G154">
        <v>0</v>
      </c>
      <c r="H154">
        <v>5</v>
      </c>
      <c r="I154">
        <v>5</v>
      </c>
      <c r="J154">
        <v>5</v>
      </c>
      <c r="K154" s="6">
        <v>100</v>
      </c>
      <c r="L154" s="6">
        <v>0</v>
      </c>
      <c r="M154" s="6">
        <v>100</v>
      </c>
      <c r="N154">
        <v>0</v>
      </c>
      <c r="O154" s="6">
        <v>0</v>
      </c>
      <c r="P154">
        <v>0</v>
      </c>
      <c r="Q154" s="8">
        <v>194.3</v>
      </c>
      <c r="R154" s="8">
        <v>194.3</v>
      </c>
      <c r="S154" s="9" t="s">
        <v>538</v>
      </c>
    </row>
    <row r="155" spans="1:19" hidden="1" x14ac:dyDescent="0.25">
      <c r="A155" t="s">
        <v>123</v>
      </c>
      <c r="B155" t="s">
        <v>78</v>
      </c>
      <c r="C155" t="s">
        <v>124</v>
      </c>
      <c r="D155" t="s">
        <v>532</v>
      </c>
      <c r="E155" t="s">
        <v>90</v>
      </c>
      <c r="F155" t="s">
        <v>91</v>
      </c>
      <c r="G155">
        <v>1</v>
      </c>
      <c r="H155">
        <v>5</v>
      </c>
      <c r="I155">
        <v>5</v>
      </c>
      <c r="J155">
        <v>5</v>
      </c>
      <c r="K155" s="6">
        <v>100</v>
      </c>
      <c r="L155" s="6">
        <v>0</v>
      </c>
      <c r="M155" s="6">
        <v>100</v>
      </c>
      <c r="N155">
        <v>0</v>
      </c>
      <c r="O155" s="6">
        <v>0</v>
      </c>
      <c r="P155">
        <v>0</v>
      </c>
      <c r="Q155" s="8">
        <v>194.3</v>
      </c>
      <c r="R155" s="8">
        <v>194.3</v>
      </c>
      <c r="S155" s="9" t="s">
        <v>133</v>
      </c>
    </row>
    <row r="156" spans="1:19" hidden="1" x14ac:dyDescent="0.25">
      <c r="A156" t="s">
        <v>123</v>
      </c>
      <c r="B156" t="s">
        <v>78</v>
      </c>
      <c r="C156" t="s">
        <v>124</v>
      </c>
      <c r="D156" t="s">
        <v>532</v>
      </c>
      <c r="E156" t="s">
        <v>90</v>
      </c>
      <c r="F156" t="s">
        <v>94</v>
      </c>
      <c r="G156">
        <v>2</v>
      </c>
      <c r="H156">
        <v>5</v>
      </c>
      <c r="I156">
        <v>5</v>
      </c>
      <c r="J156">
        <v>5</v>
      </c>
      <c r="K156" s="6">
        <v>100</v>
      </c>
      <c r="L156" s="6">
        <v>0</v>
      </c>
      <c r="M156" s="6">
        <v>100</v>
      </c>
      <c r="N156">
        <v>0</v>
      </c>
      <c r="O156" s="6">
        <v>0</v>
      </c>
      <c r="P156">
        <v>0</v>
      </c>
      <c r="Q156" s="8">
        <v>194.3</v>
      </c>
      <c r="R156" s="8">
        <v>194.3</v>
      </c>
      <c r="S156" s="9" t="s">
        <v>133</v>
      </c>
    </row>
    <row r="157" spans="1:19" hidden="1" x14ac:dyDescent="0.25">
      <c r="A157" t="s">
        <v>123</v>
      </c>
      <c r="B157" t="s">
        <v>78</v>
      </c>
      <c r="C157" t="s">
        <v>124</v>
      </c>
      <c r="D157" t="s">
        <v>532</v>
      </c>
      <c r="E157" t="s">
        <v>90</v>
      </c>
      <c r="F157" t="s">
        <v>96</v>
      </c>
      <c r="G157">
        <v>6</v>
      </c>
      <c r="H157">
        <v>5</v>
      </c>
      <c r="I157">
        <v>5</v>
      </c>
      <c r="J157">
        <v>5</v>
      </c>
      <c r="K157" s="6">
        <v>100</v>
      </c>
      <c r="L157" s="6">
        <v>0</v>
      </c>
      <c r="M157" s="6">
        <v>100</v>
      </c>
      <c r="N157">
        <v>0</v>
      </c>
      <c r="O157" s="6">
        <v>0</v>
      </c>
      <c r="P157">
        <v>0</v>
      </c>
      <c r="Q157" s="8">
        <v>194.3</v>
      </c>
      <c r="R157" s="8">
        <v>194.3</v>
      </c>
      <c r="S157" s="9" t="s">
        <v>133</v>
      </c>
    </row>
    <row r="158" spans="1:19" hidden="1" x14ac:dyDescent="0.25">
      <c r="A158" t="s">
        <v>123</v>
      </c>
      <c r="B158" t="s">
        <v>78</v>
      </c>
      <c r="C158" t="s">
        <v>124</v>
      </c>
      <c r="D158" t="s">
        <v>532</v>
      </c>
      <c r="E158" t="s">
        <v>90</v>
      </c>
      <c r="F158" t="s">
        <v>6</v>
      </c>
      <c r="G158">
        <v>13</v>
      </c>
      <c r="H158">
        <v>5</v>
      </c>
      <c r="I158">
        <v>5</v>
      </c>
      <c r="J158">
        <v>5</v>
      </c>
      <c r="K158" s="6">
        <v>100</v>
      </c>
      <c r="L158" s="6">
        <v>0</v>
      </c>
      <c r="M158" s="6">
        <v>100</v>
      </c>
      <c r="N158">
        <v>0</v>
      </c>
      <c r="O158" s="6">
        <v>0</v>
      </c>
      <c r="P158">
        <v>0</v>
      </c>
      <c r="Q158" s="8">
        <v>194.3</v>
      </c>
      <c r="R158" s="8">
        <v>194.3</v>
      </c>
      <c r="S158" s="9" t="s">
        <v>133</v>
      </c>
    </row>
    <row r="159" spans="1:19" hidden="1" x14ac:dyDescent="0.25">
      <c r="A159" t="s">
        <v>123</v>
      </c>
      <c r="B159" t="s">
        <v>78</v>
      </c>
      <c r="C159" t="s">
        <v>124</v>
      </c>
      <c r="D159" t="s">
        <v>533</v>
      </c>
      <c r="E159" t="s">
        <v>94</v>
      </c>
      <c r="F159" t="s">
        <v>94</v>
      </c>
      <c r="G159">
        <v>0</v>
      </c>
      <c r="H159">
        <v>8</v>
      </c>
      <c r="I159">
        <v>8</v>
      </c>
      <c r="J159">
        <v>8</v>
      </c>
      <c r="K159" s="6">
        <v>100</v>
      </c>
      <c r="L159" s="6">
        <v>0</v>
      </c>
      <c r="M159" s="6">
        <v>100</v>
      </c>
      <c r="N159">
        <v>0</v>
      </c>
      <c r="O159" s="6">
        <v>0</v>
      </c>
      <c r="P159">
        <v>0</v>
      </c>
      <c r="Q159" s="8">
        <v>169.93</v>
      </c>
      <c r="R159" s="8">
        <v>169.93</v>
      </c>
      <c r="S159" s="9" t="s">
        <v>543</v>
      </c>
    </row>
    <row r="160" spans="1:19" hidden="1" x14ac:dyDescent="0.25">
      <c r="A160" t="s">
        <v>123</v>
      </c>
      <c r="B160" t="s">
        <v>78</v>
      </c>
      <c r="C160" t="s">
        <v>124</v>
      </c>
      <c r="D160" t="s">
        <v>533</v>
      </c>
      <c r="E160" t="s">
        <v>94</v>
      </c>
      <c r="F160" t="s">
        <v>96</v>
      </c>
      <c r="G160">
        <v>4</v>
      </c>
      <c r="H160">
        <v>8</v>
      </c>
      <c r="I160">
        <v>8</v>
      </c>
      <c r="J160">
        <v>8</v>
      </c>
      <c r="K160" s="6">
        <v>100</v>
      </c>
      <c r="L160" s="6">
        <v>0</v>
      </c>
      <c r="M160" s="6">
        <v>100</v>
      </c>
      <c r="N160">
        <v>0</v>
      </c>
      <c r="O160" s="6">
        <v>0</v>
      </c>
      <c r="P160">
        <v>0</v>
      </c>
      <c r="Q160" s="8">
        <v>169.93</v>
      </c>
      <c r="R160" s="8">
        <v>169.93</v>
      </c>
      <c r="S160" s="9" t="s">
        <v>544</v>
      </c>
    </row>
    <row r="161" spans="1:19" hidden="1" x14ac:dyDescent="0.25">
      <c r="A161" t="s">
        <v>123</v>
      </c>
      <c r="B161" t="s">
        <v>78</v>
      </c>
      <c r="C161" t="s">
        <v>124</v>
      </c>
      <c r="D161" t="s">
        <v>533</v>
      </c>
      <c r="E161" t="s">
        <v>94</v>
      </c>
      <c r="F161" t="s">
        <v>6</v>
      </c>
      <c r="G161">
        <v>11</v>
      </c>
      <c r="H161">
        <v>8</v>
      </c>
      <c r="I161">
        <v>8</v>
      </c>
      <c r="J161">
        <v>8</v>
      </c>
      <c r="K161" s="6">
        <v>100</v>
      </c>
      <c r="L161" s="6">
        <v>0</v>
      </c>
      <c r="M161" s="6">
        <v>100</v>
      </c>
      <c r="N161">
        <v>0</v>
      </c>
      <c r="O161" s="6">
        <v>0</v>
      </c>
      <c r="P161">
        <v>0</v>
      </c>
      <c r="Q161" s="8">
        <v>169.93</v>
      </c>
      <c r="R161" s="8">
        <v>169.93</v>
      </c>
      <c r="S161" s="9" t="s">
        <v>544</v>
      </c>
    </row>
    <row r="162" spans="1:19" hidden="1" x14ac:dyDescent="0.25">
      <c r="A162" t="s">
        <v>123</v>
      </c>
      <c r="B162" t="s">
        <v>78</v>
      </c>
      <c r="C162" t="s">
        <v>124</v>
      </c>
      <c r="D162" t="s">
        <v>545</v>
      </c>
      <c r="E162" t="s">
        <v>94</v>
      </c>
      <c r="F162" t="s">
        <v>94</v>
      </c>
      <c r="G162">
        <v>0</v>
      </c>
      <c r="H162">
        <v>9</v>
      </c>
      <c r="I162">
        <v>9</v>
      </c>
      <c r="J162">
        <v>9</v>
      </c>
      <c r="K162" s="6">
        <v>100</v>
      </c>
      <c r="L162" s="6">
        <v>0</v>
      </c>
      <c r="M162" s="6">
        <v>100</v>
      </c>
      <c r="N162">
        <v>0</v>
      </c>
      <c r="O162" s="6">
        <v>0</v>
      </c>
      <c r="P162">
        <v>0</v>
      </c>
      <c r="Q162" s="8">
        <v>173.81</v>
      </c>
      <c r="R162" s="8">
        <v>173.81</v>
      </c>
      <c r="S162" s="9" t="s">
        <v>546</v>
      </c>
    </row>
    <row r="163" spans="1:19" hidden="1" x14ac:dyDescent="0.25">
      <c r="A163" t="s">
        <v>123</v>
      </c>
      <c r="B163" t="s">
        <v>78</v>
      </c>
      <c r="C163" t="s">
        <v>124</v>
      </c>
      <c r="D163" t="s">
        <v>545</v>
      </c>
      <c r="E163" t="s">
        <v>94</v>
      </c>
      <c r="F163" t="s">
        <v>96</v>
      </c>
      <c r="G163">
        <v>4</v>
      </c>
      <c r="H163">
        <v>9</v>
      </c>
      <c r="I163">
        <v>9</v>
      </c>
      <c r="J163">
        <v>9</v>
      </c>
      <c r="K163" s="6">
        <v>100</v>
      </c>
      <c r="L163" s="6">
        <v>0</v>
      </c>
      <c r="M163" s="6">
        <v>100</v>
      </c>
      <c r="N163">
        <v>0</v>
      </c>
      <c r="O163" s="6">
        <v>0</v>
      </c>
      <c r="P163">
        <v>0</v>
      </c>
      <c r="Q163" s="8">
        <v>173.81</v>
      </c>
      <c r="R163" s="8">
        <v>173.81</v>
      </c>
      <c r="S163" s="9" t="s">
        <v>547</v>
      </c>
    </row>
    <row r="164" spans="1:19" hidden="1" x14ac:dyDescent="0.25">
      <c r="A164" t="s">
        <v>123</v>
      </c>
      <c r="B164" t="s">
        <v>78</v>
      </c>
      <c r="C164" t="s">
        <v>124</v>
      </c>
      <c r="D164" t="s">
        <v>545</v>
      </c>
      <c r="E164" t="s">
        <v>94</v>
      </c>
      <c r="F164" t="s">
        <v>6</v>
      </c>
      <c r="G164">
        <v>11</v>
      </c>
      <c r="H164">
        <v>9</v>
      </c>
      <c r="I164">
        <v>9</v>
      </c>
      <c r="J164">
        <v>9</v>
      </c>
      <c r="K164" s="6">
        <v>100</v>
      </c>
      <c r="L164" s="6">
        <v>0</v>
      </c>
      <c r="M164" s="6">
        <v>100</v>
      </c>
      <c r="N164">
        <v>0</v>
      </c>
      <c r="O164" s="6">
        <v>0</v>
      </c>
      <c r="P164">
        <v>0</v>
      </c>
      <c r="Q164" s="8">
        <v>173.81</v>
      </c>
      <c r="R164" s="8">
        <v>173.81</v>
      </c>
      <c r="S164" s="9" t="s">
        <v>547</v>
      </c>
    </row>
    <row r="165" spans="1:19" hidden="1" x14ac:dyDescent="0.25">
      <c r="A165" t="s">
        <v>123</v>
      </c>
      <c r="B165" t="s">
        <v>78</v>
      </c>
      <c r="C165" t="s">
        <v>126</v>
      </c>
      <c r="D165" t="s">
        <v>539</v>
      </c>
      <c r="E165" t="s">
        <v>91</v>
      </c>
      <c r="F165" t="s">
        <v>91</v>
      </c>
      <c r="G165">
        <v>0</v>
      </c>
      <c r="H165">
        <v>1</v>
      </c>
      <c r="I165">
        <v>1</v>
      </c>
      <c r="J165">
        <v>1</v>
      </c>
      <c r="K165" s="6">
        <v>100</v>
      </c>
      <c r="L165" s="6">
        <v>0</v>
      </c>
      <c r="M165" s="6">
        <v>100</v>
      </c>
      <c r="N165">
        <v>0</v>
      </c>
      <c r="O165" s="6">
        <v>0</v>
      </c>
      <c r="P165">
        <v>0</v>
      </c>
      <c r="Q165" s="8">
        <v>146.5</v>
      </c>
      <c r="R165" s="8">
        <v>146.5</v>
      </c>
      <c r="S165" s="9" t="s">
        <v>540</v>
      </c>
    </row>
    <row r="166" spans="1:19" hidden="1" x14ac:dyDescent="0.25">
      <c r="A166" t="s">
        <v>123</v>
      </c>
      <c r="B166" t="s">
        <v>78</v>
      </c>
      <c r="C166" t="s">
        <v>126</v>
      </c>
      <c r="D166" t="s">
        <v>539</v>
      </c>
      <c r="E166" t="s">
        <v>91</v>
      </c>
      <c r="F166" t="s">
        <v>94</v>
      </c>
      <c r="G166">
        <v>1</v>
      </c>
      <c r="H166">
        <v>1</v>
      </c>
      <c r="I166">
        <v>2</v>
      </c>
      <c r="J166">
        <v>1</v>
      </c>
      <c r="K166" s="6">
        <v>100</v>
      </c>
      <c r="L166" s="6">
        <v>0</v>
      </c>
      <c r="M166" s="6">
        <v>107.34</v>
      </c>
      <c r="N166">
        <v>7.34</v>
      </c>
      <c r="O166" s="6">
        <v>0</v>
      </c>
      <c r="P166">
        <v>1</v>
      </c>
      <c r="Q166" s="8">
        <v>146.5</v>
      </c>
      <c r="R166" s="8">
        <v>146.5</v>
      </c>
      <c r="S166" s="9" t="s">
        <v>541</v>
      </c>
    </row>
    <row r="167" spans="1:19" hidden="1" x14ac:dyDescent="0.25">
      <c r="A167" t="s">
        <v>123</v>
      </c>
      <c r="B167" t="s">
        <v>78</v>
      </c>
      <c r="C167" t="s">
        <v>126</v>
      </c>
      <c r="D167" t="s">
        <v>539</v>
      </c>
      <c r="E167" t="s">
        <v>91</v>
      </c>
      <c r="F167" t="s">
        <v>96</v>
      </c>
      <c r="G167">
        <v>5</v>
      </c>
      <c r="H167">
        <v>1</v>
      </c>
      <c r="I167">
        <v>1</v>
      </c>
      <c r="J167">
        <v>1</v>
      </c>
      <c r="K167" s="6">
        <v>102.28</v>
      </c>
      <c r="L167" s="6">
        <v>2.2799999999999998</v>
      </c>
      <c r="M167" s="6">
        <v>102.28</v>
      </c>
      <c r="N167">
        <v>0</v>
      </c>
      <c r="O167" s="6">
        <v>0</v>
      </c>
      <c r="P167">
        <v>0</v>
      </c>
      <c r="Q167" s="8">
        <v>146.5</v>
      </c>
      <c r="R167" s="8">
        <v>149.83000000000001</v>
      </c>
      <c r="S167" s="9" t="s">
        <v>541</v>
      </c>
    </row>
    <row r="168" spans="1:19" hidden="1" x14ac:dyDescent="0.25">
      <c r="A168" t="s">
        <v>123</v>
      </c>
      <c r="B168" t="s">
        <v>78</v>
      </c>
      <c r="C168" t="s">
        <v>126</v>
      </c>
      <c r="D168" t="s">
        <v>539</v>
      </c>
      <c r="E168" t="s">
        <v>91</v>
      </c>
      <c r="F168" t="s">
        <v>6</v>
      </c>
      <c r="G168">
        <v>12</v>
      </c>
      <c r="H168">
        <v>1</v>
      </c>
      <c r="I168">
        <v>2</v>
      </c>
      <c r="J168">
        <v>1</v>
      </c>
      <c r="K168" s="6">
        <v>105.69</v>
      </c>
      <c r="L168" s="6">
        <v>5.69</v>
      </c>
      <c r="M168" s="6">
        <v>110.18</v>
      </c>
      <c r="N168">
        <v>4.49</v>
      </c>
      <c r="O168" s="6">
        <v>0</v>
      </c>
      <c r="P168">
        <v>1</v>
      </c>
      <c r="Q168" s="8">
        <v>146.5</v>
      </c>
      <c r="R168" s="8">
        <v>154.83000000000001</v>
      </c>
      <c r="S168" s="9" t="s">
        <v>541</v>
      </c>
    </row>
    <row r="169" spans="1:19" hidden="1" x14ac:dyDescent="0.25">
      <c r="A169" t="s">
        <v>123</v>
      </c>
      <c r="B169" t="s">
        <v>78</v>
      </c>
      <c r="C169" t="s">
        <v>126</v>
      </c>
      <c r="D169" t="s">
        <v>524</v>
      </c>
      <c r="E169" t="s">
        <v>90</v>
      </c>
      <c r="F169" t="s">
        <v>90</v>
      </c>
      <c r="G169">
        <v>0</v>
      </c>
      <c r="H169">
        <v>1</v>
      </c>
      <c r="I169">
        <v>1</v>
      </c>
      <c r="J169">
        <v>1</v>
      </c>
      <c r="K169" s="6">
        <v>100</v>
      </c>
      <c r="L169" s="6">
        <v>0</v>
      </c>
      <c r="M169" s="6">
        <v>100</v>
      </c>
      <c r="N169">
        <v>0</v>
      </c>
      <c r="O169" s="6">
        <v>0</v>
      </c>
      <c r="P169">
        <v>0</v>
      </c>
      <c r="Q169" s="8">
        <v>111.5</v>
      </c>
      <c r="R169" s="8">
        <v>111.5</v>
      </c>
      <c r="S169" s="9" t="s">
        <v>540</v>
      </c>
    </row>
    <row r="170" spans="1:19" hidden="1" x14ac:dyDescent="0.25">
      <c r="A170" t="s">
        <v>123</v>
      </c>
      <c r="B170" t="s">
        <v>78</v>
      </c>
      <c r="C170" t="s">
        <v>126</v>
      </c>
      <c r="D170" t="s">
        <v>524</v>
      </c>
      <c r="E170" t="s">
        <v>90</v>
      </c>
      <c r="F170" t="s">
        <v>91</v>
      </c>
      <c r="G170">
        <v>1</v>
      </c>
      <c r="H170">
        <v>1</v>
      </c>
      <c r="I170">
        <v>1</v>
      </c>
      <c r="J170">
        <v>1</v>
      </c>
      <c r="K170" s="6">
        <v>100</v>
      </c>
      <c r="L170" s="6">
        <v>0</v>
      </c>
      <c r="M170" s="6">
        <v>100</v>
      </c>
      <c r="N170">
        <v>0</v>
      </c>
      <c r="O170" s="6">
        <v>0</v>
      </c>
      <c r="P170">
        <v>0</v>
      </c>
      <c r="Q170" s="8">
        <v>111.5</v>
      </c>
      <c r="R170" s="8">
        <v>111.5</v>
      </c>
      <c r="S170" s="9" t="s">
        <v>541</v>
      </c>
    </row>
    <row r="171" spans="1:19" hidden="1" x14ac:dyDescent="0.25">
      <c r="A171" t="s">
        <v>123</v>
      </c>
      <c r="B171" t="s">
        <v>78</v>
      </c>
      <c r="C171" t="s">
        <v>126</v>
      </c>
      <c r="D171" t="s">
        <v>524</v>
      </c>
      <c r="E171" t="s">
        <v>90</v>
      </c>
      <c r="F171" t="s">
        <v>94</v>
      </c>
      <c r="G171">
        <v>2</v>
      </c>
      <c r="H171">
        <v>1</v>
      </c>
      <c r="I171">
        <v>1</v>
      </c>
      <c r="J171">
        <v>1</v>
      </c>
      <c r="K171" s="6">
        <v>100</v>
      </c>
      <c r="L171" s="6">
        <v>0</v>
      </c>
      <c r="M171" s="6">
        <v>100</v>
      </c>
      <c r="N171">
        <v>0</v>
      </c>
      <c r="O171" s="6">
        <v>0</v>
      </c>
      <c r="P171">
        <v>0</v>
      </c>
      <c r="Q171" s="8">
        <v>111.5</v>
      </c>
      <c r="R171" s="8">
        <v>111.5</v>
      </c>
      <c r="S171" s="9" t="s">
        <v>541</v>
      </c>
    </row>
    <row r="172" spans="1:19" hidden="1" x14ac:dyDescent="0.25">
      <c r="A172" t="s">
        <v>123</v>
      </c>
      <c r="B172" t="s">
        <v>78</v>
      </c>
      <c r="C172" t="s">
        <v>126</v>
      </c>
      <c r="D172" t="s">
        <v>524</v>
      </c>
      <c r="E172" t="s">
        <v>90</v>
      </c>
      <c r="F172" t="s">
        <v>96</v>
      </c>
      <c r="G172">
        <v>6</v>
      </c>
      <c r="H172">
        <v>1</v>
      </c>
      <c r="I172">
        <v>1</v>
      </c>
      <c r="J172">
        <v>1</v>
      </c>
      <c r="K172" s="6">
        <v>100</v>
      </c>
      <c r="L172" s="6">
        <v>0</v>
      </c>
      <c r="M172" s="6">
        <v>100</v>
      </c>
      <c r="N172">
        <v>0</v>
      </c>
      <c r="O172" s="6">
        <v>0</v>
      </c>
      <c r="P172">
        <v>0</v>
      </c>
      <c r="Q172" s="8">
        <v>111.5</v>
      </c>
      <c r="R172" s="8">
        <v>111.5</v>
      </c>
      <c r="S172" s="9" t="s">
        <v>541</v>
      </c>
    </row>
    <row r="173" spans="1:19" hidden="1" x14ac:dyDescent="0.25">
      <c r="A173" t="s">
        <v>123</v>
      </c>
      <c r="B173" t="s">
        <v>78</v>
      </c>
      <c r="C173" t="s">
        <v>126</v>
      </c>
      <c r="D173" t="s">
        <v>524</v>
      </c>
      <c r="E173" t="s">
        <v>90</v>
      </c>
      <c r="F173" t="s">
        <v>6</v>
      </c>
      <c r="G173">
        <v>13</v>
      </c>
      <c r="H173">
        <v>1</v>
      </c>
      <c r="I173">
        <v>1</v>
      </c>
      <c r="J173">
        <v>1</v>
      </c>
      <c r="K173" s="6">
        <v>97.76</v>
      </c>
      <c r="L173" s="6">
        <v>-2.2400000000000002</v>
      </c>
      <c r="M173" s="6">
        <v>97.76</v>
      </c>
      <c r="N173">
        <v>0</v>
      </c>
      <c r="O173" s="6">
        <v>0</v>
      </c>
      <c r="P173">
        <v>0</v>
      </c>
      <c r="Q173" s="8">
        <v>111.5</v>
      </c>
      <c r="R173" s="8">
        <v>109</v>
      </c>
      <c r="S173" s="9" t="s">
        <v>541</v>
      </c>
    </row>
    <row r="174" spans="1:19" hidden="1" x14ac:dyDescent="0.25">
      <c r="A174" t="s">
        <v>123</v>
      </c>
      <c r="B174" t="s">
        <v>78</v>
      </c>
      <c r="C174" t="s">
        <v>126</v>
      </c>
      <c r="D174" t="s">
        <v>527</v>
      </c>
      <c r="E174" t="s">
        <v>90</v>
      </c>
      <c r="F174" t="s">
        <v>90</v>
      </c>
      <c r="G174">
        <v>0</v>
      </c>
      <c r="H174">
        <v>2</v>
      </c>
      <c r="I174">
        <v>2</v>
      </c>
      <c r="J174">
        <v>2</v>
      </c>
      <c r="K174" s="6">
        <v>100</v>
      </c>
      <c r="L174" s="6">
        <v>0</v>
      </c>
      <c r="M174" s="6">
        <v>100</v>
      </c>
      <c r="N174">
        <v>0</v>
      </c>
      <c r="O174" s="6">
        <v>0</v>
      </c>
      <c r="P174">
        <v>0</v>
      </c>
      <c r="Q174" s="8">
        <v>176.05</v>
      </c>
      <c r="R174" s="8">
        <v>176.05</v>
      </c>
      <c r="S174" s="9" t="s">
        <v>536</v>
      </c>
    </row>
    <row r="175" spans="1:19" hidden="1" x14ac:dyDescent="0.25">
      <c r="A175" t="s">
        <v>123</v>
      </c>
      <c r="B175" t="s">
        <v>78</v>
      </c>
      <c r="C175" t="s">
        <v>126</v>
      </c>
      <c r="D175" t="s">
        <v>527</v>
      </c>
      <c r="E175" t="s">
        <v>90</v>
      </c>
      <c r="F175" t="s">
        <v>91</v>
      </c>
      <c r="G175">
        <v>1</v>
      </c>
      <c r="H175">
        <v>2</v>
      </c>
      <c r="I175">
        <v>2</v>
      </c>
      <c r="J175">
        <v>2</v>
      </c>
      <c r="K175" s="6">
        <v>100</v>
      </c>
      <c r="L175" s="6">
        <v>0</v>
      </c>
      <c r="M175" s="6">
        <v>100</v>
      </c>
      <c r="N175">
        <v>0</v>
      </c>
      <c r="O175" s="6">
        <v>0</v>
      </c>
      <c r="P175">
        <v>0</v>
      </c>
      <c r="Q175" s="8">
        <v>176.05</v>
      </c>
      <c r="R175" s="8">
        <v>176.05</v>
      </c>
      <c r="S175" s="9" t="s">
        <v>537</v>
      </c>
    </row>
    <row r="176" spans="1:19" hidden="1" x14ac:dyDescent="0.25">
      <c r="A176" t="s">
        <v>123</v>
      </c>
      <c r="B176" t="s">
        <v>78</v>
      </c>
      <c r="C176" t="s">
        <v>126</v>
      </c>
      <c r="D176" t="s">
        <v>527</v>
      </c>
      <c r="E176" t="s">
        <v>90</v>
      </c>
      <c r="F176" t="s">
        <v>94</v>
      </c>
      <c r="G176">
        <v>2</v>
      </c>
      <c r="H176">
        <v>2</v>
      </c>
      <c r="I176">
        <v>2</v>
      </c>
      <c r="J176">
        <v>2</v>
      </c>
      <c r="K176" s="6">
        <v>100</v>
      </c>
      <c r="L176" s="6">
        <v>0</v>
      </c>
      <c r="M176" s="6">
        <v>100</v>
      </c>
      <c r="N176">
        <v>0</v>
      </c>
      <c r="O176" s="6">
        <v>0</v>
      </c>
      <c r="P176">
        <v>0</v>
      </c>
      <c r="Q176" s="8">
        <v>176.05</v>
      </c>
      <c r="R176" s="8">
        <v>176.05</v>
      </c>
      <c r="S176" s="9" t="s">
        <v>537</v>
      </c>
    </row>
    <row r="177" spans="1:19" hidden="1" x14ac:dyDescent="0.25">
      <c r="A177" t="s">
        <v>123</v>
      </c>
      <c r="B177" t="s">
        <v>78</v>
      </c>
      <c r="C177" t="s">
        <v>126</v>
      </c>
      <c r="D177" t="s">
        <v>527</v>
      </c>
      <c r="E177" t="s">
        <v>90</v>
      </c>
      <c r="F177" t="s">
        <v>96</v>
      </c>
      <c r="G177">
        <v>6</v>
      </c>
      <c r="H177">
        <v>2</v>
      </c>
      <c r="I177">
        <v>2</v>
      </c>
      <c r="J177">
        <v>2</v>
      </c>
      <c r="K177" s="6">
        <v>104.26</v>
      </c>
      <c r="L177" s="6">
        <v>4.47</v>
      </c>
      <c r="M177" s="6">
        <v>104.26</v>
      </c>
      <c r="N177">
        <v>0</v>
      </c>
      <c r="O177" s="6">
        <v>0</v>
      </c>
      <c r="P177">
        <v>0</v>
      </c>
      <c r="Q177" s="8">
        <v>176.05</v>
      </c>
      <c r="R177" s="8">
        <v>183.55</v>
      </c>
      <c r="S177" s="9" t="s">
        <v>537</v>
      </c>
    </row>
    <row r="178" spans="1:19" hidden="1" x14ac:dyDescent="0.25">
      <c r="A178" t="s">
        <v>123</v>
      </c>
      <c r="B178" t="s">
        <v>78</v>
      </c>
      <c r="C178" t="s">
        <v>126</v>
      </c>
      <c r="D178" t="s">
        <v>527</v>
      </c>
      <c r="E178" t="s">
        <v>90</v>
      </c>
      <c r="F178" t="s">
        <v>6</v>
      </c>
      <c r="G178">
        <v>13</v>
      </c>
      <c r="H178">
        <v>2</v>
      </c>
      <c r="I178">
        <v>2</v>
      </c>
      <c r="J178">
        <v>2</v>
      </c>
      <c r="K178" s="6">
        <v>103.64</v>
      </c>
      <c r="L178" s="6">
        <v>3.77</v>
      </c>
      <c r="M178" s="6">
        <v>103.64</v>
      </c>
      <c r="N178">
        <v>0</v>
      </c>
      <c r="O178" s="6">
        <v>0</v>
      </c>
      <c r="P178">
        <v>0</v>
      </c>
      <c r="Q178" s="8">
        <v>176.05</v>
      </c>
      <c r="R178" s="8">
        <v>182.45</v>
      </c>
      <c r="S178" s="9" t="s">
        <v>537</v>
      </c>
    </row>
    <row r="179" spans="1:19" hidden="1" x14ac:dyDescent="0.25">
      <c r="A179" t="s">
        <v>123</v>
      </c>
      <c r="B179" t="s">
        <v>78</v>
      </c>
      <c r="C179" t="s">
        <v>126</v>
      </c>
      <c r="D179" t="s">
        <v>530</v>
      </c>
      <c r="E179" t="s">
        <v>90</v>
      </c>
      <c r="F179" t="s">
        <v>90</v>
      </c>
      <c r="G179">
        <v>0</v>
      </c>
      <c r="H179">
        <v>2</v>
      </c>
      <c r="I179">
        <v>2</v>
      </c>
      <c r="J179">
        <v>2</v>
      </c>
      <c r="K179" s="6">
        <v>100</v>
      </c>
      <c r="L179" s="6">
        <v>0</v>
      </c>
      <c r="M179" s="6">
        <v>100</v>
      </c>
      <c r="N179">
        <v>0</v>
      </c>
      <c r="O179" s="6">
        <v>0</v>
      </c>
      <c r="P179">
        <v>0</v>
      </c>
      <c r="Q179" s="8">
        <v>172.81</v>
      </c>
      <c r="R179" s="8">
        <v>172.81</v>
      </c>
      <c r="S179" s="9" t="s">
        <v>536</v>
      </c>
    </row>
    <row r="180" spans="1:19" hidden="1" x14ac:dyDescent="0.25">
      <c r="A180" t="s">
        <v>123</v>
      </c>
      <c r="B180" t="s">
        <v>78</v>
      </c>
      <c r="C180" t="s">
        <v>126</v>
      </c>
      <c r="D180" t="s">
        <v>530</v>
      </c>
      <c r="E180" t="s">
        <v>90</v>
      </c>
      <c r="F180" t="s">
        <v>91</v>
      </c>
      <c r="G180">
        <v>1</v>
      </c>
      <c r="H180">
        <v>2</v>
      </c>
      <c r="I180">
        <v>2</v>
      </c>
      <c r="J180">
        <v>2</v>
      </c>
      <c r="K180" s="6">
        <v>100</v>
      </c>
      <c r="L180" s="6">
        <v>0</v>
      </c>
      <c r="M180" s="6">
        <v>100</v>
      </c>
      <c r="N180">
        <v>0</v>
      </c>
      <c r="O180" s="6">
        <v>0</v>
      </c>
      <c r="P180">
        <v>0</v>
      </c>
      <c r="Q180" s="8">
        <v>172.81</v>
      </c>
      <c r="R180" s="8">
        <v>172.81</v>
      </c>
      <c r="S180" s="9" t="s">
        <v>537</v>
      </c>
    </row>
    <row r="181" spans="1:19" hidden="1" x14ac:dyDescent="0.25">
      <c r="A181" t="s">
        <v>123</v>
      </c>
      <c r="B181" t="s">
        <v>78</v>
      </c>
      <c r="C181" t="s">
        <v>126</v>
      </c>
      <c r="D181" t="s">
        <v>530</v>
      </c>
      <c r="E181" t="s">
        <v>90</v>
      </c>
      <c r="F181" t="s">
        <v>94</v>
      </c>
      <c r="G181">
        <v>2</v>
      </c>
      <c r="H181">
        <v>2</v>
      </c>
      <c r="I181">
        <v>2</v>
      </c>
      <c r="J181">
        <v>2</v>
      </c>
      <c r="K181" s="6">
        <v>100</v>
      </c>
      <c r="L181" s="6">
        <v>0</v>
      </c>
      <c r="M181" s="6">
        <v>100</v>
      </c>
      <c r="N181">
        <v>0</v>
      </c>
      <c r="O181" s="6">
        <v>0</v>
      </c>
      <c r="P181">
        <v>0</v>
      </c>
      <c r="Q181" s="8">
        <v>172.81</v>
      </c>
      <c r="R181" s="8">
        <v>172.81</v>
      </c>
      <c r="S181" s="9" t="s">
        <v>537</v>
      </c>
    </row>
    <row r="182" spans="1:19" hidden="1" x14ac:dyDescent="0.25">
      <c r="A182" t="s">
        <v>123</v>
      </c>
      <c r="B182" t="s">
        <v>78</v>
      </c>
      <c r="C182" t="s">
        <v>126</v>
      </c>
      <c r="D182" t="s">
        <v>530</v>
      </c>
      <c r="E182" t="s">
        <v>90</v>
      </c>
      <c r="F182" t="s">
        <v>96</v>
      </c>
      <c r="G182">
        <v>6</v>
      </c>
      <c r="H182">
        <v>2</v>
      </c>
      <c r="I182">
        <v>2</v>
      </c>
      <c r="J182">
        <v>2</v>
      </c>
      <c r="K182" s="6">
        <v>100</v>
      </c>
      <c r="L182" s="6">
        <v>0</v>
      </c>
      <c r="M182" s="6">
        <v>100</v>
      </c>
      <c r="N182">
        <v>0</v>
      </c>
      <c r="O182" s="6">
        <v>0</v>
      </c>
      <c r="P182">
        <v>0</v>
      </c>
      <c r="Q182" s="8">
        <v>172.81</v>
      </c>
      <c r="R182" s="8">
        <v>172.81</v>
      </c>
      <c r="S182" s="9" t="s">
        <v>537</v>
      </c>
    </row>
    <row r="183" spans="1:19" hidden="1" x14ac:dyDescent="0.25">
      <c r="A183" t="s">
        <v>123</v>
      </c>
      <c r="B183" t="s">
        <v>78</v>
      </c>
      <c r="C183" t="s">
        <v>126</v>
      </c>
      <c r="D183" t="s">
        <v>530</v>
      </c>
      <c r="E183" t="s">
        <v>90</v>
      </c>
      <c r="F183" t="s">
        <v>6</v>
      </c>
      <c r="G183">
        <v>13</v>
      </c>
      <c r="H183">
        <v>2</v>
      </c>
      <c r="I183">
        <v>2</v>
      </c>
      <c r="J183">
        <v>2</v>
      </c>
      <c r="K183" s="6">
        <v>100.69</v>
      </c>
      <c r="L183" s="6">
        <v>0.55000000000000004</v>
      </c>
      <c r="M183" s="6">
        <v>100.69</v>
      </c>
      <c r="N183">
        <v>0</v>
      </c>
      <c r="O183" s="6">
        <v>0</v>
      </c>
      <c r="P183">
        <v>0</v>
      </c>
      <c r="Q183" s="8">
        <v>172.81</v>
      </c>
      <c r="R183" s="8">
        <v>174</v>
      </c>
      <c r="S183" s="9" t="s">
        <v>537</v>
      </c>
    </row>
    <row r="184" spans="1:19" hidden="1" x14ac:dyDescent="0.25">
      <c r="A184" t="s">
        <v>123</v>
      </c>
      <c r="B184" t="s">
        <v>78</v>
      </c>
      <c r="C184" t="s">
        <v>126</v>
      </c>
      <c r="D184" t="s">
        <v>531</v>
      </c>
      <c r="E184" t="s">
        <v>90</v>
      </c>
      <c r="F184" t="s">
        <v>90</v>
      </c>
      <c r="G184">
        <v>0</v>
      </c>
      <c r="H184">
        <v>5</v>
      </c>
      <c r="I184">
        <v>5</v>
      </c>
      <c r="J184">
        <v>5</v>
      </c>
      <c r="K184" s="6">
        <v>100</v>
      </c>
      <c r="L184" s="6">
        <v>0</v>
      </c>
      <c r="M184" s="6">
        <v>100</v>
      </c>
      <c r="N184">
        <v>0</v>
      </c>
      <c r="O184" s="6">
        <v>0</v>
      </c>
      <c r="P184">
        <v>0</v>
      </c>
      <c r="Q184" s="8">
        <v>172.48</v>
      </c>
      <c r="R184" s="8">
        <v>172.48</v>
      </c>
      <c r="S184" s="9" t="s">
        <v>538</v>
      </c>
    </row>
    <row r="185" spans="1:19" hidden="1" x14ac:dyDescent="0.25">
      <c r="A185" t="s">
        <v>123</v>
      </c>
      <c r="B185" t="s">
        <v>78</v>
      </c>
      <c r="C185" t="s">
        <v>126</v>
      </c>
      <c r="D185" t="s">
        <v>531</v>
      </c>
      <c r="E185" t="s">
        <v>90</v>
      </c>
      <c r="F185" t="s">
        <v>91</v>
      </c>
      <c r="G185">
        <v>1</v>
      </c>
      <c r="H185">
        <v>5</v>
      </c>
      <c r="I185">
        <v>5</v>
      </c>
      <c r="J185">
        <v>5</v>
      </c>
      <c r="K185" s="6">
        <v>100</v>
      </c>
      <c r="L185" s="6">
        <v>0</v>
      </c>
      <c r="M185" s="6">
        <v>100</v>
      </c>
      <c r="N185">
        <v>0</v>
      </c>
      <c r="O185" s="6">
        <v>0</v>
      </c>
      <c r="P185">
        <v>0</v>
      </c>
      <c r="Q185" s="8">
        <v>172.48</v>
      </c>
      <c r="R185" s="8">
        <v>172.48</v>
      </c>
      <c r="S185" s="9" t="s">
        <v>133</v>
      </c>
    </row>
    <row r="186" spans="1:19" hidden="1" x14ac:dyDescent="0.25">
      <c r="A186" t="s">
        <v>123</v>
      </c>
      <c r="B186" t="s">
        <v>78</v>
      </c>
      <c r="C186" t="s">
        <v>126</v>
      </c>
      <c r="D186" t="s">
        <v>531</v>
      </c>
      <c r="E186" t="s">
        <v>90</v>
      </c>
      <c r="F186" t="s">
        <v>94</v>
      </c>
      <c r="G186">
        <v>2</v>
      </c>
      <c r="H186">
        <v>5</v>
      </c>
      <c r="I186">
        <v>5</v>
      </c>
      <c r="J186">
        <v>5</v>
      </c>
      <c r="K186" s="6">
        <v>100</v>
      </c>
      <c r="L186" s="6">
        <v>0</v>
      </c>
      <c r="M186" s="6">
        <v>100</v>
      </c>
      <c r="N186">
        <v>0</v>
      </c>
      <c r="O186" s="6">
        <v>0</v>
      </c>
      <c r="P186">
        <v>0</v>
      </c>
      <c r="Q186" s="8">
        <v>172.48</v>
      </c>
      <c r="R186" s="8">
        <v>172.48</v>
      </c>
      <c r="S186" s="9" t="s">
        <v>133</v>
      </c>
    </row>
    <row r="187" spans="1:19" hidden="1" x14ac:dyDescent="0.25">
      <c r="A187" t="s">
        <v>123</v>
      </c>
      <c r="B187" t="s">
        <v>78</v>
      </c>
      <c r="C187" t="s">
        <v>126</v>
      </c>
      <c r="D187" t="s">
        <v>531</v>
      </c>
      <c r="E187" t="s">
        <v>90</v>
      </c>
      <c r="F187" t="s">
        <v>96</v>
      </c>
      <c r="G187">
        <v>6</v>
      </c>
      <c r="H187">
        <v>5</v>
      </c>
      <c r="I187">
        <v>5</v>
      </c>
      <c r="J187">
        <v>5</v>
      </c>
      <c r="K187" s="6">
        <v>100</v>
      </c>
      <c r="L187" s="6">
        <v>0</v>
      </c>
      <c r="M187" s="6">
        <v>100</v>
      </c>
      <c r="N187">
        <v>0</v>
      </c>
      <c r="O187" s="6">
        <v>0</v>
      </c>
      <c r="P187">
        <v>0</v>
      </c>
      <c r="Q187" s="8">
        <v>172.48</v>
      </c>
      <c r="R187" s="8">
        <v>172.48</v>
      </c>
      <c r="S187" s="9" t="s">
        <v>133</v>
      </c>
    </row>
    <row r="188" spans="1:19" hidden="1" x14ac:dyDescent="0.25">
      <c r="A188" t="s">
        <v>123</v>
      </c>
      <c r="B188" t="s">
        <v>78</v>
      </c>
      <c r="C188" t="s">
        <v>126</v>
      </c>
      <c r="D188" t="s">
        <v>531</v>
      </c>
      <c r="E188" t="s">
        <v>90</v>
      </c>
      <c r="F188" t="s">
        <v>6</v>
      </c>
      <c r="G188">
        <v>13</v>
      </c>
      <c r="H188">
        <v>5</v>
      </c>
      <c r="I188">
        <v>5</v>
      </c>
      <c r="J188">
        <v>5</v>
      </c>
      <c r="K188" s="6">
        <v>98.45</v>
      </c>
      <c r="L188" s="6">
        <v>0</v>
      </c>
      <c r="M188" s="6">
        <v>98.45</v>
      </c>
      <c r="N188">
        <v>0</v>
      </c>
      <c r="O188" s="6">
        <v>0</v>
      </c>
      <c r="P188">
        <v>0</v>
      </c>
      <c r="Q188" s="8">
        <v>172.48</v>
      </c>
      <c r="R188" s="8">
        <v>169.82</v>
      </c>
      <c r="S188" s="9" t="s">
        <v>133</v>
      </c>
    </row>
    <row r="189" spans="1:19" hidden="1" x14ac:dyDescent="0.25">
      <c r="A189" t="s">
        <v>123</v>
      </c>
      <c r="B189" t="s">
        <v>78</v>
      </c>
      <c r="C189" t="s">
        <v>126</v>
      </c>
      <c r="D189" t="s">
        <v>532</v>
      </c>
      <c r="E189" t="s">
        <v>90</v>
      </c>
      <c r="F189" t="s">
        <v>90</v>
      </c>
      <c r="G189">
        <v>0</v>
      </c>
      <c r="H189">
        <v>5</v>
      </c>
      <c r="I189">
        <v>5</v>
      </c>
      <c r="J189">
        <v>5</v>
      </c>
      <c r="K189" s="6">
        <v>100</v>
      </c>
      <c r="L189" s="6">
        <v>0</v>
      </c>
      <c r="M189" s="6">
        <v>100</v>
      </c>
      <c r="N189">
        <v>0</v>
      </c>
      <c r="O189" s="6">
        <v>0</v>
      </c>
      <c r="P189">
        <v>0</v>
      </c>
      <c r="Q189" s="8">
        <v>137.15</v>
      </c>
      <c r="R189" s="8">
        <v>137.15</v>
      </c>
      <c r="S189" s="9" t="s">
        <v>538</v>
      </c>
    </row>
    <row r="190" spans="1:19" hidden="1" x14ac:dyDescent="0.25">
      <c r="A190" t="s">
        <v>123</v>
      </c>
      <c r="B190" t="s">
        <v>78</v>
      </c>
      <c r="C190" t="s">
        <v>126</v>
      </c>
      <c r="D190" t="s">
        <v>532</v>
      </c>
      <c r="E190" t="s">
        <v>90</v>
      </c>
      <c r="F190" t="s">
        <v>91</v>
      </c>
      <c r="G190">
        <v>1</v>
      </c>
      <c r="H190">
        <v>5</v>
      </c>
      <c r="I190">
        <v>5</v>
      </c>
      <c r="J190">
        <v>5</v>
      </c>
      <c r="K190" s="6">
        <v>100</v>
      </c>
      <c r="L190" s="6">
        <v>0</v>
      </c>
      <c r="M190" s="6">
        <v>100</v>
      </c>
      <c r="N190">
        <v>0</v>
      </c>
      <c r="O190" s="6">
        <v>0</v>
      </c>
      <c r="P190">
        <v>0</v>
      </c>
      <c r="Q190" s="8">
        <v>137.15</v>
      </c>
      <c r="R190" s="8">
        <v>137.15</v>
      </c>
      <c r="S190" s="9" t="s">
        <v>133</v>
      </c>
    </row>
    <row r="191" spans="1:19" hidden="1" x14ac:dyDescent="0.25">
      <c r="A191" t="s">
        <v>123</v>
      </c>
      <c r="B191" t="s">
        <v>78</v>
      </c>
      <c r="C191" t="s">
        <v>126</v>
      </c>
      <c r="D191" t="s">
        <v>532</v>
      </c>
      <c r="E191" t="s">
        <v>90</v>
      </c>
      <c r="F191" t="s">
        <v>94</v>
      </c>
      <c r="G191">
        <v>2</v>
      </c>
      <c r="H191">
        <v>5</v>
      </c>
      <c r="I191">
        <v>5</v>
      </c>
      <c r="J191">
        <v>5</v>
      </c>
      <c r="K191" s="6">
        <v>100</v>
      </c>
      <c r="L191" s="6">
        <v>0</v>
      </c>
      <c r="M191" s="6">
        <v>100</v>
      </c>
      <c r="N191">
        <v>0</v>
      </c>
      <c r="O191" s="6">
        <v>0</v>
      </c>
      <c r="P191">
        <v>0</v>
      </c>
      <c r="Q191" s="8">
        <v>137.15</v>
      </c>
      <c r="R191" s="8">
        <v>137.15</v>
      </c>
      <c r="S191" s="9" t="s">
        <v>133</v>
      </c>
    </row>
    <row r="192" spans="1:19" hidden="1" x14ac:dyDescent="0.25">
      <c r="A192" t="s">
        <v>123</v>
      </c>
      <c r="B192" t="s">
        <v>78</v>
      </c>
      <c r="C192" t="s">
        <v>126</v>
      </c>
      <c r="D192" t="s">
        <v>532</v>
      </c>
      <c r="E192" t="s">
        <v>90</v>
      </c>
      <c r="F192" t="s">
        <v>96</v>
      </c>
      <c r="G192">
        <v>6</v>
      </c>
      <c r="H192">
        <v>5</v>
      </c>
      <c r="I192">
        <v>5</v>
      </c>
      <c r="J192">
        <v>5</v>
      </c>
      <c r="K192" s="6">
        <v>100</v>
      </c>
      <c r="L192" s="6">
        <v>0</v>
      </c>
      <c r="M192" s="6">
        <v>100</v>
      </c>
      <c r="N192">
        <v>0</v>
      </c>
      <c r="O192" s="6">
        <v>0</v>
      </c>
      <c r="P192">
        <v>0</v>
      </c>
      <c r="Q192" s="8">
        <v>137.15</v>
      </c>
      <c r="R192" s="8">
        <v>137.15</v>
      </c>
      <c r="S192" s="9" t="s">
        <v>133</v>
      </c>
    </row>
    <row r="193" spans="1:19" hidden="1" x14ac:dyDescent="0.25">
      <c r="A193" t="s">
        <v>123</v>
      </c>
      <c r="B193" t="s">
        <v>78</v>
      </c>
      <c r="C193" t="s">
        <v>126</v>
      </c>
      <c r="D193" t="s">
        <v>532</v>
      </c>
      <c r="E193" t="s">
        <v>90</v>
      </c>
      <c r="F193" t="s">
        <v>6</v>
      </c>
      <c r="G193">
        <v>13</v>
      </c>
      <c r="H193">
        <v>5</v>
      </c>
      <c r="I193">
        <v>5</v>
      </c>
      <c r="J193">
        <v>5</v>
      </c>
      <c r="K193" s="6">
        <v>98.06</v>
      </c>
      <c r="L193" s="6">
        <v>0</v>
      </c>
      <c r="M193" s="6">
        <v>98.06</v>
      </c>
      <c r="N193">
        <v>0</v>
      </c>
      <c r="O193" s="6">
        <v>0</v>
      </c>
      <c r="P193">
        <v>0</v>
      </c>
      <c r="Q193" s="8">
        <v>137.15</v>
      </c>
      <c r="R193" s="8">
        <v>134.49</v>
      </c>
      <c r="S193" s="9" t="s">
        <v>133</v>
      </c>
    </row>
    <row r="194" spans="1:19" hidden="1" x14ac:dyDescent="0.25">
      <c r="A194" t="s">
        <v>123</v>
      </c>
      <c r="B194" t="s">
        <v>78</v>
      </c>
      <c r="C194" t="s">
        <v>126</v>
      </c>
      <c r="D194" t="s">
        <v>533</v>
      </c>
      <c r="E194" t="s">
        <v>94</v>
      </c>
      <c r="F194" t="s">
        <v>94</v>
      </c>
      <c r="G194">
        <v>0</v>
      </c>
      <c r="H194">
        <v>8</v>
      </c>
      <c r="I194">
        <v>8</v>
      </c>
      <c r="J194">
        <v>8</v>
      </c>
      <c r="K194" s="6">
        <v>100</v>
      </c>
      <c r="L194" s="6">
        <v>0</v>
      </c>
      <c r="M194" s="6">
        <v>100</v>
      </c>
      <c r="N194">
        <v>0</v>
      </c>
      <c r="O194" s="6">
        <v>0</v>
      </c>
      <c r="P194">
        <v>0</v>
      </c>
      <c r="Q194" s="8">
        <v>118.08</v>
      </c>
      <c r="R194" s="8">
        <v>118.08</v>
      </c>
      <c r="S194" s="9" t="s">
        <v>543</v>
      </c>
    </row>
    <row r="195" spans="1:19" hidden="1" x14ac:dyDescent="0.25">
      <c r="A195" t="s">
        <v>123</v>
      </c>
      <c r="B195" t="s">
        <v>78</v>
      </c>
      <c r="C195" t="s">
        <v>126</v>
      </c>
      <c r="D195" t="s">
        <v>533</v>
      </c>
      <c r="E195" t="s">
        <v>94</v>
      </c>
      <c r="F195" t="s">
        <v>96</v>
      </c>
      <c r="G195">
        <v>4</v>
      </c>
      <c r="H195">
        <v>8</v>
      </c>
      <c r="I195">
        <v>8</v>
      </c>
      <c r="J195">
        <v>8</v>
      </c>
      <c r="K195" s="6">
        <v>100</v>
      </c>
      <c r="L195" s="6">
        <v>0</v>
      </c>
      <c r="M195" s="6">
        <v>100</v>
      </c>
      <c r="N195">
        <v>0</v>
      </c>
      <c r="O195" s="6">
        <v>0</v>
      </c>
      <c r="P195">
        <v>0</v>
      </c>
      <c r="Q195" s="8">
        <v>118.08</v>
      </c>
      <c r="R195" s="8">
        <v>118.08</v>
      </c>
      <c r="S195" s="9" t="s">
        <v>544</v>
      </c>
    </row>
    <row r="196" spans="1:19" hidden="1" x14ac:dyDescent="0.25">
      <c r="A196" t="s">
        <v>123</v>
      </c>
      <c r="B196" t="s">
        <v>78</v>
      </c>
      <c r="C196" t="s">
        <v>126</v>
      </c>
      <c r="D196" t="s">
        <v>533</v>
      </c>
      <c r="E196" t="s">
        <v>94</v>
      </c>
      <c r="F196" t="s">
        <v>6</v>
      </c>
      <c r="G196">
        <v>11</v>
      </c>
      <c r="H196">
        <v>8</v>
      </c>
      <c r="I196">
        <v>8</v>
      </c>
      <c r="J196">
        <v>8</v>
      </c>
      <c r="K196" s="6">
        <v>100</v>
      </c>
      <c r="L196" s="6">
        <v>0</v>
      </c>
      <c r="M196" s="6">
        <v>100</v>
      </c>
      <c r="N196">
        <v>0</v>
      </c>
      <c r="O196" s="6">
        <v>0</v>
      </c>
      <c r="P196">
        <v>0</v>
      </c>
      <c r="Q196" s="8">
        <v>118.08</v>
      </c>
      <c r="R196" s="8">
        <v>118.08</v>
      </c>
      <c r="S196" s="9" t="s">
        <v>544</v>
      </c>
    </row>
    <row r="197" spans="1:19" hidden="1" x14ac:dyDescent="0.25">
      <c r="A197" t="s">
        <v>123</v>
      </c>
      <c r="B197" t="s">
        <v>78</v>
      </c>
      <c r="C197" t="s">
        <v>126</v>
      </c>
      <c r="D197" t="s">
        <v>545</v>
      </c>
      <c r="E197" t="s">
        <v>94</v>
      </c>
      <c r="F197" t="s">
        <v>94</v>
      </c>
      <c r="G197">
        <v>0</v>
      </c>
      <c r="H197">
        <v>9</v>
      </c>
      <c r="I197">
        <v>9</v>
      </c>
      <c r="J197">
        <v>9</v>
      </c>
      <c r="K197" s="6">
        <v>100</v>
      </c>
      <c r="L197" s="6">
        <v>0</v>
      </c>
      <c r="M197" s="6">
        <v>100</v>
      </c>
      <c r="N197">
        <v>0</v>
      </c>
      <c r="O197" s="6">
        <v>0</v>
      </c>
      <c r="P197">
        <v>0</v>
      </c>
      <c r="Q197" s="8">
        <v>120.17</v>
      </c>
      <c r="R197" s="8">
        <v>120.17</v>
      </c>
      <c r="S197" s="9" t="s">
        <v>546</v>
      </c>
    </row>
    <row r="198" spans="1:19" hidden="1" x14ac:dyDescent="0.25">
      <c r="A198" t="s">
        <v>123</v>
      </c>
      <c r="B198" t="s">
        <v>78</v>
      </c>
      <c r="C198" t="s">
        <v>126</v>
      </c>
      <c r="D198" t="s">
        <v>545</v>
      </c>
      <c r="E198" t="s">
        <v>94</v>
      </c>
      <c r="F198" t="s">
        <v>96</v>
      </c>
      <c r="G198">
        <v>4</v>
      </c>
      <c r="H198">
        <v>9</v>
      </c>
      <c r="I198">
        <v>9</v>
      </c>
      <c r="J198">
        <v>9</v>
      </c>
      <c r="K198" s="6">
        <v>100</v>
      </c>
      <c r="L198" s="6">
        <v>0</v>
      </c>
      <c r="M198" s="6">
        <v>100</v>
      </c>
      <c r="N198">
        <v>0</v>
      </c>
      <c r="O198" s="6">
        <v>0</v>
      </c>
      <c r="P198">
        <v>0</v>
      </c>
      <c r="Q198" s="8">
        <v>120.17</v>
      </c>
      <c r="R198" s="8">
        <v>120.17</v>
      </c>
      <c r="S198" s="9" t="s">
        <v>547</v>
      </c>
    </row>
    <row r="199" spans="1:19" hidden="1" x14ac:dyDescent="0.25">
      <c r="A199" t="s">
        <v>123</v>
      </c>
      <c r="B199" t="s">
        <v>78</v>
      </c>
      <c r="C199" t="s">
        <v>126</v>
      </c>
      <c r="D199" t="s">
        <v>545</v>
      </c>
      <c r="E199" t="s">
        <v>94</v>
      </c>
      <c r="F199" t="s">
        <v>6</v>
      </c>
      <c r="G199">
        <v>11</v>
      </c>
      <c r="H199">
        <v>9</v>
      </c>
      <c r="I199">
        <v>9</v>
      </c>
      <c r="J199">
        <v>9</v>
      </c>
      <c r="K199" s="6">
        <v>100</v>
      </c>
      <c r="L199" s="6">
        <v>0</v>
      </c>
      <c r="M199" s="6">
        <v>100</v>
      </c>
      <c r="N199">
        <v>0</v>
      </c>
      <c r="O199" s="6">
        <v>0</v>
      </c>
      <c r="P199">
        <v>0</v>
      </c>
      <c r="Q199" s="8">
        <v>120.17</v>
      </c>
      <c r="R199" s="8">
        <v>120.17</v>
      </c>
      <c r="S199" s="9" t="s">
        <v>547</v>
      </c>
    </row>
    <row r="200" spans="1:19" hidden="1" x14ac:dyDescent="0.25">
      <c r="A200" t="s">
        <v>123</v>
      </c>
      <c r="B200" t="s">
        <v>78</v>
      </c>
      <c r="C200" t="s">
        <v>127</v>
      </c>
      <c r="D200" t="s">
        <v>539</v>
      </c>
      <c r="E200" t="s">
        <v>94</v>
      </c>
      <c r="F200" t="s">
        <v>94</v>
      </c>
      <c r="G200">
        <v>0</v>
      </c>
      <c r="H200">
        <v>1</v>
      </c>
      <c r="I200">
        <v>1</v>
      </c>
      <c r="J200">
        <v>1</v>
      </c>
      <c r="K200" s="6">
        <v>100</v>
      </c>
      <c r="L200" s="6">
        <v>0</v>
      </c>
      <c r="M200" s="6">
        <v>100</v>
      </c>
      <c r="N200">
        <v>0</v>
      </c>
      <c r="O200" s="6">
        <v>0</v>
      </c>
      <c r="P200">
        <v>0</v>
      </c>
      <c r="Q200" s="8">
        <v>185.14</v>
      </c>
      <c r="R200" s="8">
        <v>185.14</v>
      </c>
      <c r="S200" s="9" t="s">
        <v>540</v>
      </c>
    </row>
    <row r="201" spans="1:19" hidden="1" x14ac:dyDescent="0.25">
      <c r="A201" t="s">
        <v>123</v>
      </c>
      <c r="B201" t="s">
        <v>78</v>
      </c>
      <c r="C201" t="s">
        <v>127</v>
      </c>
      <c r="D201" t="s">
        <v>539</v>
      </c>
      <c r="E201" t="s">
        <v>94</v>
      </c>
      <c r="F201" t="s">
        <v>6</v>
      </c>
      <c r="G201">
        <v>11</v>
      </c>
      <c r="H201">
        <v>1</v>
      </c>
      <c r="I201">
        <v>1</v>
      </c>
      <c r="J201">
        <v>1</v>
      </c>
      <c r="K201" s="6">
        <v>99.92</v>
      </c>
      <c r="L201" s="6">
        <v>-0.08</v>
      </c>
      <c r="M201" s="6">
        <v>99.92</v>
      </c>
      <c r="N201">
        <v>0</v>
      </c>
      <c r="O201" s="6">
        <v>0</v>
      </c>
      <c r="P201">
        <v>0</v>
      </c>
      <c r="Q201" s="8">
        <v>185.14</v>
      </c>
      <c r="R201" s="8">
        <v>185</v>
      </c>
      <c r="S201" s="9" t="s">
        <v>541</v>
      </c>
    </row>
    <row r="202" spans="1:19" hidden="1" x14ac:dyDescent="0.25">
      <c r="A202" t="s">
        <v>123</v>
      </c>
      <c r="B202" t="s">
        <v>78</v>
      </c>
      <c r="C202" t="s">
        <v>127</v>
      </c>
      <c r="D202" t="s">
        <v>524</v>
      </c>
      <c r="E202" t="s">
        <v>90</v>
      </c>
      <c r="F202" t="s">
        <v>90</v>
      </c>
      <c r="G202">
        <v>0</v>
      </c>
      <c r="H202">
        <v>1</v>
      </c>
      <c r="I202">
        <v>1</v>
      </c>
      <c r="J202">
        <v>1</v>
      </c>
      <c r="K202" s="6">
        <v>100</v>
      </c>
      <c r="L202" s="6">
        <v>0</v>
      </c>
      <c r="M202" s="6">
        <v>100</v>
      </c>
      <c r="N202">
        <v>0</v>
      </c>
      <c r="O202" s="6">
        <v>0</v>
      </c>
      <c r="P202">
        <v>0</v>
      </c>
      <c r="Q202" s="8">
        <v>139.83000000000001</v>
      </c>
      <c r="R202" s="8">
        <v>139.83000000000001</v>
      </c>
      <c r="S202" s="9" t="s">
        <v>540</v>
      </c>
    </row>
    <row r="203" spans="1:19" hidden="1" x14ac:dyDescent="0.25">
      <c r="A203" t="s">
        <v>123</v>
      </c>
      <c r="B203" t="s">
        <v>78</v>
      </c>
      <c r="C203" t="s">
        <v>127</v>
      </c>
      <c r="D203" t="s">
        <v>524</v>
      </c>
      <c r="E203" t="s">
        <v>90</v>
      </c>
      <c r="F203" t="s">
        <v>91</v>
      </c>
      <c r="G203">
        <v>1</v>
      </c>
      <c r="H203">
        <v>1</v>
      </c>
      <c r="I203">
        <v>1</v>
      </c>
      <c r="J203">
        <v>1</v>
      </c>
      <c r="K203" s="6">
        <v>100</v>
      </c>
      <c r="L203" s="6">
        <v>0</v>
      </c>
      <c r="M203" s="6">
        <v>100</v>
      </c>
      <c r="N203">
        <v>0</v>
      </c>
      <c r="O203" s="6">
        <v>0</v>
      </c>
      <c r="P203">
        <v>0</v>
      </c>
      <c r="Q203" s="8">
        <v>139.83000000000001</v>
      </c>
      <c r="R203" s="8">
        <v>139.83000000000001</v>
      </c>
      <c r="S203" s="9" t="s">
        <v>541</v>
      </c>
    </row>
    <row r="204" spans="1:19" hidden="1" x14ac:dyDescent="0.25">
      <c r="A204" t="s">
        <v>123</v>
      </c>
      <c r="B204" t="s">
        <v>78</v>
      </c>
      <c r="C204" t="s">
        <v>127</v>
      </c>
      <c r="D204" t="s">
        <v>524</v>
      </c>
      <c r="E204" t="s">
        <v>90</v>
      </c>
      <c r="F204" t="s">
        <v>94</v>
      </c>
      <c r="G204">
        <v>2</v>
      </c>
      <c r="H204">
        <v>1</v>
      </c>
      <c r="I204">
        <v>1</v>
      </c>
      <c r="J204">
        <v>1</v>
      </c>
      <c r="K204" s="6">
        <v>100</v>
      </c>
      <c r="L204" s="6">
        <v>0</v>
      </c>
      <c r="M204" s="6">
        <v>100</v>
      </c>
      <c r="N204">
        <v>0</v>
      </c>
      <c r="O204" s="6">
        <v>0</v>
      </c>
      <c r="P204">
        <v>0</v>
      </c>
      <c r="Q204" s="8">
        <v>139.83000000000001</v>
      </c>
      <c r="R204" s="8">
        <v>139.83000000000001</v>
      </c>
      <c r="S204" s="9" t="s">
        <v>541</v>
      </c>
    </row>
    <row r="205" spans="1:19" hidden="1" x14ac:dyDescent="0.25">
      <c r="A205" t="s">
        <v>123</v>
      </c>
      <c r="B205" t="s">
        <v>78</v>
      </c>
      <c r="C205" t="s">
        <v>127</v>
      </c>
      <c r="D205" t="s">
        <v>524</v>
      </c>
      <c r="E205" t="s">
        <v>90</v>
      </c>
      <c r="F205" t="s">
        <v>96</v>
      </c>
      <c r="G205">
        <v>6</v>
      </c>
      <c r="H205">
        <v>1</v>
      </c>
      <c r="I205">
        <v>1</v>
      </c>
      <c r="J205">
        <v>1</v>
      </c>
      <c r="K205" s="6">
        <v>100</v>
      </c>
      <c r="L205" s="6">
        <v>0</v>
      </c>
      <c r="M205" s="6">
        <v>100</v>
      </c>
      <c r="N205">
        <v>0</v>
      </c>
      <c r="O205" s="6">
        <v>0</v>
      </c>
      <c r="P205">
        <v>0</v>
      </c>
      <c r="Q205" s="8">
        <v>139.83000000000001</v>
      </c>
      <c r="R205" s="8">
        <v>139.83000000000001</v>
      </c>
      <c r="S205" s="9" t="s">
        <v>541</v>
      </c>
    </row>
    <row r="206" spans="1:19" hidden="1" x14ac:dyDescent="0.25">
      <c r="A206" t="s">
        <v>123</v>
      </c>
      <c r="B206" t="s">
        <v>78</v>
      </c>
      <c r="C206" t="s">
        <v>127</v>
      </c>
      <c r="D206" t="s">
        <v>524</v>
      </c>
      <c r="E206" t="s">
        <v>90</v>
      </c>
      <c r="F206" t="s">
        <v>6</v>
      </c>
      <c r="G206">
        <v>13</v>
      </c>
      <c r="H206">
        <v>1</v>
      </c>
      <c r="I206">
        <v>1</v>
      </c>
      <c r="J206">
        <v>1</v>
      </c>
      <c r="K206" s="6">
        <v>99.88</v>
      </c>
      <c r="L206" s="6">
        <v>-0.12</v>
      </c>
      <c r="M206" s="6">
        <v>99.88</v>
      </c>
      <c r="N206">
        <v>0</v>
      </c>
      <c r="O206" s="6">
        <v>0</v>
      </c>
      <c r="P206">
        <v>0</v>
      </c>
      <c r="Q206" s="8">
        <v>139.83000000000001</v>
      </c>
      <c r="R206" s="8">
        <v>139.66999999999999</v>
      </c>
      <c r="S206" s="9" t="s">
        <v>541</v>
      </c>
    </row>
    <row r="207" spans="1:19" hidden="1" x14ac:dyDescent="0.25">
      <c r="A207" t="s">
        <v>123</v>
      </c>
      <c r="B207" t="s">
        <v>78</v>
      </c>
      <c r="C207" t="s">
        <v>127</v>
      </c>
      <c r="D207" t="s">
        <v>527</v>
      </c>
      <c r="E207" t="s">
        <v>90</v>
      </c>
      <c r="F207" t="s">
        <v>90</v>
      </c>
      <c r="G207">
        <v>0</v>
      </c>
      <c r="H207">
        <v>2</v>
      </c>
      <c r="I207">
        <v>2</v>
      </c>
      <c r="J207">
        <v>2</v>
      </c>
      <c r="K207" s="6">
        <v>100</v>
      </c>
      <c r="L207" s="6">
        <v>0</v>
      </c>
      <c r="M207" s="6">
        <v>100</v>
      </c>
      <c r="N207">
        <v>0</v>
      </c>
      <c r="O207" s="6">
        <v>0</v>
      </c>
      <c r="P207">
        <v>0</v>
      </c>
      <c r="Q207" s="8">
        <v>202.8</v>
      </c>
      <c r="R207" s="8">
        <v>202.8</v>
      </c>
      <c r="S207" s="9" t="s">
        <v>536</v>
      </c>
    </row>
    <row r="208" spans="1:19" hidden="1" x14ac:dyDescent="0.25">
      <c r="A208" t="s">
        <v>123</v>
      </c>
      <c r="B208" t="s">
        <v>78</v>
      </c>
      <c r="C208" t="s">
        <v>127</v>
      </c>
      <c r="D208" t="s">
        <v>527</v>
      </c>
      <c r="E208" t="s">
        <v>90</v>
      </c>
      <c r="F208" t="s">
        <v>91</v>
      </c>
      <c r="G208">
        <v>1</v>
      </c>
      <c r="H208">
        <v>2</v>
      </c>
      <c r="I208">
        <v>2</v>
      </c>
      <c r="J208">
        <v>2</v>
      </c>
      <c r="K208" s="6">
        <v>100</v>
      </c>
      <c r="L208" s="6">
        <v>0</v>
      </c>
      <c r="M208" s="6">
        <v>100</v>
      </c>
      <c r="N208">
        <v>0</v>
      </c>
      <c r="O208" s="6">
        <v>0</v>
      </c>
      <c r="P208">
        <v>0</v>
      </c>
      <c r="Q208" s="8">
        <v>202.8</v>
      </c>
      <c r="R208" s="8">
        <v>202.8</v>
      </c>
      <c r="S208" s="9" t="s">
        <v>537</v>
      </c>
    </row>
    <row r="209" spans="1:19" hidden="1" x14ac:dyDescent="0.25">
      <c r="A209" t="s">
        <v>123</v>
      </c>
      <c r="B209" t="s">
        <v>78</v>
      </c>
      <c r="C209" t="s">
        <v>127</v>
      </c>
      <c r="D209" t="s">
        <v>527</v>
      </c>
      <c r="E209" t="s">
        <v>90</v>
      </c>
      <c r="F209" t="s">
        <v>94</v>
      </c>
      <c r="G209">
        <v>2</v>
      </c>
      <c r="H209">
        <v>2</v>
      </c>
      <c r="I209">
        <v>2</v>
      </c>
      <c r="J209">
        <v>2</v>
      </c>
      <c r="K209" s="6">
        <v>100</v>
      </c>
      <c r="L209" s="6">
        <v>0</v>
      </c>
      <c r="M209" s="6">
        <v>100</v>
      </c>
      <c r="N209">
        <v>0</v>
      </c>
      <c r="O209" s="6">
        <v>0</v>
      </c>
      <c r="P209">
        <v>0</v>
      </c>
      <c r="Q209" s="8">
        <v>202.8</v>
      </c>
      <c r="R209" s="8">
        <v>202.8</v>
      </c>
      <c r="S209" s="9" t="s">
        <v>537</v>
      </c>
    </row>
    <row r="210" spans="1:19" hidden="1" x14ac:dyDescent="0.25">
      <c r="A210" t="s">
        <v>123</v>
      </c>
      <c r="B210" t="s">
        <v>78</v>
      </c>
      <c r="C210" t="s">
        <v>127</v>
      </c>
      <c r="D210" t="s">
        <v>527</v>
      </c>
      <c r="E210" t="s">
        <v>90</v>
      </c>
      <c r="F210" t="s">
        <v>96</v>
      </c>
      <c r="G210">
        <v>6</v>
      </c>
      <c r="H210">
        <v>2</v>
      </c>
      <c r="I210">
        <v>2</v>
      </c>
      <c r="J210">
        <v>2</v>
      </c>
      <c r="K210" s="6">
        <v>102.71</v>
      </c>
      <c r="L210" s="6">
        <v>2.76</v>
      </c>
      <c r="M210" s="6">
        <v>102.71</v>
      </c>
      <c r="N210">
        <v>0</v>
      </c>
      <c r="O210" s="6">
        <v>0</v>
      </c>
      <c r="P210">
        <v>0</v>
      </c>
      <c r="Q210" s="8">
        <v>202.8</v>
      </c>
      <c r="R210" s="8">
        <v>208.3</v>
      </c>
      <c r="S210" s="9" t="s">
        <v>537</v>
      </c>
    </row>
    <row r="211" spans="1:19" hidden="1" x14ac:dyDescent="0.25">
      <c r="A211" t="s">
        <v>123</v>
      </c>
      <c r="B211" t="s">
        <v>78</v>
      </c>
      <c r="C211" t="s">
        <v>127</v>
      </c>
      <c r="D211" t="s">
        <v>527</v>
      </c>
      <c r="E211" t="s">
        <v>90</v>
      </c>
      <c r="F211" t="s">
        <v>6</v>
      </c>
      <c r="G211">
        <v>13</v>
      </c>
      <c r="H211">
        <v>2</v>
      </c>
      <c r="I211">
        <v>2</v>
      </c>
      <c r="J211">
        <v>2</v>
      </c>
      <c r="K211" s="6">
        <v>102.71</v>
      </c>
      <c r="L211" s="6">
        <v>2.76</v>
      </c>
      <c r="M211" s="6">
        <v>102.71</v>
      </c>
      <c r="N211">
        <v>0</v>
      </c>
      <c r="O211" s="6">
        <v>0</v>
      </c>
      <c r="P211">
        <v>0</v>
      </c>
      <c r="Q211" s="8">
        <v>202.8</v>
      </c>
      <c r="R211" s="8">
        <v>208.3</v>
      </c>
      <c r="S211" s="9" t="s">
        <v>537</v>
      </c>
    </row>
    <row r="212" spans="1:19" hidden="1" x14ac:dyDescent="0.25">
      <c r="A212" t="s">
        <v>123</v>
      </c>
      <c r="B212" t="s">
        <v>78</v>
      </c>
      <c r="C212" t="s">
        <v>127</v>
      </c>
      <c r="D212" t="s">
        <v>530</v>
      </c>
      <c r="E212" t="s">
        <v>90</v>
      </c>
      <c r="F212" t="s">
        <v>90</v>
      </c>
      <c r="G212">
        <v>0</v>
      </c>
      <c r="H212">
        <v>2</v>
      </c>
      <c r="I212">
        <v>2</v>
      </c>
      <c r="J212">
        <v>2</v>
      </c>
      <c r="K212" s="6">
        <v>100</v>
      </c>
      <c r="L212" s="6">
        <v>0</v>
      </c>
      <c r="M212" s="6">
        <v>100</v>
      </c>
      <c r="N212">
        <v>0</v>
      </c>
      <c r="O212" s="6">
        <v>0</v>
      </c>
      <c r="P212">
        <v>0</v>
      </c>
      <c r="Q212" s="8">
        <v>201.62</v>
      </c>
      <c r="R212" s="8">
        <v>201.62</v>
      </c>
      <c r="S212" s="9" t="s">
        <v>536</v>
      </c>
    </row>
    <row r="213" spans="1:19" hidden="1" x14ac:dyDescent="0.25">
      <c r="A213" t="s">
        <v>123</v>
      </c>
      <c r="B213" t="s">
        <v>78</v>
      </c>
      <c r="C213" t="s">
        <v>127</v>
      </c>
      <c r="D213" t="s">
        <v>530</v>
      </c>
      <c r="E213" t="s">
        <v>90</v>
      </c>
      <c r="F213" t="s">
        <v>91</v>
      </c>
      <c r="G213">
        <v>1</v>
      </c>
      <c r="H213">
        <v>2</v>
      </c>
      <c r="I213">
        <v>2</v>
      </c>
      <c r="J213">
        <v>2</v>
      </c>
      <c r="K213" s="6">
        <v>100</v>
      </c>
      <c r="L213" s="6">
        <v>0</v>
      </c>
      <c r="M213" s="6">
        <v>100</v>
      </c>
      <c r="N213">
        <v>0</v>
      </c>
      <c r="O213" s="6">
        <v>0</v>
      </c>
      <c r="P213">
        <v>0</v>
      </c>
      <c r="Q213" s="8">
        <v>201.62</v>
      </c>
      <c r="R213" s="8">
        <v>201.62</v>
      </c>
      <c r="S213" s="9" t="s">
        <v>537</v>
      </c>
    </row>
    <row r="214" spans="1:19" hidden="1" x14ac:dyDescent="0.25">
      <c r="A214" t="s">
        <v>123</v>
      </c>
      <c r="B214" t="s">
        <v>78</v>
      </c>
      <c r="C214" t="s">
        <v>127</v>
      </c>
      <c r="D214" t="s">
        <v>530</v>
      </c>
      <c r="E214" t="s">
        <v>90</v>
      </c>
      <c r="F214" t="s">
        <v>94</v>
      </c>
      <c r="G214">
        <v>2</v>
      </c>
      <c r="H214">
        <v>2</v>
      </c>
      <c r="I214">
        <v>2</v>
      </c>
      <c r="J214">
        <v>2</v>
      </c>
      <c r="K214" s="6">
        <v>100</v>
      </c>
      <c r="L214" s="6">
        <v>0</v>
      </c>
      <c r="M214" s="6">
        <v>100</v>
      </c>
      <c r="N214">
        <v>0</v>
      </c>
      <c r="O214" s="6">
        <v>0</v>
      </c>
      <c r="P214">
        <v>0</v>
      </c>
      <c r="Q214" s="8">
        <v>201.62</v>
      </c>
      <c r="R214" s="8">
        <v>201.62</v>
      </c>
      <c r="S214" s="9" t="s">
        <v>537</v>
      </c>
    </row>
    <row r="215" spans="1:19" hidden="1" x14ac:dyDescent="0.25">
      <c r="A215" t="s">
        <v>123</v>
      </c>
      <c r="B215" t="s">
        <v>78</v>
      </c>
      <c r="C215" t="s">
        <v>127</v>
      </c>
      <c r="D215" t="s">
        <v>530</v>
      </c>
      <c r="E215" t="s">
        <v>90</v>
      </c>
      <c r="F215" t="s">
        <v>96</v>
      </c>
      <c r="G215">
        <v>6</v>
      </c>
      <c r="H215">
        <v>2</v>
      </c>
      <c r="I215">
        <v>2</v>
      </c>
      <c r="J215">
        <v>2</v>
      </c>
      <c r="K215" s="6">
        <v>100</v>
      </c>
      <c r="L215" s="6">
        <v>0</v>
      </c>
      <c r="M215" s="6">
        <v>100</v>
      </c>
      <c r="N215">
        <v>0</v>
      </c>
      <c r="O215" s="6">
        <v>0</v>
      </c>
      <c r="P215">
        <v>0</v>
      </c>
      <c r="Q215" s="8">
        <v>201.62</v>
      </c>
      <c r="R215" s="8">
        <v>201.62</v>
      </c>
      <c r="S215" s="9" t="s">
        <v>537</v>
      </c>
    </row>
    <row r="216" spans="1:19" hidden="1" x14ac:dyDescent="0.25">
      <c r="A216" t="s">
        <v>123</v>
      </c>
      <c r="B216" t="s">
        <v>78</v>
      </c>
      <c r="C216" t="s">
        <v>127</v>
      </c>
      <c r="D216" t="s">
        <v>530</v>
      </c>
      <c r="E216" t="s">
        <v>90</v>
      </c>
      <c r="F216" t="s">
        <v>6</v>
      </c>
      <c r="G216">
        <v>13</v>
      </c>
      <c r="H216">
        <v>2</v>
      </c>
      <c r="I216">
        <v>2</v>
      </c>
      <c r="J216">
        <v>2</v>
      </c>
      <c r="K216" s="6">
        <v>99.76</v>
      </c>
      <c r="L216" s="6">
        <v>-0.31</v>
      </c>
      <c r="M216" s="6">
        <v>99.76</v>
      </c>
      <c r="N216">
        <v>0</v>
      </c>
      <c r="O216" s="6">
        <v>0</v>
      </c>
      <c r="P216">
        <v>0</v>
      </c>
      <c r="Q216" s="8">
        <v>201.62</v>
      </c>
      <c r="R216" s="8">
        <v>201.14</v>
      </c>
      <c r="S216" s="9" t="s">
        <v>537</v>
      </c>
    </row>
    <row r="217" spans="1:19" hidden="1" x14ac:dyDescent="0.25">
      <c r="A217" t="s">
        <v>123</v>
      </c>
      <c r="B217" t="s">
        <v>78</v>
      </c>
      <c r="C217" t="s">
        <v>127</v>
      </c>
      <c r="D217" t="s">
        <v>531</v>
      </c>
      <c r="E217" t="s">
        <v>90</v>
      </c>
      <c r="F217" t="s">
        <v>90</v>
      </c>
      <c r="G217">
        <v>0</v>
      </c>
      <c r="H217">
        <v>5</v>
      </c>
      <c r="I217">
        <v>5</v>
      </c>
      <c r="J217">
        <v>5</v>
      </c>
      <c r="K217" s="6">
        <v>100</v>
      </c>
      <c r="L217" s="6">
        <v>0</v>
      </c>
      <c r="M217" s="6">
        <v>100</v>
      </c>
      <c r="N217">
        <v>0</v>
      </c>
      <c r="O217" s="6">
        <v>0</v>
      </c>
      <c r="P217">
        <v>0</v>
      </c>
      <c r="Q217" s="8">
        <v>197.53</v>
      </c>
      <c r="R217" s="8">
        <v>197.53</v>
      </c>
      <c r="S217" s="9" t="s">
        <v>538</v>
      </c>
    </row>
    <row r="218" spans="1:19" hidden="1" x14ac:dyDescent="0.25">
      <c r="A218" t="s">
        <v>123</v>
      </c>
      <c r="B218" t="s">
        <v>78</v>
      </c>
      <c r="C218" t="s">
        <v>127</v>
      </c>
      <c r="D218" t="s">
        <v>531</v>
      </c>
      <c r="E218" t="s">
        <v>90</v>
      </c>
      <c r="F218" t="s">
        <v>91</v>
      </c>
      <c r="G218">
        <v>1</v>
      </c>
      <c r="H218">
        <v>5</v>
      </c>
      <c r="I218">
        <v>5</v>
      </c>
      <c r="J218">
        <v>5</v>
      </c>
      <c r="K218" s="6">
        <v>100</v>
      </c>
      <c r="L218" s="6">
        <v>0</v>
      </c>
      <c r="M218" s="6">
        <v>100</v>
      </c>
      <c r="N218">
        <v>0</v>
      </c>
      <c r="O218" s="6">
        <v>0</v>
      </c>
      <c r="P218">
        <v>0</v>
      </c>
      <c r="Q218" s="8">
        <v>197.53</v>
      </c>
      <c r="R218" s="8">
        <v>197.53</v>
      </c>
      <c r="S218" s="9" t="s">
        <v>133</v>
      </c>
    </row>
    <row r="219" spans="1:19" hidden="1" x14ac:dyDescent="0.25">
      <c r="A219" t="s">
        <v>123</v>
      </c>
      <c r="B219" t="s">
        <v>78</v>
      </c>
      <c r="C219" t="s">
        <v>127</v>
      </c>
      <c r="D219" t="s">
        <v>531</v>
      </c>
      <c r="E219" t="s">
        <v>90</v>
      </c>
      <c r="F219" t="s">
        <v>94</v>
      </c>
      <c r="G219">
        <v>2</v>
      </c>
      <c r="H219">
        <v>5</v>
      </c>
      <c r="I219">
        <v>5</v>
      </c>
      <c r="J219">
        <v>5</v>
      </c>
      <c r="K219" s="6">
        <v>100</v>
      </c>
      <c r="L219" s="6">
        <v>0</v>
      </c>
      <c r="M219" s="6">
        <v>100</v>
      </c>
      <c r="N219">
        <v>0</v>
      </c>
      <c r="O219" s="6">
        <v>0</v>
      </c>
      <c r="P219">
        <v>0</v>
      </c>
      <c r="Q219" s="8">
        <v>197.53</v>
      </c>
      <c r="R219" s="8">
        <v>197.53</v>
      </c>
      <c r="S219" s="9" t="s">
        <v>133</v>
      </c>
    </row>
    <row r="220" spans="1:19" hidden="1" x14ac:dyDescent="0.25">
      <c r="A220" t="s">
        <v>123</v>
      </c>
      <c r="B220" t="s">
        <v>78</v>
      </c>
      <c r="C220" t="s">
        <v>127</v>
      </c>
      <c r="D220" t="s">
        <v>531</v>
      </c>
      <c r="E220" t="s">
        <v>90</v>
      </c>
      <c r="F220" t="s">
        <v>96</v>
      </c>
      <c r="G220">
        <v>6</v>
      </c>
      <c r="H220">
        <v>5</v>
      </c>
      <c r="I220">
        <v>5</v>
      </c>
      <c r="J220">
        <v>5</v>
      </c>
      <c r="K220" s="6">
        <v>100</v>
      </c>
      <c r="L220" s="6">
        <v>0</v>
      </c>
      <c r="M220" s="6">
        <v>100</v>
      </c>
      <c r="N220">
        <v>0</v>
      </c>
      <c r="O220" s="6">
        <v>0</v>
      </c>
      <c r="P220">
        <v>0</v>
      </c>
      <c r="Q220" s="8">
        <v>197.53</v>
      </c>
      <c r="R220" s="8">
        <v>197.53</v>
      </c>
      <c r="S220" s="9" t="s">
        <v>133</v>
      </c>
    </row>
    <row r="221" spans="1:19" hidden="1" x14ac:dyDescent="0.25">
      <c r="A221" t="s">
        <v>123</v>
      </c>
      <c r="B221" t="s">
        <v>78</v>
      </c>
      <c r="C221" t="s">
        <v>127</v>
      </c>
      <c r="D221" t="s">
        <v>531</v>
      </c>
      <c r="E221" t="s">
        <v>90</v>
      </c>
      <c r="F221" t="s">
        <v>6</v>
      </c>
      <c r="G221">
        <v>13</v>
      </c>
      <c r="H221">
        <v>5</v>
      </c>
      <c r="I221">
        <v>5</v>
      </c>
      <c r="J221">
        <v>5</v>
      </c>
      <c r="K221" s="6">
        <v>99.32</v>
      </c>
      <c r="L221" s="6">
        <v>0</v>
      </c>
      <c r="M221" s="6">
        <v>99.32</v>
      </c>
      <c r="N221">
        <v>0</v>
      </c>
      <c r="O221" s="6">
        <v>0</v>
      </c>
      <c r="P221">
        <v>0</v>
      </c>
      <c r="Q221" s="8">
        <v>197.53</v>
      </c>
      <c r="R221" s="8">
        <v>196.2</v>
      </c>
      <c r="S221" s="9" t="s">
        <v>133</v>
      </c>
    </row>
    <row r="222" spans="1:19" hidden="1" x14ac:dyDescent="0.25">
      <c r="A222" t="s">
        <v>123</v>
      </c>
      <c r="B222" t="s">
        <v>78</v>
      </c>
      <c r="C222" t="s">
        <v>127</v>
      </c>
      <c r="D222" t="s">
        <v>532</v>
      </c>
      <c r="E222" t="s">
        <v>90</v>
      </c>
      <c r="F222" t="s">
        <v>90</v>
      </c>
      <c r="G222">
        <v>0</v>
      </c>
      <c r="H222">
        <v>5</v>
      </c>
      <c r="I222">
        <v>5</v>
      </c>
      <c r="J222">
        <v>5</v>
      </c>
      <c r="K222" s="6">
        <v>100</v>
      </c>
      <c r="L222" s="6">
        <v>0</v>
      </c>
      <c r="M222" s="6">
        <v>100</v>
      </c>
      <c r="N222">
        <v>0</v>
      </c>
      <c r="O222" s="6">
        <v>0</v>
      </c>
      <c r="P222">
        <v>0</v>
      </c>
      <c r="Q222" s="8">
        <v>157.30000000000001</v>
      </c>
      <c r="R222" s="8">
        <v>157.30000000000001</v>
      </c>
      <c r="S222" s="9" t="s">
        <v>538</v>
      </c>
    </row>
    <row r="223" spans="1:19" hidden="1" x14ac:dyDescent="0.25">
      <c r="A223" t="s">
        <v>123</v>
      </c>
      <c r="B223" t="s">
        <v>78</v>
      </c>
      <c r="C223" t="s">
        <v>127</v>
      </c>
      <c r="D223" t="s">
        <v>532</v>
      </c>
      <c r="E223" t="s">
        <v>90</v>
      </c>
      <c r="F223" t="s">
        <v>91</v>
      </c>
      <c r="G223">
        <v>1</v>
      </c>
      <c r="H223">
        <v>5</v>
      </c>
      <c r="I223">
        <v>5</v>
      </c>
      <c r="J223">
        <v>5</v>
      </c>
      <c r="K223" s="6">
        <v>100</v>
      </c>
      <c r="L223" s="6">
        <v>0</v>
      </c>
      <c r="M223" s="6">
        <v>100</v>
      </c>
      <c r="N223">
        <v>0</v>
      </c>
      <c r="O223" s="6">
        <v>0</v>
      </c>
      <c r="P223">
        <v>0</v>
      </c>
      <c r="Q223" s="8">
        <v>157.30000000000001</v>
      </c>
      <c r="R223" s="8">
        <v>157.30000000000001</v>
      </c>
      <c r="S223" s="9" t="s">
        <v>133</v>
      </c>
    </row>
    <row r="224" spans="1:19" hidden="1" x14ac:dyDescent="0.25">
      <c r="A224" t="s">
        <v>123</v>
      </c>
      <c r="B224" t="s">
        <v>78</v>
      </c>
      <c r="C224" t="s">
        <v>127</v>
      </c>
      <c r="D224" t="s">
        <v>532</v>
      </c>
      <c r="E224" t="s">
        <v>90</v>
      </c>
      <c r="F224" t="s">
        <v>94</v>
      </c>
      <c r="G224">
        <v>2</v>
      </c>
      <c r="H224">
        <v>5</v>
      </c>
      <c r="I224">
        <v>5</v>
      </c>
      <c r="J224">
        <v>5</v>
      </c>
      <c r="K224" s="6">
        <v>100</v>
      </c>
      <c r="L224" s="6">
        <v>0</v>
      </c>
      <c r="M224" s="6">
        <v>100</v>
      </c>
      <c r="N224">
        <v>0</v>
      </c>
      <c r="O224" s="6">
        <v>0</v>
      </c>
      <c r="P224">
        <v>0</v>
      </c>
      <c r="Q224" s="8">
        <v>157.30000000000001</v>
      </c>
      <c r="R224" s="8">
        <v>157.30000000000001</v>
      </c>
      <c r="S224" s="9" t="s">
        <v>133</v>
      </c>
    </row>
    <row r="225" spans="1:19" hidden="1" x14ac:dyDescent="0.25">
      <c r="A225" t="s">
        <v>123</v>
      </c>
      <c r="B225" t="s">
        <v>78</v>
      </c>
      <c r="C225" t="s">
        <v>127</v>
      </c>
      <c r="D225" t="s">
        <v>532</v>
      </c>
      <c r="E225" t="s">
        <v>90</v>
      </c>
      <c r="F225" t="s">
        <v>96</v>
      </c>
      <c r="G225">
        <v>6</v>
      </c>
      <c r="H225">
        <v>5</v>
      </c>
      <c r="I225">
        <v>5</v>
      </c>
      <c r="J225">
        <v>5</v>
      </c>
      <c r="K225" s="6">
        <v>100</v>
      </c>
      <c r="L225" s="6">
        <v>0</v>
      </c>
      <c r="M225" s="6">
        <v>100</v>
      </c>
      <c r="N225">
        <v>0</v>
      </c>
      <c r="O225" s="6">
        <v>0</v>
      </c>
      <c r="P225">
        <v>0</v>
      </c>
      <c r="Q225" s="8">
        <v>157.30000000000001</v>
      </c>
      <c r="R225" s="8">
        <v>157.30000000000001</v>
      </c>
      <c r="S225" s="9" t="s">
        <v>133</v>
      </c>
    </row>
    <row r="226" spans="1:19" hidden="1" x14ac:dyDescent="0.25">
      <c r="A226" t="s">
        <v>123</v>
      </c>
      <c r="B226" t="s">
        <v>78</v>
      </c>
      <c r="C226" t="s">
        <v>127</v>
      </c>
      <c r="D226" t="s">
        <v>532</v>
      </c>
      <c r="E226" t="s">
        <v>90</v>
      </c>
      <c r="F226" t="s">
        <v>6</v>
      </c>
      <c r="G226">
        <v>13</v>
      </c>
      <c r="H226">
        <v>5</v>
      </c>
      <c r="I226">
        <v>5</v>
      </c>
      <c r="J226">
        <v>5</v>
      </c>
      <c r="K226" s="6">
        <v>99.15</v>
      </c>
      <c r="L226" s="6">
        <v>0</v>
      </c>
      <c r="M226" s="6">
        <v>99.15</v>
      </c>
      <c r="N226">
        <v>0</v>
      </c>
      <c r="O226" s="6">
        <v>0</v>
      </c>
      <c r="P226">
        <v>0</v>
      </c>
      <c r="Q226" s="8">
        <v>157.30000000000001</v>
      </c>
      <c r="R226" s="8">
        <v>155.96</v>
      </c>
      <c r="S226" s="9" t="s">
        <v>133</v>
      </c>
    </row>
    <row r="227" spans="1:19" hidden="1" x14ac:dyDescent="0.25">
      <c r="A227" t="s">
        <v>123</v>
      </c>
      <c r="B227" t="s">
        <v>78</v>
      </c>
      <c r="C227" t="s">
        <v>127</v>
      </c>
      <c r="D227" t="s">
        <v>533</v>
      </c>
      <c r="E227" t="s">
        <v>94</v>
      </c>
      <c r="F227" t="s">
        <v>94</v>
      </c>
      <c r="G227">
        <v>0</v>
      </c>
      <c r="H227">
        <v>8</v>
      </c>
      <c r="I227">
        <v>8</v>
      </c>
      <c r="J227">
        <v>8</v>
      </c>
      <c r="K227" s="6">
        <v>100</v>
      </c>
      <c r="L227" s="6">
        <v>0</v>
      </c>
      <c r="M227" s="6">
        <v>100</v>
      </c>
      <c r="N227">
        <v>0</v>
      </c>
      <c r="O227" s="6">
        <v>0</v>
      </c>
      <c r="P227">
        <v>0</v>
      </c>
      <c r="Q227" s="8">
        <v>140.68</v>
      </c>
      <c r="R227" s="8">
        <v>140.68</v>
      </c>
      <c r="S227" s="9" t="s">
        <v>543</v>
      </c>
    </row>
    <row r="228" spans="1:19" hidden="1" x14ac:dyDescent="0.25">
      <c r="A228" t="s">
        <v>123</v>
      </c>
      <c r="B228" t="s">
        <v>78</v>
      </c>
      <c r="C228" t="s">
        <v>127</v>
      </c>
      <c r="D228" t="s">
        <v>533</v>
      </c>
      <c r="E228" t="s">
        <v>94</v>
      </c>
      <c r="F228" t="s">
        <v>96</v>
      </c>
      <c r="G228">
        <v>4</v>
      </c>
      <c r="H228">
        <v>8</v>
      </c>
      <c r="I228">
        <v>8</v>
      </c>
      <c r="J228">
        <v>8</v>
      </c>
      <c r="K228" s="6">
        <v>100.11</v>
      </c>
      <c r="L228" s="6">
        <v>0</v>
      </c>
      <c r="M228" s="6">
        <v>100.11</v>
      </c>
      <c r="N228">
        <v>0</v>
      </c>
      <c r="O228" s="6">
        <v>0</v>
      </c>
      <c r="P228">
        <v>0</v>
      </c>
      <c r="Q228" s="8">
        <v>140.68</v>
      </c>
      <c r="R228" s="8">
        <v>140.84</v>
      </c>
      <c r="S228" s="9" t="s">
        <v>544</v>
      </c>
    </row>
    <row r="229" spans="1:19" hidden="1" x14ac:dyDescent="0.25">
      <c r="A229" t="s">
        <v>123</v>
      </c>
      <c r="B229" t="s">
        <v>78</v>
      </c>
      <c r="C229" t="s">
        <v>127</v>
      </c>
      <c r="D229" t="s">
        <v>533</v>
      </c>
      <c r="E229" t="s">
        <v>94</v>
      </c>
      <c r="F229" t="s">
        <v>6</v>
      </c>
      <c r="G229">
        <v>11</v>
      </c>
      <c r="H229">
        <v>8</v>
      </c>
      <c r="I229">
        <v>8</v>
      </c>
      <c r="J229">
        <v>8</v>
      </c>
      <c r="K229" s="6">
        <v>100</v>
      </c>
      <c r="L229" s="6">
        <v>0</v>
      </c>
      <c r="M229" s="6">
        <v>100</v>
      </c>
      <c r="N229">
        <v>0</v>
      </c>
      <c r="O229" s="6">
        <v>0</v>
      </c>
      <c r="P229">
        <v>0</v>
      </c>
      <c r="Q229" s="8">
        <v>140.68</v>
      </c>
      <c r="R229" s="8">
        <v>140.68</v>
      </c>
      <c r="S229" s="9" t="s">
        <v>544</v>
      </c>
    </row>
    <row r="230" spans="1:19" hidden="1" x14ac:dyDescent="0.25">
      <c r="A230" t="s">
        <v>123</v>
      </c>
      <c r="B230" t="s">
        <v>78</v>
      </c>
      <c r="C230" t="s">
        <v>127</v>
      </c>
      <c r="D230" t="s">
        <v>545</v>
      </c>
      <c r="E230" t="s">
        <v>94</v>
      </c>
      <c r="F230" t="s">
        <v>94</v>
      </c>
      <c r="G230">
        <v>0</v>
      </c>
      <c r="H230">
        <v>9</v>
      </c>
      <c r="I230">
        <v>9</v>
      </c>
      <c r="J230">
        <v>9</v>
      </c>
      <c r="K230" s="6">
        <v>100</v>
      </c>
      <c r="L230" s="6">
        <v>0</v>
      </c>
      <c r="M230" s="6">
        <v>100</v>
      </c>
      <c r="N230">
        <v>0</v>
      </c>
      <c r="O230" s="6">
        <v>0</v>
      </c>
      <c r="P230">
        <v>0</v>
      </c>
      <c r="Q230" s="8">
        <v>143.86000000000001</v>
      </c>
      <c r="R230" s="8">
        <v>143.86000000000001</v>
      </c>
      <c r="S230" s="9" t="s">
        <v>546</v>
      </c>
    </row>
    <row r="231" spans="1:19" hidden="1" x14ac:dyDescent="0.25">
      <c r="A231" t="s">
        <v>123</v>
      </c>
      <c r="B231" t="s">
        <v>78</v>
      </c>
      <c r="C231" t="s">
        <v>127</v>
      </c>
      <c r="D231" t="s">
        <v>545</v>
      </c>
      <c r="E231" t="s">
        <v>94</v>
      </c>
      <c r="F231" t="s">
        <v>96</v>
      </c>
      <c r="G231">
        <v>4</v>
      </c>
      <c r="H231">
        <v>9</v>
      </c>
      <c r="I231">
        <v>9</v>
      </c>
      <c r="J231">
        <v>9</v>
      </c>
      <c r="K231" s="6">
        <v>100</v>
      </c>
      <c r="L231" s="6">
        <v>0</v>
      </c>
      <c r="M231" s="6">
        <v>100</v>
      </c>
      <c r="N231">
        <v>0</v>
      </c>
      <c r="O231" s="6">
        <v>0</v>
      </c>
      <c r="P231">
        <v>0</v>
      </c>
      <c r="Q231" s="8">
        <v>143.86000000000001</v>
      </c>
      <c r="R231" s="8">
        <v>143.86000000000001</v>
      </c>
      <c r="S231" s="9" t="s">
        <v>547</v>
      </c>
    </row>
    <row r="232" spans="1:19" hidden="1" x14ac:dyDescent="0.25">
      <c r="A232" t="s">
        <v>123</v>
      </c>
      <c r="B232" t="s">
        <v>78</v>
      </c>
      <c r="C232" t="s">
        <v>127</v>
      </c>
      <c r="D232" t="s">
        <v>545</v>
      </c>
      <c r="E232" t="s">
        <v>94</v>
      </c>
      <c r="F232" t="s">
        <v>6</v>
      </c>
      <c r="G232">
        <v>11</v>
      </c>
      <c r="H232">
        <v>9</v>
      </c>
      <c r="I232">
        <v>9</v>
      </c>
      <c r="J232">
        <v>9</v>
      </c>
      <c r="K232" s="6">
        <v>100</v>
      </c>
      <c r="L232" s="6">
        <v>0</v>
      </c>
      <c r="M232" s="6">
        <v>100</v>
      </c>
      <c r="N232">
        <v>0</v>
      </c>
      <c r="O232" s="6">
        <v>0</v>
      </c>
      <c r="P232">
        <v>0</v>
      </c>
      <c r="Q232" s="8">
        <v>143.86000000000001</v>
      </c>
      <c r="R232" s="8">
        <v>143.86000000000001</v>
      </c>
      <c r="S232" s="9" t="s">
        <v>547</v>
      </c>
    </row>
    <row r="233" spans="1:19" hidden="1" x14ac:dyDescent="0.25">
      <c r="A233" t="s">
        <v>123</v>
      </c>
      <c r="B233" t="s">
        <v>78</v>
      </c>
      <c r="C233" t="s">
        <v>128</v>
      </c>
      <c r="D233" t="s">
        <v>539</v>
      </c>
      <c r="E233" t="s">
        <v>91</v>
      </c>
      <c r="F233" t="s">
        <v>91</v>
      </c>
      <c r="G233">
        <v>0</v>
      </c>
      <c r="H233">
        <v>1</v>
      </c>
      <c r="I233">
        <v>1</v>
      </c>
      <c r="J233">
        <v>1</v>
      </c>
      <c r="K233" s="6">
        <v>100</v>
      </c>
      <c r="L233" s="6">
        <v>0</v>
      </c>
      <c r="M233" s="6">
        <v>100</v>
      </c>
      <c r="N233">
        <v>0</v>
      </c>
      <c r="O233" s="6">
        <v>0</v>
      </c>
      <c r="P233">
        <v>0</v>
      </c>
      <c r="Q233" s="8">
        <v>623.16999999999996</v>
      </c>
      <c r="R233" s="8">
        <v>623.16999999999996</v>
      </c>
      <c r="S233" s="9" t="s">
        <v>540</v>
      </c>
    </row>
    <row r="234" spans="1:19" hidden="1" x14ac:dyDescent="0.25">
      <c r="A234" t="s">
        <v>123</v>
      </c>
      <c r="B234" t="s">
        <v>78</v>
      </c>
      <c r="C234" t="s">
        <v>128</v>
      </c>
      <c r="D234" t="s">
        <v>539</v>
      </c>
      <c r="E234" t="s">
        <v>91</v>
      </c>
      <c r="F234" t="s">
        <v>94</v>
      </c>
      <c r="G234">
        <v>1</v>
      </c>
      <c r="H234">
        <v>1</v>
      </c>
      <c r="I234">
        <v>2</v>
      </c>
      <c r="J234">
        <v>1</v>
      </c>
      <c r="K234" s="6">
        <v>100</v>
      </c>
      <c r="L234" s="6">
        <v>0</v>
      </c>
      <c r="M234" s="6">
        <v>78.95</v>
      </c>
      <c r="N234">
        <v>-21.05</v>
      </c>
      <c r="O234" s="6">
        <v>0</v>
      </c>
      <c r="P234">
        <v>1</v>
      </c>
      <c r="Q234" s="8">
        <v>623.16999999999996</v>
      </c>
      <c r="R234" s="8">
        <v>623.16999999999996</v>
      </c>
      <c r="S234" s="9" t="s">
        <v>541</v>
      </c>
    </row>
    <row r="235" spans="1:19" hidden="1" x14ac:dyDescent="0.25">
      <c r="A235" t="s">
        <v>123</v>
      </c>
      <c r="B235" t="s">
        <v>78</v>
      </c>
      <c r="C235" t="s">
        <v>128</v>
      </c>
      <c r="D235" t="s">
        <v>539</v>
      </c>
      <c r="E235" t="s">
        <v>91</v>
      </c>
      <c r="F235" t="s">
        <v>96</v>
      </c>
      <c r="G235">
        <v>5</v>
      </c>
      <c r="H235">
        <v>1</v>
      </c>
      <c r="I235">
        <v>1</v>
      </c>
      <c r="J235">
        <v>1</v>
      </c>
      <c r="K235" s="6">
        <v>100</v>
      </c>
      <c r="L235" s="6">
        <v>0</v>
      </c>
      <c r="M235" s="6">
        <v>100</v>
      </c>
      <c r="N235">
        <v>0</v>
      </c>
      <c r="O235" s="6">
        <v>0</v>
      </c>
      <c r="P235">
        <v>0</v>
      </c>
      <c r="Q235" s="8">
        <v>623.16999999999996</v>
      </c>
      <c r="R235" s="8">
        <v>623.16999999999996</v>
      </c>
      <c r="S235" s="9" t="s">
        <v>541</v>
      </c>
    </row>
    <row r="236" spans="1:19" hidden="1" x14ac:dyDescent="0.25">
      <c r="A236" t="s">
        <v>123</v>
      </c>
      <c r="B236" t="s">
        <v>78</v>
      </c>
      <c r="C236" t="s">
        <v>128</v>
      </c>
      <c r="D236" t="s">
        <v>539</v>
      </c>
      <c r="E236" t="s">
        <v>91</v>
      </c>
      <c r="F236" t="s">
        <v>6</v>
      </c>
      <c r="G236">
        <v>12</v>
      </c>
      <c r="H236">
        <v>1</v>
      </c>
      <c r="I236">
        <v>1</v>
      </c>
      <c r="J236">
        <v>1</v>
      </c>
      <c r="K236" s="6">
        <v>59.59</v>
      </c>
      <c r="L236" s="6">
        <v>-40.409999999999997</v>
      </c>
      <c r="M236" s="6">
        <v>59.59</v>
      </c>
      <c r="N236">
        <v>0</v>
      </c>
      <c r="O236" s="6">
        <v>0</v>
      </c>
      <c r="P236">
        <v>0</v>
      </c>
      <c r="Q236" s="8">
        <v>623.16999999999996</v>
      </c>
      <c r="R236" s="8">
        <v>371.33</v>
      </c>
      <c r="S236" s="9" t="s">
        <v>541</v>
      </c>
    </row>
    <row r="237" spans="1:19" hidden="1" x14ac:dyDescent="0.25">
      <c r="A237" t="s">
        <v>123</v>
      </c>
      <c r="B237" t="s">
        <v>78</v>
      </c>
      <c r="C237" t="s">
        <v>128</v>
      </c>
      <c r="D237" t="s">
        <v>524</v>
      </c>
      <c r="E237" t="s">
        <v>90</v>
      </c>
      <c r="F237" t="s">
        <v>90</v>
      </c>
      <c r="G237">
        <v>0</v>
      </c>
      <c r="H237">
        <v>1</v>
      </c>
      <c r="I237">
        <v>1</v>
      </c>
      <c r="J237">
        <v>1</v>
      </c>
      <c r="K237" s="6">
        <v>100</v>
      </c>
      <c r="L237" s="6">
        <v>0</v>
      </c>
      <c r="M237" s="6">
        <v>100</v>
      </c>
      <c r="N237">
        <v>0</v>
      </c>
      <c r="O237" s="6">
        <v>0</v>
      </c>
      <c r="P237">
        <v>0</v>
      </c>
      <c r="Q237" s="8">
        <v>316.5</v>
      </c>
      <c r="R237" s="8">
        <v>316.5</v>
      </c>
      <c r="S237" s="9" t="s">
        <v>540</v>
      </c>
    </row>
    <row r="238" spans="1:19" hidden="1" x14ac:dyDescent="0.25">
      <c r="A238" t="s">
        <v>123</v>
      </c>
      <c r="B238" t="s">
        <v>78</v>
      </c>
      <c r="C238" t="s">
        <v>128</v>
      </c>
      <c r="D238" t="s">
        <v>524</v>
      </c>
      <c r="E238" t="s">
        <v>90</v>
      </c>
      <c r="F238" t="s">
        <v>91</v>
      </c>
      <c r="G238">
        <v>1</v>
      </c>
      <c r="H238">
        <v>1</v>
      </c>
      <c r="I238">
        <v>1</v>
      </c>
      <c r="J238">
        <v>1</v>
      </c>
      <c r="K238" s="6">
        <v>100</v>
      </c>
      <c r="L238" s="6">
        <v>0</v>
      </c>
      <c r="M238" s="6">
        <v>100</v>
      </c>
      <c r="N238">
        <v>0</v>
      </c>
      <c r="O238" s="6">
        <v>0</v>
      </c>
      <c r="P238">
        <v>0</v>
      </c>
      <c r="Q238" s="8">
        <v>316.5</v>
      </c>
      <c r="R238" s="8">
        <v>316.5</v>
      </c>
      <c r="S238" s="9" t="s">
        <v>541</v>
      </c>
    </row>
    <row r="239" spans="1:19" hidden="1" x14ac:dyDescent="0.25">
      <c r="A239" t="s">
        <v>123</v>
      </c>
      <c r="B239" t="s">
        <v>78</v>
      </c>
      <c r="C239" t="s">
        <v>128</v>
      </c>
      <c r="D239" t="s">
        <v>524</v>
      </c>
      <c r="E239" t="s">
        <v>90</v>
      </c>
      <c r="F239" t="s">
        <v>94</v>
      </c>
      <c r="G239">
        <v>2</v>
      </c>
      <c r="H239">
        <v>1</v>
      </c>
      <c r="I239">
        <v>1</v>
      </c>
      <c r="J239">
        <v>1</v>
      </c>
      <c r="K239" s="6">
        <v>100</v>
      </c>
      <c r="L239" s="6">
        <v>0</v>
      </c>
      <c r="M239" s="6">
        <v>100</v>
      </c>
      <c r="N239">
        <v>0</v>
      </c>
      <c r="O239" s="6">
        <v>0</v>
      </c>
      <c r="P239">
        <v>0</v>
      </c>
      <c r="Q239" s="8">
        <v>316.5</v>
      </c>
      <c r="R239" s="8">
        <v>316.5</v>
      </c>
      <c r="S239" s="9" t="s">
        <v>541</v>
      </c>
    </row>
    <row r="240" spans="1:19" hidden="1" x14ac:dyDescent="0.25">
      <c r="A240" t="s">
        <v>123</v>
      </c>
      <c r="B240" t="s">
        <v>78</v>
      </c>
      <c r="C240" t="s">
        <v>128</v>
      </c>
      <c r="D240" t="s">
        <v>524</v>
      </c>
      <c r="E240" t="s">
        <v>90</v>
      </c>
      <c r="F240" t="s">
        <v>96</v>
      </c>
      <c r="G240">
        <v>6</v>
      </c>
      <c r="H240">
        <v>1</v>
      </c>
      <c r="I240">
        <v>1</v>
      </c>
      <c r="J240">
        <v>1</v>
      </c>
      <c r="K240" s="6">
        <v>100</v>
      </c>
      <c r="L240" s="6">
        <v>0</v>
      </c>
      <c r="M240" s="6">
        <v>100</v>
      </c>
      <c r="N240">
        <v>0</v>
      </c>
      <c r="O240" s="6">
        <v>0</v>
      </c>
      <c r="P240">
        <v>0</v>
      </c>
      <c r="Q240" s="8">
        <v>316.5</v>
      </c>
      <c r="R240" s="8">
        <v>316.5</v>
      </c>
      <c r="S240" s="9" t="s">
        <v>541</v>
      </c>
    </row>
    <row r="241" spans="1:19" hidden="1" x14ac:dyDescent="0.25">
      <c r="A241" t="s">
        <v>123</v>
      </c>
      <c r="B241" t="s">
        <v>78</v>
      </c>
      <c r="C241" t="s">
        <v>128</v>
      </c>
      <c r="D241" t="s">
        <v>527</v>
      </c>
      <c r="E241" t="s">
        <v>90</v>
      </c>
      <c r="F241" t="s">
        <v>90</v>
      </c>
      <c r="G241">
        <v>0</v>
      </c>
      <c r="H241">
        <v>2</v>
      </c>
      <c r="I241">
        <v>2</v>
      </c>
      <c r="J241">
        <v>2</v>
      </c>
      <c r="K241" s="6">
        <v>100</v>
      </c>
      <c r="L241" s="6">
        <v>0</v>
      </c>
      <c r="M241" s="6">
        <v>100</v>
      </c>
      <c r="N241">
        <v>0</v>
      </c>
      <c r="O241" s="6">
        <v>0</v>
      </c>
      <c r="P241">
        <v>0</v>
      </c>
      <c r="Q241" s="8">
        <v>386.55</v>
      </c>
      <c r="R241" s="8">
        <v>386.55</v>
      </c>
      <c r="S241" s="9" t="s">
        <v>536</v>
      </c>
    </row>
    <row r="242" spans="1:19" hidden="1" x14ac:dyDescent="0.25">
      <c r="A242" t="s">
        <v>123</v>
      </c>
      <c r="B242" t="s">
        <v>78</v>
      </c>
      <c r="C242" t="s">
        <v>128</v>
      </c>
      <c r="D242" t="s">
        <v>527</v>
      </c>
      <c r="E242" t="s">
        <v>90</v>
      </c>
      <c r="F242" t="s">
        <v>91</v>
      </c>
      <c r="G242">
        <v>1</v>
      </c>
      <c r="H242">
        <v>2</v>
      </c>
      <c r="I242">
        <v>2</v>
      </c>
      <c r="J242">
        <v>2</v>
      </c>
      <c r="K242" s="6">
        <v>100</v>
      </c>
      <c r="L242" s="6">
        <v>0</v>
      </c>
      <c r="M242" s="6">
        <v>100</v>
      </c>
      <c r="N242">
        <v>0</v>
      </c>
      <c r="O242" s="6">
        <v>0</v>
      </c>
      <c r="P242">
        <v>0</v>
      </c>
      <c r="Q242" s="8">
        <v>386.55</v>
      </c>
      <c r="R242" s="8">
        <v>386.55</v>
      </c>
      <c r="S242" s="9" t="s">
        <v>537</v>
      </c>
    </row>
    <row r="243" spans="1:19" hidden="1" x14ac:dyDescent="0.25">
      <c r="A243" t="s">
        <v>123</v>
      </c>
      <c r="B243" t="s">
        <v>78</v>
      </c>
      <c r="C243" t="s">
        <v>128</v>
      </c>
      <c r="D243" t="s">
        <v>527</v>
      </c>
      <c r="E243" t="s">
        <v>90</v>
      </c>
      <c r="F243" t="s">
        <v>94</v>
      </c>
      <c r="G243">
        <v>2</v>
      </c>
      <c r="H243">
        <v>2</v>
      </c>
      <c r="I243">
        <v>2</v>
      </c>
      <c r="J243">
        <v>2</v>
      </c>
      <c r="K243" s="6">
        <v>100</v>
      </c>
      <c r="L243" s="6">
        <v>0</v>
      </c>
      <c r="M243" s="6">
        <v>100</v>
      </c>
      <c r="N243">
        <v>0</v>
      </c>
      <c r="O243" s="6">
        <v>0</v>
      </c>
      <c r="P243">
        <v>0</v>
      </c>
      <c r="Q243" s="8">
        <v>386.55</v>
      </c>
      <c r="R243" s="8">
        <v>386.55</v>
      </c>
      <c r="S243" s="9" t="s">
        <v>537</v>
      </c>
    </row>
    <row r="244" spans="1:19" hidden="1" x14ac:dyDescent="0.25">
      <c r="A244" t="s">
        <v>123</v>
      </c>
      <c r="B244" t="s">
        <v>78</v>
      </c>
      <c r="C244" t="s">
        <v>128</v>
      </c>
      <c r="D244" t="s">
        <v>527</v>
      </c>
      <c r="E244" t="s">
        <v>90</v>
      </c>
      <c r="F244" t="s">
        <v>96</v>
      </c>
      <c r="G244">
        <v>6</v>
      </c>
      <c r="H244">
        <v>2</v>
      </c>
      <c r="I244">
        <v>2</v>
      </c>
      <c r="J244">
        <v>2</v>
      </c>
      <c r="K244" s="6">
        <v>100</v>
      </c>
      <c r="L244" s="6">
        <v>0</v>
      </c>
      <c r="M244" s="6">
        <v>100</v>
      </c>
      <c r="N244">
        <v>0</v>
      </c>
      <c r="O244" s="6">
        <v>0</v>
      </c>
      <c r="P244">
        <v>0</v>
      </c>
      <c r="Q244" s="8">
        <v>386.55</v>
      </c>
      <c r="R244" s="8">
        <v>386.55</v>
      </c>
      <c r="S244" s="9" t="s">
        <v>537</v>
      </c>
    </row>
    <row r="245" spans="1:19" hidden="1" x14ac:dyDescent="0.25">
      <c r="A245" t="s">
        <v>123</v>
      </c>
      <c r="B245" t="s">
        <v>78</v>
      </c>
      <c r="C245" t="s">
        <v>128</v>
      </c>
      <c r="D245" t="s">
        <v>527</v>
      </c>
      <c r="E245" t="s">
        <v>90</v>
      </c>
      <c r="F245" t="s">
        <v>6</v>
      </c>
      <c r="G245">
        <v>13</v>
      </c>
      <c r="H245">
        <v>2</v>
      </c>
      <c r="I245">
        <v>2</v>
      </c>
      <c r="J245">
        <v>2</v>
      </c>
      <c r="K245" s="6">
        <v>99.94</v>
      </c>
      <c r="L245" s="6">
        <v>-0.06</v>
      </c>
      <c r="M245" s="6">
        <v>99.94</v>
      </c>
      <c r="N245">
        <v>0</v>
      </c>
      <c r="O245" s="6">
        <v>0</v>
      </c>
      <c r="P245">
        <v>0</v>
      </c>
      <c r="Q245" s="8">
        <v>386.55</v>
      </c>
      <c r="R245" s="8">
        <v>386.32</v>
      </c>
      <c r="S245" s="9" t="s">
        <v>537</v>
      </c>
    </row>
    <row r="246" spans="1:19" hidden="1" x14ac:dyDescent="0.25">
      <c r="A246" t="s">
        <v>123</v>
      </c>
      <c r="B246" t="s">
        <v>78</v>
      </c>
      <c r="C246" t="s">
        <v>128</v>
      </c>
      <c r="D246" t="s">
        <v>530</v>
      </c>
      <c r="E246" t="s">
        <v>90</v>
      </c>
      <c r="F246" t="s">
        <v>90</v>
      </c>
      <c r="G246">
        <v>0</v>
      </c>
      <c r="H246">
        <v>1</v>
      </c>
      <c r="I246">
        <v>1</v>
      </c>
      <c r="J246">
        <v>1</v>
      </c>
      <c r="K246" s="6">
        <v>100</v>
      </c>
      <c r="L246" s="6">
        <v>0</v>
      </c>
      <c r="M246" s="6">
        <v>100</v>
      </c>
      <c r="N246">
        <v>0</v>
      </c>
      <c r="O246" s="6">
        <v>0</v>
      </c>
      <c r="P246">
        <v>0</v>
      </c>
      <c r="Q246" s="8">
        <v>412.71</v>
      </c>
      <c r="R246" s="8">
        <v>412.71</v>
      </c>
      <c r="S246" s="9" t="s">
        <v>540</v>
      </c>
    </row>
    <row r="247" spans="1:19" hidden="1" x14ac:dyDescent="0.25">
      <c r="A247" t="s">
        <v>123</v>
      </c>
      <c r="B247" t="s">
        <v>78</v>
      </c>
      <c r="C247" t="s">
        <v>128</v>
      </c>
      <c r="D247" t="s">
        <v>530</v>
      </c>
      <c r="E247" t="s">
        <v>90</v>
      </c>
      <c r="F247" t="s">
        <v>91</v>
      </c>
      <c r="G247">
        <v>1</v>
      </c>
      <c r="H247">
        <v>1</v>
      </c>
      <c r="I247">
        <v>1</v>
      </c>
      <c r="J247">
        <v>1</v>
      </c>
      <c r="K247" s="6">
        <v>100</v>
      </c>
      <c r="L247" s="6">
        <v>0</v>
      </c>
      <c r="M247" s="6">
        <v>100</v>
      </c>
      <c r="N247">
        <v>0</v>
      </c>
      <c r="O247" s="6">
        <v>0</v>
      </c>
      <c r="P247">
        <v>0</v>
      </c>
      <c r="Q247" s="8">
        <v>412.71</v>
      </c>
      <c r="R247" s="8">
        <v>412.71</v>
      </c>
      <c r="S247" s="9" t="s">
        <v>541</v>
      </c>
    </row>
    <row r="248" spans="1:19" hidden="1" x14ac:dyDescent="0.25">
      <c r="A248" t="s">
        <v>123</v>
      </c>
      <c r="B248" t="s">
        <v>78</v>
      </c>
      <c r="C248" t="s">
        <v>128</v>
      </c>
      <c r="D248" t="s">
        <v>530</v>
      </c>
      <c r="E248" t="s">
        <v>90</v>
      </c>
      <c r="F248" t="s">
        <v>94</v>
      </c>
      <c r="G248">
        <v>2</v>
      </c>
      <c r="H248">
        <v>1</v>
      </c>
      <c r="I248">
        <v>1</v>
      </c>
      <c r="J248">
        <v>1</v>
      </c>
      <c r="K248" s="6">
        <v>100</v>
      </c>
      <c r="L248" s="6">
        <v>0</v>
      </c>
      <c r="M248" s="6">
        <v>100</v>
      </c>
      <c r="N248">
        <v>0</v>
      </c>
      <c r="O248" s="6">
        <v>0</v>
      </c>
      <c r="P248">
        <v>0</v>
      </c>
      <c r="Q248" s="8">
        <v>412.71</v>
      </c>
      <c r="R248" s="8">
        <v>412.71</v>
      </c>
      <c r="S248" s="9" t="s">
        <v>541</v>
      </c>
    </row>
    <row r="249" spans="1:19" hidden="1" x14ac:dyDescent="0.25">
      <c r="A249" t="s">
        <v>123</v>
      </c>
      <c r="B249" t="s">
        <v>78</v>
      </c>
      <c r="C249" t="s">
        <v>128</v>
      </c>
      <c r="D249" t="s">
        <v>530</v>
      </c>
      <c r="E249" t="s">
        <v>90</v>
      </c>
      <c r="F249" t="s">
        <v>96</v>
      </c>
      <c r="G249">
        <v>6</v>
      </c>
      <c r="H249">
        <v>1</v>
      </c>
      <c r="I249">
        <v>1</v>
      </c>
      <c r="J249">
        <v>1</v>
      </c>
      <c r="K249" s="6">
        <v>100</v>
      </c>
      <c r="L249" s="6">
        <v>0</v>
      </c>
      <c r="M249" s="6">
        <v>100</v>
      </c>
      <c r="N249">
        <v>0</v>
      </c>
      <c r="O249" s="6">
        <v>0</v>
      </c>
      <c r="P249">
        <v>0</v>
      </c>
      <c r="Q249" s="8">
        <v>412.71</v>
      </c>
      <c r="R249" s="8">
        <v>412.71</v>
      </c>
      <c r="S249" s="9" t="s">
        <v>541</v>
      </c>
    </row>
    <row r="250" spans="1:19" hidden="1" x14ac:dyDescent="0.25">
      <c r="A250" t="s">
        <v>123</v>
      </c>
      <c r="B250" t="s">
        <v>78</v>
      </c>
      <c r="C250" t="s">
        <v>128</v>
      </c>
      <c r="D250" t="s">
        <v>530</v>
      </c>
      <c r="E250" t="s">
        <v>90</v>
      </c>
      <c r="F250" t="s">
        <v>6</v>
      </c>
      <c r="G250">
        <v>13</v>
      </c>
      <c r="H250">
        <v>1</v>
      </c>
      <c r="I250">
        <v>1</v>
      </c>
      <c r="J250">
        <v>1</v>
      </c>
      <c r="K250" s="6">
        <v>102.08</v>
      </c>
      <c r="L250" s="6">
        <v>2.08</v>
      </c>
      <c r="M250" s="6">
        <v>102.08</v>
      </c>
      <c r="N250">
        <v>0</v>
      </c>
      <c r="O250" s="6">
        <v>0</v>
      </c>
      <c r="P250">
        <v>0</v>
      </c>
      <c r="Q250" s="8">
        <v>412.71</v>
      </c>
      <c r="R250" s="8">
        <v>421.29</v>
      </c>
      <c r="S250" s="9" t="s">
        <v>541</v>
      </c>
    </row>
    <row r="251" spans="1:19" hidden="1" x14ac:dyDescent="0.25">
      <c r="A251" t="s">
        <v>123</v>
      </c>
      <c r="B251" t="s">
        <v>78</v>
      </c>
      <c r="C251" t="s">
        <v>128</v>
      </c>
      <c r="D251" t="s">
        <v>531</v>
      </c>
      <c r="E251" t="s">
        <v>90</v>
      </c>
      <c r="F251" t="s">
        <v>90</v>
      </c>
      <c r="G251">
        <v>0</v>
      </c>
      <c r="H251">
        <v>5</v>
      </c>
      <c r="I251">
        <v>5</v>
      </c>
      <c r="J251">
        <v>5</v>
      </c>
      <c r="K251" s="6">
        <v>100</v>
      </c>
      <c r="L251" s="6">
        <v>0</v>
      </c>
      <c r="M251" s="6">
        <v>100</v>
      </c>
      <c r="N251">
        <v>0</v>
      </c>
      <c r="O251" s="6">
        <v>0</v>
      </c>
      <c r="P251">
        <v>0</v>
      </c>
      <c r="Q251" s="8">
        <v>393.88</v>
      </c>
      <c r="R251" s="8">
        <v>393.88</v>
      </c>
      <c r="S251" s="9" t="s">
        <v>538</v>
      </c>
    </row>
    <row r="252" spans="1:19" hidden="1" x14ac:dyDescent="0.25">
      <c r="A252" t="s">
        <v>123</v>
      </c>
      <c r="B252" t="s">
        <v>78</v>
      </c>
      <c r="C252" t="s">
        <v>128</v>
      </c>
      <c r="D252" t="s">
        <v>531</v>
      </c>
      <c r="E252" t="s">
        <v>90</v>
      </c>
      <c r="F252" t="s">
        <v>91</v>
      </c>
      <c r="G252">
        <v>1</v>
      </c>
      <c r="H252">
        <v>5</v>
      </c>
      <c r="I252">
        <v>5</v>
      </c>
      <c r="J252">
        <v>5</v>
      </c>
      <c r="K252" s="6">
        <v>100</v>
      </c>
      <c r="L252" s="6">
        <v>0</v>
      </c>
      <c r="M252" s="6">
        <v>100</v>
      </c>
      <c r="N252">
        <v>0</v>
      </c>
      <c r="O252" s="6">
        <v>0</v>
      </c>
      <c r="P252">
        <v>0</v>
      </c>
      <c r="Q252" s="8">
        <v>393.88</v>
      </c>
      <c r="R252" s="8">
        <v>393.88</v>
      </c>
      <c r="S252" s="9" t="s">
        <v>133</v>
      </c>
    </row>
    <row r="253" spans="1:19" hidden="1" x14ac:dyDescent="0.25">
      <c r="A253" t="s">
        <v>123</v>
      </c>
      <c r="B253" t="s">
        <v>78</v>
      </c>
      <c r="C253" t="s">
        <v>128</v>
      </c>
      <c r="D253" t="s">
        <v>531</v>
      </c>
      <c r="E253" t="s">
        <v>90</v>
      </c>
      <c r="F253" t="s">
        <v>94</v>
      </c>
      <c r="G253">
        <v>2</v>
      </c>
      <c r="H253">
        <v>5</v>
      </c>
      <c r="I253">
        <v>5</v>
      </c>
      <c r="J253">
        <v>5</v>
      </c>
      <c r="K253" s="6">
        <v>100</v>
      </c>
      <c r="L253" s="6">
        <v>0</v>
      </c>
      <c r="M253" s="6">
        <v>100</v>
      </c>
      <c r="N253">
        <v>0</v>
      </c>
      <c r="O253" s="6">
        <v>0</v>
      </c>
      <c r="P253">
        <v>0</v>
      </c>
      <c r="Q253" s="8">
        <v>393.88</v>
      </c>
      <c r="R253" s="8">
        <v>393.88</v>
      </c>
      <c r="S253" s="9" t="s">
        <v>133</v>
      </c>
    </row>
    <row r="254" spans="1:19" hidden="1" x14ac:dyDescent="0.25">
      <c r="A254" t="s">
        <v>123</v>
      </c>
      <c r="B254" t="s">
        <v>78</v>
      </c>
      <c r="C254" t="s">
        <v>128</v>
      </c>
      <c r="D254" t="s">
        <v>531</v>
      </c>
      <c r="E254" t="s">
        <v>90</v>
      </c>
      <c r="F254" t="s">
        <v>96</v>
      </c>
      <c r="G254">
        <v>6</v>
      </c>
      <c r="H254">
        <v>5</v>
      </c>
      <c r="I254">
        <v>5</v>
      </c>
      <c r="J254">
        <v>5</v>
      </c>
      <c r="K254" s="6">
        <v>100</v>
      </c>
      <c r="L254" s="6">
        <v>0</v>
      </c>
      <c r="M254" s="6">
        <v>100</v>
      </c>
      <c r="N254">
        <v>0</v>
      </c>
      <c r="O254" s="6">
        <v>0</v>
      </c>
      <c r="P254">
        <v>0</v>
      </c>
      <c r="Q254" s="8">
        <v>393.88</v>
      </c>
      <c r="R254" s="8">
        <v>393.88</v>
      </c>
      <c r="S254" s="9" t="s">
        <v>133</v>
      </c>
    </row>
    <row r="255" spans="1:19" hidden="1" x14ac:dyDescent="0.25">
      <c r="A255" t="s">
        <v>123</v>
      </c>
      <c r="B255" t="s">
        <v>78</v>
      </c>
      <c r="C255" t="s">
        <v>128</v>
      </c>
      <c r="D255" t="s">
        <v>531</v>
      </c>
      <c r="E255" t="s">
        <v>90</v>
      </c>
      <c r="F255" t="s">
        <v>6</v>
      </c>
      <c r="G255">
        <v>13</v>
      </c>
      <c r="H255">
        <v>5</v>
      </c>
      <c r="I255">
        <v>4</v>
      </c>
      <c r="J255">
        <v>4</v>
      </c>
      <c r="K255" s="6">
        <v>100.59</v>
      </c>
      <c r="L255" s="6">
        <v>0</v>
      </c>
      <c r="M255" s="6">
        <v>93.14</v>
      </c>
      <c r="N255">
        <v>-7.45</v>
      </c>
      <c r="O255" s="6">
        <v>20</v>
      </c>
      <c r="P255">
        <v>0</v>
      </c>
      <c r="Q255" s="8">
        <v>364.7</v>
      </c>
      <c r="R255" s="8">
        <v>366.85</v>
      </c>
      <c r="S255" s="9" t="s">
        <v>548</v>
      </c>
    </row>
    <row r="256" spans="1:19" hidden="1" x14ac:dyDescent="0.25">
      <c r="A256" t="s">
        <v>123</v>
      </c>
      <c r="B256" t="s">
        <v>78</v>
      </c>
      <c r="C256" t="s">
        <v>128</v>
      </c>
      <c r="D256" t="s">
        <v>532</v>
      </c>
      <c r="E256" t="s">
        <v>90</v>
      </c>
      <c r="F256" t="s">
        <v>90</v>
      </c>
      <c r="G256">
        <v>0</v>
      </c>
      <c r="H256">
        <v>5</v>
      </c>
      <c r="I256">
        <v>5</v>
      </c>
      <c r="J256">
        <v>5</v>
      </c>
      <c r="K256" s="6">
        <v>100</v>
      </c>
      <c r="L256" s="6">
        <v>0</v>
      </c>
      <c r="M256" s="6">
        <v>100</v>
      </c>
      <c r="N256">
        <v>0</v>
      </c>
      <c r="O256" s="6">
        <v>0</v>
      </c>
      <c r="P256">
        <v>0</v>
      </c>
      <c r="Q256" s="8">
        <v>309.47000000000003</v>
      </c>
      <c r="R256" s="8">
        <v>309.47000000000003</v>
      </c>
      <c r="S256" s="9" t="s">
        <v>538</v>
      </c>
    </row>
    <row r="257" spans="1:19" hidden="1" x14ac:dyDescent="0.25">
      <c r="A257" t="s">
        <v>123</v>
      </c>
      <c r="B257" t="s">
        <v>78</v>
      </c>
      <c r="C257" t="s">
        <v>128</v>
      </c>
      <c r="D257" t="s">
        <v>532</v>
      </c>
      <c r="E257" t="s">
        <v>90</v>
      </c>
      <c r="F257" t="s">
        <v>91</v>
      </c>
      <c r="G257">
        <v>1</v>
      </c>
      <c r="H257">
        <v>5</v>
      </c>
      <c r="I257">
        <v>5</v>
      </c>
      <c r="J257">
        <v>5</v>
      </c>
      <c r="K257" s="6">
        <v>100</v>
      </c>
      <c r="L257" s="6">
        <v>0</v>
      </c>
      <c r="M257" s="6">
        <v>100</v>
      </c>
      <c r="N257">
        <v>0</v>
      </c>
      <c r="O257" s="6">
        <v>0</v>
      </c>
      <c r="P257">
        <v>0</v>
      </c>
      <c r="Q257" s="8">
        <v>309.47000000000003</v>
      </c>
      <c r="R257" s="8">
        <v>309.47000000000003</v>
      </c>
      <c r="S257" s="9" t="s">
        <v>133</v>
      </c>
    </row>
    <row r="258" spans="1:19" hidden="1" x14ac:dyDescent="0.25">
      <c r="A258" t="s">
        <v>123</v>
      </c>
      <c r="B258" t="s">
        <v>78</v>
      </c>
      <c r="C258" t="s">
        <v>128</v>
      </c>
      <c r="D258" t="s">
        <v>532</v>
      </c>
      <c r="E258" t="s">
        <v>90</v>
      </c>
      <c r="F258" t="s">
        <v>94</v>
      </c>
      <c r="G258">
        <v>2</v>
      </c>
      <c r="H258">
        <v>5</v>
      </c>
      <c r="I258">
        <v>5</v>
      </c>
      <c r="J258">
        <v>5</v>
      </c>
      <c r="K258" s="6">
        <v>100</v>
      </c>
      <c r="L258" s="6">
        <v>0</v>
      </c>
      <c r="M258" s="6">
        <v>100</v>
      </c>
      <c r="N258">
        <v>0</v>
      </c>
      <c r="O258" s="6">
        <v>0</v>
      </c>
      <c r="P258">
        <v>0</v>
      </c>
      <c r="Q258" s="8">
        <v>309.47000000000003</v>
      </c>
      <c r="R258" s="8">
        <v>309.47000000000003</v>
      </c>
      <c r="S258" s="9" t="s">
        <v>133</v>
      </c>
    </row>
    <row r="259" spans="1:19" hidden="1" x14ac:dyDescent="0.25">
      <c r="A259" t="s">
        <v>123</v>
      </c>
      <c r="B259" t="s">
        <v>78</v>
      </c>
      <c r="C259" t="s">
        <v>128</v>
      </c>
      <c r="D259" t="s">
        <v>532</v>
      </c>
      <c r="E259" t="s">
        <v>90</v>
      </c>
      <c r="F259" t="s">
        <v>96</v>
      </c>
      <c r="G259">
        <v>6</v>
      </c>
      <c r="H259">
        <v>5</v>
      </c>
      <c r="I259">
        <v>5</v>
      </c>
      <c r="J259">
        <v>5</v>
      </c>
      <c r="K259" s="6">
        <v>100</v>
      </c>
      <c r="L259" s="6">
        <v>0</v>
      </c>
      <c r="M259" s="6">
        <v>100</v>
      </c>
      <c r="N259">
        <v>0</v>
      </c>
      <c r="O259" s="6">
        <v>0</v>
      </c>
      <c r="P259">
        <v>0</v>
      </c>
      <c r="Q259" s="8">
        <v>309.47000000000003</v>
      </c>
      <c r="R259" s="8">
        <v>309.47000000000003</v>
      </c>
      <c r="S259" s="9" t="s">
        <v>133</v>
      </c>
    </row>
    <row r="260" spans="1:19" hidden="1" x14ac:dyDescent="0.25">
      <c r="A260" t="s">
        <v>123</v>
      </c>
      <c r="B260" t="s">
        <v>78</v>
      </c>
      <c r="C260" t="s">
        <v>128</v>
      </c>
      <c r="D260" t="s">
        <v>532</v>
      </c>
      <c r="E260" t="s">
        <v>90</v>
      </c>
      <c r="F260" t="s">
        <v>6</v>
      </c>
      <c r="G260">
        <v>13</v>
      </c>
      <c r="H260">
        <v>5</v>
      </c>
      <c r="I260">
        <v>5</v>
      </c>
      <c r="J260">
        <v>5</v>
      </c>
      <c r="K260" s="6">
        <v>100.65</v>
      </c>
      <c r="L260" s="6">
        <v>0</v>
      </c>
      <c r="M260" s="6">
        <v>100.65</v>
      </c>
      <c r="N260">
        <v>0</v>
      </c>
      <c r="O260" s="6">
        <v>0</v>
      </c>
      <c r="P260">
        <v>0</v>
      </c>
      <c r="Q260" s="8">
        <v>309.47000000000003</v>
      </c>
      <c r="R260" s="8">
        <v>311.47000000000003</v>
      </c>
      <c r="S260" s="9" t="s">
        <v>133</v>
      </c>
    </row>
    <row r="261" spans="1:19" hidden="1" x14ac:dyDescent="0.25">
      <c r="A261" t="s">
        <v>123</v>
      </c>
      <c r="B261" t="s">
        <v>78</v>
      </c>
      <c r="C261" t="s">
        <v>128</v>
      </c>
      <c r="D261" t="s">
        <v>533</v>
      </c>
      <c r="E261" t="s">
        <v>94</v>
      </c>
      <c r="F261" t="s">
        <v>94</v>
      </c>
      <c r="G261">
        <v>0</v>
      </c>
      <c r="H261">
        <v>7</v>
      </c>
      <c r="I261">
        <v>7</v>
      </c>
      <c r="J261">
        <v>7</v>
      </c>
      <c r="K261" s="6">
        <v>100</v>
      </c>
      <c r="L261" s="6">
        <v>0</v>
      </c>
      <c r="M261" s="6">
        <v>100</v>
      </c>
      <c r="N261">
        <v>0</v>
      </c>
      <c r="O261" s="6">
        <v>0</v>
      </c>
      <c r="P261">
        <v>0</v>
      </c>
      <c r="Q261" s="8">
        <v>342.33</v>
      </c>
      <c r="R261" s="8">
        <v>342.33</v>
      </c>
      <c r="S261" s="9" t="s">
        <v>549</v>
      </c>
    </row>
    <row r="262" spans="1:19" hidden="1" x14ac:dyDescent="0.25">
      <c r="A262" t="s">
        <v>123</v>
      </c>
      <c r="B262" t="s">
        <v>78</v>
      </c>
      <c r="C262" t="s">
        <v>128</v>
      </c>
      <c r="D262" t="s">
        <v>533</v>
      </c>
      <c r="E262" t="s">
        <v>94</v>
      </c>
      <c r="F262" t="s">
        <v>96</v>
      </c>
      <c r="G262">
        <v>4</v>
      </c>
      <c r="H262">
        <v>7</v>
      </c>
      <c r="I262">
        <v>7</v>
      </c>
      <c r="J262">
        <v>7</v>
      </c>
      <c r="K262" s="6">
        <v>100</v>
      </c>
      <c r="L262" s="6">
        <v>0</v>
      </c>
      <c r="M262" s="6">
        <v>100</v>
      </c>
      <c r="N262">
        <v>0</v>
      </c>
      <c r="O262" s="6">
        <v>0</v>
      </c>
      <c r="P262">
        <v>0</v>
      </c>
      <c r="Q262" s="8">
        <v>342.33</v>
      </c>
      <c r="R262" s="8">
        <v>342.33</v>
      </c>
      <c r="S262" s="9" t="s">
        <v>550</v>
      </c>
    </row>
    <row r="263" spans="1:19" hidden="1" x14ac:dyDescent="0.25">
      <c r="A263" t="s">
        <v>123</v>
      </c>
      <c r="B263" t="s">
        <v>78</v>
      </c>
      <c r="C263" t="s">
        <v>128</v>
      </c>
      <c r="D263" t="s">
        <v>533</v>
      </c>
      <c r="E263" t="s">
        <v>94</v>
      </c>
      <c r="F263" t="s">
        <v>6</v>
      </c>
      <c r="G263">
        <v>11</v>
      </c>
      <c r="H263">
        <v>7</v>
      </c>
      <c r="I263">
        <v>7</v>
      </c>
      <c r="J263">
        <v>7</v>
      </c>
      <c r="K263" s="6">
        <v>99.9</v>
      </c>
      <c r="L263" s="6">
        <v>0</v>
      </c>
      <c r="M263" s="6">
        <v>99.9</v>
      </c>
      <c r="N263">
        <v>0</v>
      </c>
      <c r="O263" s="6">
        <v>0</v>
      </c>
      <c r="P263">
        <v>0</v>
      </c>
      <c r="Q263" s="8">
        <v>342.33</v>
      </c>
      <c r="R263" s="8">
        <v>341.97</v>
      </c>
      <c r="S263" s="9" t="s">
        <v>550</v>
      </c>
    </row>
    <row r="264" spans="1:19" hidden="1" x14ac:dyDescent="0.25">
      <c r="A264" t="s">
        <v>123</v>
      </c>
      <c r="B264" t="s">
        <v>78</v>
      </c>
      <c r="C264" t="s">
        <v>128</v>
      </c>
      <c r="D264" t="s">
        <v>545</v>
      </c>
      <c r="E264" t="s">
        <v>94</v>
      </c>
      <c r="F264" t="s">
        <v>94</v>
      </c>
      <c r="G264">
        <v>0</v>
      </c>
      <c r="H264">
        <v>8</v>
      </c>
      <c r="I264">
        <v>8</v>
      </c>
      <c r="J264">
        <v>8</v>
      </c>
      <c r="K264" s="6">
        <v>100</v>
      </c>
      <c r="L264" s="6">
        <v>0</v>
      </c>
      <c r="M264" s="6">
        <v>100</v>
      </c>
      <c r="N264">
        <v>0</v>
      </c>
      <c r="O264" s="6">
        <v>0</v>
      </c>
      <c r="P264">
        <v>0</v>
      </c>
      <c r="Q264" s="8">
        <v>355.03</v>
      </c>
      <c r="R264" s="8">
        <v>355.03</v>
      </c>
      <c r="S264" s="9" t="s">
        <v>543</v>
      </c>
    </row>
    <row r="265" spans="1:19" hidden="1" x14ac:dyDescent="0.25">
      <c r="A265" t="s">
        <v>123</v>
      </c>
      <c r="B265" t="s">
        <v>78</v>
      </c>
      <c r="C265" t="s">
        <v>128</v>
      </c>
      <c r="D265" t="s">
        <v>545</v>
      </c>
      <c r="E265" t="s">
        <v>94</v>
      </c>
      <c r="F265" t="s">
        <v>96</v>
      </c>
      <c r="G265">
        <v>4</v>
      </c>
      <c r="H265">
        <v>8</v>
      </c>
      <c r="I265">
        <v>8</v>
      </c>
      <c r="J265">
        <v>8</v>
      </c>
      <c r="K265" s="6">
        <v>100</v>
      </c>
      <c r="L265" s="6">
        <v>0</v>
      </c>
      <c r="M265" s="6">
        <v>100</v>
      </c>
      <c r="N265">
        <v>0</v>
      </c>
      <c r="O265" s="6">
        <v>0</v>
      </c>
      <c r="P265">
        <v>0</v>
      </c>
      <c r="Q265" s="8">
        <v>355.03</v>
      </c>
      <c r="R265" s="8">
        <v>355.03</v>
      </c>
      <c r="S265" s="9" t="s">
        <v>544</v>
      </c>
    </row>
    <row r="266" spans="1:19" hidden="1" x14ac:dyDescent="0.25">
      <c r="A266" t="s">
        <v>123</v>
      </c>
      <c r="B266" t="s">
        <v>78</v>
      </c>
      <c r="C266" t="s">
        <v>128</v>
      </c>
      <c r="D266" t="s">
        <v>545</v>
      </c>
      <c r="E266" t="s">
        <v>94</v>
      </c>
      <c r="F266" t="s">
        <v>6</v>
      </c>
      <c r="G266">
        <v>11</v>
      </c>
      <c r="H266">
        <v>8</v>
      </c>
      <c r="I266">
        <v>8</v>
      </c>
      <c r="J266">
        <v>8</v>
      </c>
      <c r="K266" s="6">
        <v>100</v>
      </c>
      <c r="L266" s="6">
        <v>0</v>
      </c>
      <c r="M266" s="6">
        <v>100</v>
      </c>
      <c r="N266">
        <v>0</v>
      </c>
      <c r="O266" s="6">
        <v>0</v>
      </c>
      <c r="P266">
        <v>0</v>
      </c>
      <c r="Q266" s="8">
        <v>355.03</v>
      </c>
      <c r="R266" s="8">
        <v>355.03</v>
      </c>
      <c r="S266" s="9" t="s">
        <v>544</v>
      </c>
    </row>
    <row r="267" spans="1:19" hidden="1" x14ac:dyDescent="0.25">
      <c r="A267" t="s">
        <v>123</v>
      </c>
      <c r="B267" t="s">
        <v>75</v>
      </c>
      <c r="C267" t="s">
        <v>124</v>
      </c>
      <c r="D267" t="s">
        <v>539</v>
      </c>
      <c r="E267" t="s">
        <v>91</v>
      </c>
      <c r="F267" t="s">
        <v>91</v>
      </c>
      <c r="G267">
        <v>0</v>
      </c>
      <c r="H267">
        <v>75</v>
      </c>
      <c r="I267">
        <v>75</v>
      </c>
      <c r="J267">
        <v>75</v>
      </c>
      <c r="K267" s="6">
        <v>100</v>
      </c>
      <c r="L267" s="6">
        <v>0</v>
      </c>
      <c r="M267" s="6">
        <v>100</v>
      </c>
      <c r="N267">
        <v>0</v>
      </c>
      <c r="O267" s="6">
        <v>0</v>
      </c>
      <c r="P267">
        <v>0</v>
      </c>
      <c r="Q267" s="8">
        <v>154.66</v>
      </c>
      <c r="R267" s="8">
        <v>154.66</v>
      </c>
      <c r="S267" s="9" t="s">
        <v>551</v>
      </c>
    </row>
    <row r="268" spans="1:19" hidden="1" x14ac:dyDescent="0.25">
      <c r="A268" t="s">
        <v>123</v>
      </c>
      <c r="B268" t="s">
        <v>75</v>
      </c>
      <c r="C268" t="s">
        <v>124</v>
      </c>
      <c r="D268" t="s">
        <v>539</v>
      </c>
      <c r="E268" t="s">
        <v>91</v>
      </c>
      <c r="F268" t="s">
        <v>94</v>
      </c>
      <c r="G268">
        <v>1</v>
      </c>
      <c r="H268">
        <v>75</v>
      </c>
      <c r="I268">
        <v>75</v>
      </c>
      <c r="J268">
        <v>68</v>
      </c>
      <c r="K268" s="6">
        <v>101.18</v>
      </c>
      <c r="L268" s="6">
        <v>0</v>
      </c>
      <c r="M268" s="6">
        <v>103.37</v>
      </c>
      <c r="N268">
        <v>2.19</v>
      </c>
      <c r="O268" s="6">
        <v>9.3000000000000007</v>
      </c>
      <c r="P268">
        <v>7</v>
      </c>
      <c r="Q268" s="8">
        <v>154.18</v>
      </c>
      <c r="R268" s="8">
        <v>155.99</v>
      </c>
      <c r="S268" t="s">
        <v>32</v>
      </c>
    </row>
    <row r="269" spans="1:19" hidden="1" x14ac:dyDescent="0.25">
      <c r="A269" t="s">
        <v>123</v>
      </c>
      <c r="B269" t="s">
        <v>75</v>
      </c>
      <c r="C269" t="s">
        <v>124</v>
      </c>
      <c r="D269" t="s">
        <v>539</v>
      </c>
      <c r="E269" t="s">
        <v>91</v>
      </c>
      <c r="F269" t="s">
        <v>96</v>
      </c>
      <c r="G269">
        <v>5</v>
      </c>
      <c r="H269">
        <v>75</v>
      </c>
      <c r="I269">
        <v>63</v>
      </c>
      <c r="J269">
        <v>58</v>
      </c>
      <c r="K269" s="6">
        <v>102.88</v>
      </c>
      <c r="L269" s="6">
        <v>0</v>
      </c>
      <c r="M269" s="6">
        <v>100.37</v>
      </c>
      <c r="N269">
        <v>-2.5099999999999998</v>
      </c>
      <c r="O269" s="6">
        <v>22.7</v>
      </c>
      <c r="P269">
        <v>5</v>
      </c>
      <c r="Q269" s="8">
        <v>149.44</v>
      </c>
      <c r="R269" s="8">
        <v>153.72999999999999</v>
      </c>
      <c r="S269" t="s">
        <v>32</v>
      </c>
    </row>
    <row r="270" spans="1:19" x14ac:dyDescent="0.25">
      <c r="A270" t="s">
        <v>123</v>
      </c>
      <c r="B270" t="s">
        <v>75</v>
      </c>
      <c r="C270" t="s">
        <v>124</v>
      </c>
      <c r="D270" t="s">
        <v>539</v>
      </c>
      <c r="E270" t="s">
        <v>91</v>
      </c>
      <c r="F270" t="s">
        <v>6</v>
      </c>
      <c r="G270">
        <v>12</v>
      </c>
      <c r="H270">
        <v>75</v>
      </c>
      <c r="I270">
        <v>45</v>
      </c>
      <c r="J270">
        <v>42</v>
      </c>
      <c r="K270" s="6">
        <v>104.51</v>
      </c>
      <c r="L270" s="6">
        <v>2.63</v>
      </c>
      <c r="M270" s="6">
        <v>99.45</v>
      </c>
      <c r="N270">
        <v>-5.0599999999999996</v>
      </c>
      <c r="O270" s="6">
        <v>44</v>
      </c>
      <c r="P270">
        <v>3</v>
      </c>
      <c r="Q270" s="8">
        <v>147.63</v>
      </c>
      <c r="R270" s="8">
        <v>154.28</v>
      </c>
      <c r="S270" t="s">
        <v>32</v>
      </c>
    </row>
    <row r="271" spans="1:19" hidden="1" x14ac:dyDescent="0.25">
      <c r="A271" t="s">
        <v>123</v>
      </c>
      <c r="B271" t="s">
        <v>75</v>
      </c>
      <c r="C271" t="s">
        <v>124</v>
      </c>
      <c r="D271" t="s">
        <v>552</v>
      </c>
      <c r="E271" t="s">
        <v>91</v>
      </c>
      <c r="F271" t="s">
        <v>91</v>
      </c>
      <c r="G271">
        <v>0</v>
      </c>
      <c r="H271">
        <v>105</v>
      </c>
      <c r="I271">
        <v>105</v>
      </c>
      <c r="J271">
        <v>105</v>
      </c>
      <c r="K271" s="6">
        <v>100</v>
      </c>
      <c r="L271" s="6">
        <v>0</v>
      </c>
      <c r="M271" s="6">
        <v>100</v>
      </c>
      <c r="N271">
        <v>0</v>
      </c>
      <c r="O271" s="6">
        <v>0</v>
      </c>
      <c r="P271">
        <v>0</v>
      </c>
      <c r="Q271" s="8">
        <v>153.63</v>
      </c>
      <c r="R271" s="8">
        <v>153.63</v>
      </c>
      <c r="S271" s="9" t="s">
        <v>553</v>
      </c>
    </row>
    <row r="272" spans="1:19" hidden="1" x14ac:dyDescent="0.25">
      <c r="A272" t="s">
        <v>123</v>
      </c>
      <c r="B272" t="s">
        <v>75</v>
      </c>
      <c r="C272" t="s">
        <v>124</v>
      </c>
      <c r="D272" t="s">
        <v>552</v>
      </c>
      <c r="E272" t="s">
        <v>91</v>
      </c>
      <c r="F272" t="s">
        <v>94</v>
      </c>
      <c r="G272">
        <v>1</v>
      </c>
      <c r="H272">
        <v>105</v>
      </c>
      <c r="I272">
        <v>108</v>
      </c>
      <c r="J272">
        <v>105</v>
      </c>
      <c r="K272" s="6">
        <v>99.87</v>
      </c>
      <c r="L272" s="6">
        <v>0</v>
      </c>
      <c r="M272" s="6">
        <v>100.11</v>
      </c>
      <c r="N272">
        <v>0.24</v>
      </c>
      <c r="O272" s="6">
        <v>0</v>
      </c>
      <c r="P272">
        <v>3</v>
      </c>
      <c r="Q272" s="8">
        <v>153.63</v>
      </c>
      <c r="R272" s="8">
        <v>153.43</v>
      </c>
      <c r="S272" t="s">
        <v>32</v>
      </c>
    </row>
    <row r="273" spans="1:19" hidden="1" x14ac:dyDescent="0.25">
      <c r="A273" t="s">
        <v>123</v>
      </c>
      <c r="B273" t="s">
        <v>75</v>
      </c>
      <c r="C273" t="s">
        <v>124</v>
      </c>
      <c r="D273" t="s">
        <v>552</v>
      </c>
      <c r="E273" t="s">
        <v>91</v>
      </c>
      <c r="F273" t="s">
        <v>96</v>
      </c>
      <c r="G273">
        <v>5</v>
      </c>
      <c r="H273">
        <v>105</v>
      </c>
      <c r="I273">
        <v>106</v>
      </c>
      <c r="J273">
        <v>103</v>
      </c>
      <c r="K273" s="6">
        <v>99.93</v>
      </c>
      <c r="L273" s="6">
        <v>0</v>
      </c>
      <c r="M273" s="6">
        <v>99.99</v>
      </c>
      <c r="N273">
        <v>0.06</v>
      </c>
      <c r="O273" s="6">
        <v>1.9</v>
      </c>
      <c r="P273">
        <v>3</v>
      </c>
      <c r="Q273" s="8">
        <v>153.72999999999999</v>
      </c>
      <c r="R273" s="8">
        <v>153.62</v>
      </c>
      <c r="S273" t="s">
        <v>32</v>
      </c>
    </row>
    <row r="274" spans="1:19" x14ac:dyDescent="0.25">
      <c r="A274" t="s">
        <v>123</v>
      </c>
      <c r="B274" t="s">
        <v>75</v>
      </c>
      <c r="C274" t="s">
        <v>124</v>
      </c>
      <c r="D274" t="s">
        <v>552</v>
      </c>
      <c r="E274" t="s">
        <v>91</v>
      </c>
      <c r="F274" t="s">
        <v>6</v>
      </c>
      <c r="G274">
        <v>12</v>
      </c>
      <c r="H274">
        <v>105</v>
      </c>
      <c r="I274">
        <v>101</v>
      </c>
      <c r="J274">
        <v>99</v>
      </c>
      <c r="K274" s="6">
        <v>99.64</v>
      </c>
      <c r="L274" s="6">
        <v>-1.32</v>
      </c>
      <c r="M274" s="6">
        <v>99.62</v>
      </c>
      <c r="N274">
        <v>-0.02</v>
      </c>
      <c r="O274" s="6">
        <v>5.7</v>
      </c>
      <c r="P274">
        <v>2</v>
      </c>
      <c r="Q274" s="8">
        <v>152.85</v>
      </c>
      <c r="R274" s="8">
        <v>152.31</v>
      </c>
      <c r="S274" t="s">
        <v>32</v>
      </c>
    </row>
    <row r="275" spans="1:19" hidden="1" x14ac:dyDescent="0.25">
      <c r="A275" t="s">
        <v>123</v>
      </c>
      <c r="B275" t="s">
        <v>75</v>
      </c>
      <c r="C275" t="s">
        <v>124</v>
      </c>
      <c r="D275" t="s">
        <v>554</v>
      </c>
      <c r="E275" t="s">
        <v>91</v>
      </c>
      <c r="F275" t="s">
        <v>91</v>
      </c>
      <c r="G275">
        <v>0</v>
      </c>
      <c r="H275">
        <v>105</v>
      </c>
      <c r="I275">
        <v>105</v>
      </c>
      <c r="J275">
        <v>105</v>
      </c>
      <c r="K275" s="6">
        <v>100</v>
      </c>
      <c r="L275" s="6">
        <v>0</v>
      </c>
      <c r="M275" s="6">
        <v>100</v>
      </c>
      <c r="N275">
        <v>0</v>
      </c>
      <c r="O275" s="6">
        <v>0</v>
      </c>
      <c r="P275">
        <v>0</v>
      </c>
      <c r="Q275" s="8">
        <v>187.07</v>
      </c>
      <c r="R275" s="8">
        <v>187.07</v>
      </c>
      <c r="S275" s="9" t="s">
        <v>553</v>
      </c>
    </row>
    <row r="276" spans="1:19" hidden="1" x14ac:dyDescent="0.25">
      <c r="A276" t="s">
        <v>123</v>
      </c>
      <c r="B276" t="s">
        <v>75</v>
      </c>
      <c r="C276" t="s">
        <v>124</v>
      </c>
      <c r="D276" t="s">
        <v>554</v>
      </c>
      <c r="E276" t="s">
        <v>91</v>
      </c>
      <c r="F276" t="s">
        <v>94</v>
      </c>
      <c r="G276">
        <v>1</v>
      </c>
      <c r="H276">
        <v>105</v>
      </c>
      <c r="I276">
        <v>106</v>
      </c>
      <c r="J276">
        <v>105</v>
      </c>
      <c r="K276" s="6">
        <v>100.32</v>
      </c>
      <c r="L276" s="6">
        <v>0</v>
      </c>
      <c r="M276" s="6">
        <v>100.06</v>
      </c>
      <c r="N276">
        <v>-0.26</v>
      </c>
      <c r="O276" s="6">
        <v>0</v>
      </c>
      <c r="P276">
        <v>1</v>
      </c>
      <c r="Q276" s="8">
        <v>187.07</v>
      </c>
      <c r="R276" s="8">
        <v>187.68</v>
      </c>
      <c r="S276" t="s">
        <v>32</v>
      </c>
    </row>
    <row r="277" spans="1:19" hidden="1" x14ac:dyDescent="0.25">
      <c r="A277" t="s">
        <v>123</v>
      </c>
      <c r="B277" t="s">
        <v>75</v>
      </c>
      <c r="C277" t="s">
        <v>124</v>
      </c>
      <c r="D277" t="s">
        <v>554</v>
      </c>
      <c r="E277" t="s">
        <v>91</v>
      </c>
      <c r="F277" t="s">
        <v>96</v>
      </c>
      <c r="G277">
        <v>5</v>
      </c>
      <c r="H277">
        <v>105</v>
      </c>
      <c r="I277">
        <v>107</v>
      </c>
      <c r="J277">
        <v>104</v>
      </c>
      <c r="K277" s="6">
        <v>100.08</v>
      </c>
      <c r="L277" s="6">
        <v>0</v>
      </c>
      <c r="M277" s="6">
        <v>100.21</v>
      </c>
      <c r="N277">
        <v>0.13</v>
      </c>
      <c r="O277" s="6">
        <v>1</v>
      </c>
      <c r="P277">
        <v>3</v>
      </c>
      <c r="Q277" s="8">
        <v>186.62</v>
      </c>
      <c r="R277" s="8">
        <v>186.77</v>
      </c>
      <c r="S277" t="s">
        <v>32</v>
      </c>
    </row>
    <row r="278" spans="1:19" x14ac:dyDescent="0.25">
      <c r="A278" t="s">
        <v>123</v>
      </c>
      <c r="B278" t="s">
        <v>75</v>
      </c>
      <c r="C278" t="s">
        <v>124</v>
      </c>
      <c r="D278" t="s">
        <v>554</v>
      </c>
      <c r="E278" t="s">
        <v>91</v>
      </c>
      <c r="F278" t="s">
        <v>6</v>
      </c>
      <c r="G278">
        <v>12</v>
      </c>
      <c r="H278">
        <v>105</v>
      </c>
      <c r="I278">
        <v>107</v>
      </c>
      <c r="J278">
        <v>104</v>
      </c>
      <c r="K278" s="6">
        <v>100.1</v>
      </c>
      <c r="L278" s="6">
        <v>-0.63</v>
      </c>
      <c r="M278" s="6">
        <v>100.35</v>
      </c>
      <c r="N278">
        <v>0.25</v>
      </c>
      <c r="O278" s="6">
        <v>1</v>
      </c>
      <c r="P278">
        <v>3</v>
      </c>
      <c r="Q278" s="8">
        <v>186.95</v>
      </c>
      <c r="R278" s="8">
        <v>187.13</v>
      </c>
      <c r="S278" t="s">
        <v>32</v>
      </c>
    </row>
    <row r="279" spans="1:19" hidden="1" x14ac:dyDescent="0.25">
      <c r="A279" t="s">
        <v>123</v>
      </c>
      <c r="B279" t="s">
        <v>75</v>
      </c>
      <c r="C279" t="s">
        <v>124</v>
      </c>
      <c r="D279" t="s">
        <v>555</v>
      </c>
      <c r="E279" t="s">
        <v>90</v>
      </c>
      <c r="F279" t="s">
        <v>90</v>
      </c>
      <c r="G279">
        <v>0</v>
      </c>
      <c r="H279">
        <v>28</v>
      </c>
      <c r="I279">
        <v>28</v>
      </c>
      <c r="J279">
        <v>28</v>
      </c>
      <c r="K279" s="6">
        <v>100</v>
      </c>
      <c r="L279" s="6">
        <v>0</v>
      </c>
      <c r="M279" s="6">
        <v>100</v>
      </c>
      <c r="N279">
        <v>0</v>
      </c>
      <c r="O279" s="6">
        <v>0</v>
      </c>
      <c r="P279">
        <v>0</v>
      </c>
      <c r="Q279" s="8">
        <v>138.75</v>
      </c>
      <c r="R279" s="8">
        <v>138.75</v>
      </c>
      <c r="S279" s="9" t="s">
        <v>556</v>
      </c>
    </row>
    <row r="280" spans="1:19" hidden="1" x14ac:dyDescent="0.25">
      <c r="A280" t="s">
        <v>123</v>
      </c>
      <c r="B280" t="s">
        <v>75</v>
      </c>
      <c r="C280" t="s">
        <v>124</v>
      </c>
      <c r="D280" t="s">
        <v>555</v>
      </c>
      <c r="E280" t="s">
        <v>90</v>
      </c>
      <c r="F280" t="s">
        <v>91</v>
      </c>
      <c r="G280">
        <v>1</v>
      </c>
      <c r="H280">
        <v>28</v>
      </c>
      <c r="I280">
        <v>95</v>
      </c>
      <c r="J280">
        <v>28</v>
      </c>
      <c r="K280" s="6">
        <v>99.95</v>
      </c>
      <c r="L280" s="6">
        <v>0</v>
      </c>
      <c r="M280" s="6">
        <v>94.53</v>
      </c>
      <c r="N280">
        <v>-5.42</v>
      </c>
      <c r="O280" s="6">
        <v>0</v>
      </c>
      <c r="P280">
        <v>67</v>
      </c>
      <c r="Q280" s="8">
        <v>138.75</v>
      </c>
      <c r="R280" s="8">
        <v>138.68</v>
      </c>
      <c r="S280" s="10" t="s">
        <v>483</v>
      </c>
    </row>
    <row r="281" spans="1:19" hidden="1" x14ac:dyDescent="0.25">
      <c r="A281" t="s">
        <v>123</v>
      </c>
      <c r="B281" t="s">
        <v>75</v>
      </c>
      <c r="C281" t="s">
        <v>124</v>
      </c>
      <c r="D281" t="s">
        <v>555</v>
      </c>
      <c r="E281" t="s">
        <v>90</v>
      </c>
      <c r="F281" t="s">
        <v>94</v>
      </c>
      <c r="G281">
        <v>2</v>
      </c>
      <c r="H281">
        <v>28</v>
      </c>
      <c r="I281">
        <v>96</v>
      </c>
      <c r="J281">
        <v>28</v>
      </c>
      <c r="K281" s="6">
        <v>100.1</v>
      </c>
      <c r="L281" s="6">
        <v>0</v>
      </c>
      <c r="M281" s="6">
        <v>95.39</v>
      </c>
      <c r="N281">
        <v>-4.71</v>
      </c>
      <c r="O281" s="6">
        <v>0</v>
      </c>
      <c r="P281">
        <v>68</v>
      </c>
      <c r="Q281" s="8">
        <v>138.75</v>
      </c>
      <c r="R281" s="8">
        <v>138.9</v>
      </c>
      <c r="S281" s="10" t="s">
        <v>483</v>
      </c>
    </row>
    <row r="282" spans="1:19" hidden="1" x14ac:dyDescent="0.25">
      <c r="A282" t="s">
        <v>123</v>
      </c>
      <c r="B282" t="s">
        <v>75</v>
      </c>
      <c r="C282" t="s">
        <v>124</v>
      </c>
      <c r="D282" t="s">
        <v>555</v>
      </c>
      <c r="E282" t="s">
        <v>90</v>
      </c>
      <c r="F282" t="s">
        <v>96</v>
      </c>
      <c r="G282">
        <v>6</v>
      </c>
      <c r="H282">
        <v>28</v>
      </c>
      <c r="I282">
        <v>96</v>
      </c>
      <c r="J282">
        <v>28</v>
      </c>
      <c r="K282" s="6">
        <v>100.28</v>
      </c>
      <c r="L282" s="6">
        <v>0</v>
      </c>
      <c r="M282" s="6">
        <v>95.29</v>
      </c>
      <c r="N282">
        <v>-4.99</v>
      </c>
      <c r="O282" s="6">
        <v>0</v>
      </c>
      <c r="P282">
        <v>68</v>
      </c>
      <c r="Q282" s="8">
        <v>138.75</v>
      </c>
      <c r="R282" s="8">
        <v>139.13999999999999</v>
      </c>
      <c r="S282" s="10" t="s">
        <v>483</v>
      </c>
    </row>
    <row r="283" spans="1:19" x14ac:dyDescent="0.25">
      <c r="A283" t="s">
        <v>123</v>
      </c>
      <c r="B283" t="s">
        <v>75</v>
      </c>
      <c r="C283" t="s">
        <v>124</v>
      </c>
      <c r="D283" t="s">
        <v>555</v>
      </c>
      <c r="E283" t="s">
        <v>90</v>
      </c>
      <c r="F283" t="s">
        <v>6</v>
      </c>
      <c r="G283">
        <v>13</v>
      </c>
      <c r="H283">
        <v>28</v>
      </c>
      <c r="I283">
        <v>95</v>
      </c>
      <c r="J283">
        <v>28</v>
      </c>
      <c r="K283" s="6">
        <v>101.6</v>
      </c>
      <c r="L283" s="6">
        <v>0.56000000000000005</v>
      </c>
      <c r="M283" s="6">
        <v>96.05</v>
      </c>
      <c r="N283">
        <v>-5.55</v>
      </c>
      <c r="O283" s="6">
        <v>0</v>
      </c>
      <c r="P283">
        <v>67</v>
      </c>
      <c r="Q283" s="8">
        <v>138.75</v>
      </c>
      <c r="R283" s="8">
        <v>140.97999999999999</v>
      </c>
      <c r="S283" s="10" t="s">
        <v>483</v>
      </c>
    </row>
    <row r="284" spans="1:19" hidden="1" x14ac:dyDescent="0.25">
      <c r="A284" t="s">
        <v>123</v>
      </c>
      <c r="B284" t="s">
        <v>75</v>
      </c>
      <c r="C284" t="s">
        <v>124</v>
      </c>
      <c r="D284" t="s">
        <v>557</v>
      </c>
      <c r="E284" t="s">
        <v>90</v>
      </c>
      <c r="F284" t="s">
        <v>90</v>
      </c>
      <c r="G284">
        <v>0</v>
      </c>
      <c r="H284">
        <v>27</v>
      </c>
      <c r="I284">
        <v>27</v>
      </c>
      <c r="J284">
        <v>27</v>
      </c>
      <c r="K284" s="6">
        <v>100</v>
      </c>
      <c r="L284" s="6">
        <v>0</v>
      </c>
      <c r="M284" s="6">
        <v>100</v>
      </c>
      <c r="N284">
        <v>0</v>
      </c>
      <c r="O284" s="6">
        <v>0</v>
      </c>
      <c r="P284">
        <v>0</v>
      </c>
      <c r="Q284" s="8">
        <v>145.41999999999999</v>
      </c>
      <c r="R284" s="8">
        <v>145.41999999999999</v>
      </c>
      <c r="S284" s="9" t="s">
        <v>558</v>
      </c>
    </row>
    <row r="285" spans="1:19" hidden="1" x14ac:dyDescent="0.25">
      <c r="A285" t="s">
        <v>123</v>
      </c>
      <c r="B285" t="s">
        <v>75</v>
      </c>
      <c r="C285" t="s">
        <v>124</v>
      </c>
      <c r="D285" t="s">
        <v>557</v>
      </c>
      <c r="E285" t="s">
        <v>90</v>
      </c>
      <c r="F285" t="s">
        <v>91</v>
      </c>
      <c r="G285">
        <v>1</v>
      </c>
      <c r="H285">
        <v>27</v>
      </c>
      <c r="I285">
        <v>98</v>
      </c>
      <c r="J285">
        <v>27</v>
      </c>
      <c r="K285" s="6">
        <v>100.13</v>
      </c>
      <c r="L285" s="6">
        <v>0</v>
      </c>
      <c r="M285" s="6">
        <v>99.85</v>
      </c>
      <c r="N285">
        <v>-0.28000000000000003</v>
      </c>
      <c r="O285" s="6">
        <v>0</v>
      </c>
      <c r="P285">
        <v>71</v>
      </c>
      <c r="Q285" s="8">
        <v>145.41999999999999</v>
      </c>
      <c r="R285" s="8">
        <v>145.6</v>
      </c>
      <c r="S285" s="10" t="s">
        <v>559</v>
      </c>
    </row>
    <row r="286" spans="1:19" hidden="1" x14ac:dyDescent="0.25">
      <c r="A286" t="s">
        <v>123</v>
      </c>
      <c r="B286" t="s">
        <v>75</v>
      </c>
      <c r="C286" t="s">
        <v>124</v>
      </c>
      <c r="D286" t="s">
        <v>557</v>
      </c>
      <c r="E286" t="s">
        <v>90</v>
      </c>
      <c r="F286" t="s">
        <v>94</v>
      </c>
      <c r="G286">
        <v>2</v>
      </c>
      <c r="H286">
        <v>27</v>
      </c>
      <c r="I286">
        <v>99</v>
      </c>
      <c r="J286">
        <v>27</v>
      </c>
      <c r="K286" s="6">
        <v>100.18</v>
      </c>
      <c r="L286" s="6">
        <v>0</v>
      </c>
      <c r="M286" s="6">
        <v>100.5</v>
      </c>
      <c r="N286">
        <v>0.32</v>
      </c>
      <c r="O286" s="6">
        <v>0</v>
      </c>
      <c r="P286">
        <v>72</v>
      </c>
      <c r="Q286" s="8">
        <v>145.41999999999999</v>
      </c>
      <c r="R286" s="8">
        <v>145.68</v>
      </c>
      <c r="S286" s="10" t="s">
        <v>559</v>
      </c>
    </row>
    <row r="287" spans="1:19" hidden="1" x14ac:dyDescent="0.25">
      <c r="A287" t="s">
        <v>123</v>
      </c>
      <c r="B287" t="s">
        <v>75</v>
      </c>
      <c r="C287" t="s">
        <v>124</v>
      </c>
      <c r="D287" t="s">
        <v>557</v>
      </c>
      <c r="E287" t="s">
        <v>90</v>
      </c>
      <c r="F287" t="s">
        <v>96</v>
      </c>
      <c r="G287">
        <v>6</v>
      </c>
      <c r="H287">
        <v>27</v>
      </c>
      <c r="I287">
        <v>99</v>
      </c>
      <c r="J287">
        <v>27</v>
      </c>
      <c r="K287" s="6">
        <v>100.59</v>
      </c>
      <c r="L287" s="6">
        <v>0</v>
      </c>
      <c r="M287" s="6">
        <v>100.97</v>
      </c>
      <c r="N287">
        <v>0.38</v>
      </c>
      <c r="O287" s="6">
        <v>0</v>
      </c>
      <c r="P287">
        <v>72</v>
      </c>
      <c r="Q287" s="8">
        <v>145.41999999999999</v>
      </c>
      <c r="R287" s="8">
        <v>146.27000000000001</v>
      </c>
      <c r="S287" s="10" t="s">
        <v>559</v>
      </c>
    </row>
    <row r="288" spans="1:19" x14ac:dyDescent="0.25">
      <c r="A288" t="s">
        <v>123</v>
      </c>
      <c r="B288" t="s">
        <v>75</v>
      </c>
      <c r="C288" t="s">
        <v>124</v>
      </c>
      <c r="D288" t="s">
        <v>557</v>
      </c>
      <c r="E288" t="s">
        <v>90</v>
      </c>
      <c r="F288" t="s">
        <v>6</v>
      </c>
      <c r="G288">
        <v>13</v>
      </c>
      <c r="H288">
        <v>27</v>
      </c>
      <c r="I288">
        <v>98</v>
      </c>
      <c r="J288">
        <v>27</v>
      </c>
      <c r="K288" s="6">
        <v>100.19</v>
      </c>
      <c r="L288" s="6">
        <v>0</v>
      </c>
      <c r="M288" s="6">
        <v>101.12</v>
      </c>
      <c r="N288">
        <v>0.93</v>
      </c>
      <c r="O288" s="6">
        <v>0</v>
      </c>
      <c r="P288">
        <v>71</v>
      </c>
      <c r="Q288" s="8">
        <v>145.41999999999999</v>
      </c>
      <c r="R288" s="8">
        <v>145.69</v>
      </c>
      <c r="S288" s="10" t="s">
        <v>559</v>
      </c>
    </row>
    <row r="289" spans="1:19" hidden="1" x14ac:dyDescent="0.25">
      <c r="A289" t="s">
        <v>123</v>
      </c>
      <c r="B289" t="s">
        <v>75</v>
      </c>
      <c r="C289" t="s">
        <v>124</v>
      </c>
      <c r="D289" t="s">
        <v>560</v>
      </c>
      <c r="E289" t="s">
        <v>90</v>
      </c>
      <c r="F289" t="s">
        <v>90</v>
      </c>
      <c r="G289">
        <v>0</v>
      </c>
      <c r="H289">
        <v>33</v>
      </c>
      <c r="I289">
        <v>33</v>
      </c>
      <c r="J289">
        <v>33</v>
      </c>
      <c r="K289" s="6">
        <v>100</v>
      </c>
      <c r="L289" s="6">
        <v>0</v>
      </c>
      <c r="M289" s="6">
        <v>100</v>
      </c>
      <c r="N289">
        <v>0</v>
      </c>
      <c r="O289" s="6">
        <v>0</v>
      </c>
      <c r="P289">
        <v>0</v>
      </c>
      <c r="Q289" s="8">
        <v>178.15</v>
      </c>
      <c r="R289" s="8">
        <v>178.15</v>
      </c>
      <c r="S289" s="9" t="s">
        <v>561</v>
      </c>
    </row>
    <row r="290" spans="1:19" hidden="1" x14ac:dyDescent="0.25">
      <c r="A290" t="s">
        <v>123</v>
      </c>
      <c r="B290" t="s">
        <v>75</v>
      </c>
      <c r="C290" t="s">
        <v>124</v>
      </c>
      <c r="D290" t="s">
        <v>560</v>
      </c>
      <c r="E290" t="s">
        <v>90</v>
      </c>
      <c r="F290" t="s">
        <v>91</v>
      </c>
      <c r="G290">
        <v>1</v>
      </c>
      <c r="H290">
        <v>33</v>
      </c>
      <c r="I290">
        <v>113</v>
      </c>
      <c r="J290">
        <v>33</v>
      </c>
      <c r="K290" s="6">
        <v>100.03</v>
      </c>
      <c r="L290" s="6">
        <v>0</v>
      </c>
      <c r="M290" s="6">
        <v>97.03</v>
      </c>
      <c r="N290">
        <v>-3</v>
      </c>
      <c r="O290" s="6">
        <v>0</v>
      </c>
      <c r="P290">
        <v>80</v>
      </c>
      <c r="Q290" s="8">
        <v>178.15</v>
      </c>
      <c r="R290" s="8">
        <v>178.21</v>
      </c>
      <c r="S290" t="s">
        <v>32</v>
      </c>
    </row>
    <row r="291" spans="1:19" hidden="1" x14ac:dyDescent="0.25">
      <c r="A291" t="s">
        <v>123</v>
      </c>
      <c r="B291" t="s">
        <v>75</v>
      </c>
      <c r="C291" t="s">
        <v>124</v>
      </c>
      <c r="D291" t="s">
        <v>560</v>
      </c>
      <c r="E291" t="s">
        <v>90</v>
      </c>
      <c r="F291" t="s">
        <v>94</v>
      </c>
      <c r="G291">
        <v>2</v>
      </c>
      <c r="H291">
        <v>33</v>
      </c>
      <c r="I291">
        <v>113</v>
      </c>
      <c r="J291">
        <v>33</v>
      </c>
      <c r="K291" s="6">
        <v>100.25</v>
      </c>
      <c r="L291" s="6">
        <v>0</v>
      </c>
      <c r="M291" s="6">
        <v>97.2</v>
      </c>
      <c r="N291">
        <v>-3.05</v>
      </c>
      <c r="O291" s="6">
        <v>0</v>
      </c>
      <c r="P291">
        <v>80</v>
      </c>
      <c r="Q291" s="8">
        <v>178.15</v>
      </c>
      <c r="R291" s="8">
        <v>178.6</v>
      </c>
      <c r="S291" t="s">
        <v>32</v>
      </c>
    </row>
    <row r="292" spans="1:19" hidden="1" x14ac:dyDescent="0.25">
      <c r="A292" t="s">
        <v>123</v>
      </c>
      <c r="B292" t="s">
        <v>75</v>
      </c>
      <c r="C292" t="s">
        <v>124</v>
      </c>
      <c r="D292" t="s">
        <v>560</v>
      </c>
      <c r="E292" t="s">
        <v>90</v>
      </c>
      <c r="F292" t="s">
        <v>96</v>
      </c>
      <c r="G292">
        <v>6</v>
      </c>
      <c r="H292">
        <v>33</v>
      </c>
      <c r="I292">
        <v>113</v>
      </c>
      <c r="J292">
        <v>33</v>
      </c>
      <c r="K292" s="6">
        <v>100.5</v>
      </c>
      <c r="L292" s="6">
        <v>0</v>
      </c>
      <c r="M292" s="6">
        <v>97.28</v>
      </c>
      <c r="N292">
        <v>-3.22</v>
      </c>
      <c r="O292" s="6">
        <v>0</v>
      </c>
      <c r="P292">
        <v>80</v>
      </c>
      <c r="Q292" s="8">
        <v>178.15</v>
      </c>
      <c r="R292" s="8">
        <v>179.04</v>
      </c>
      <c r="S292" t="s">
        <v>32</v>
      </c>
    </row>
    <row r="293" spans="1:19" x14ac:dyDescent="0.25">
      <c r="A293" t="s">
        <v>123</v>
      </c>
      <c r="B293" t="s">
        <v>75</v>
      </c>
      <c r="C293" t="s">
        <v>124</v>
      </c>
      <c r="D293" t="s">
        <v>560</v>
      </c>
      <c r="E293" t="s">
        <v>90</v>
      </c>
      <c r="F293" t="s">
        <v>6</v>
      </c>
      <c r="G293">
        <v>13</v>
      </c>
      <c r="H293">
        <v>33</v>
      </c>
      <c r="I293">
        <v>113</v>
      </c>
      <c r="J293">
        <v>33</v>
      </c>
      <c r="K293" s="6">
        <v>99.78</v>
      </c>
      <c r="L293" s="6">
        <v>-0.59</v>
      </c>
      <c r="M293" s="6">
        <v>97.16</v>
      </c>
      <c r="N293">
        <v>-2.62</v>
      </c>
      <c r="O293" s="6">
        <v>0</v>
      </c>
      <c r="P293">
        <v>80</v>
      </c>
      <c r="Q293" s="8">
        <v>178.15</v>
      </c>
      <c r="R293" s="8">
        <v>177.76</v>
      </c>
      <c r="S293" t="s">
        <v>32</v>
      </c>
    </row>
    <row r="294" spans="1:19" hidden="1" x14ac:dyDescent="0.25">
      <c r="A294" t="s">
        <v>123</v>
      </c>
      <c r="B294" t="s">
        <v>75</v>
      </c>
      <c r="C294" t="s">
        <v>124</v>
      </c>
      <c r="D294" t="s">
        <v>524</v>
      </c>
      <c r="E294" t="s">
        <v>90</v>
      </c>
      <c r="F294" t="s">
        <v>90</v>
      </c>
      <c r="G294">
        <v>0</v>
      </c>
      <c r="H294">
        <v>31</v>
      </c>
      <c r="I294">
        <v>31</v>
      </c>
      <c r="J294">
        <v>31</v>
      </c>
      <c r="K294" s="6">
        <v>100</v>
      </c>
      <c r="L294" s="6">
        <v>0</v>
      </c>
      <c r="M294" s="6">
        <v>100</v>
      </c>
      <c r="N294">
        <v>0</v>
      </c>
      <c r="O294" s="6">
        <v>0</v>
      </c>
      <c r="P294">
        <v>0</v>
      </c>
      <c r="Q294" s="8">
        <v>160.63999999999999</v>
      </c>
      <c r="R294" s="8">
        <v>160.63999999999999</v>
      </c>
      <c r="S294" s="9" t="s">
        <v>562</v>
      </c>
    </row>
    <row r="295" spans="1:19" hidden="1" x14ac:dyDescent="0.25">
      <c r="A295" t="s">
        <v>123</v>
      </c>
      <c r="B295" t="s">
        <v>75</v>
      </c>
      <c r="C295" t="s">
        <v>124</v>
      </c>
      <c r="D295" t="s">
        <v>524</v>
      </c>
      <c r="E295" t="s">
        <v>90</v>
      </c>
      <c r="F295" t="s">
        <v>91</v>
      </c>
      <c r="G295">
        <v>1</v>
      </c>
      <c r="H295">
        <v>31</v>
      </c>
      <c r="I295">
        <v>96</v>
      </c>
      <c r="J295">
        <v>31</v>
      </c>
      <c r="K295" s="6">
        <v>100</v>
      </c>
      <c r="L295" s="6">
        <v>0</v>
      </c>
      <c r="M295" s="6">
        <v>98.24</v>
      </c>
      <c r="N295">
        <v>-1.76</v>
      </c>
      <c r="O295" s="6">
        <v>0</v>
      </c>
      <c r="P295">
        <v>65</v>
      </c>
      <c r="Q295" s="8">
        <v>160.63999999999999</v>
      </c>
      <c r="R295" s="8">
        <v>160.63999999999999</v>
      </c>
      <c r="S295" t="s">
        <v>32</v>
      </c>
    </row>
    <row r="296" spans="1:19" hidden="1" x14ac:dyDescent="0.25">
      <c r="A296" t="s">
        <v>123</v>
      </c>
      <c r="B296" t="s">
        <v>75</v>
      </c>
      <c r="C296" t="s">
        <v>124</v>
      </c>
      <c r="D296" t="s">
        <v>524</v>
      </c>
      <c r="E296" t="s">
        <v>90</v>
      </c>
      <c r="F296" t="s">
        <v>94</v>
      </c>
      <c r="G296">
        <v>2</v>
      </c>
      <c r="H296">
        <v>31</v>
      </c>
      <c r="I296">
        <v>96</v>
      </c>
      <c r="J296">
        <v>31</v>
      </c>
      <c r="K296" s="6">
        <v>100.76</v>
      </c>
      <c r="L296" s="6">
        <v>0</v>
      </c>
      <c r="M296" s="6">
        <v>98.46</v>
      </c>
      <c r="N296">
        <v>-2.2999999999999998</v>
      </c>
      <c r="O296" s="6">
        <v>0</v>
      </c>
      <c r="P296">
        <v>65</v>
      </c>
      <c r="Q296" s="8">
        <v>160.63999999999999</v>
      </c>
      <c r="R296" s="8">
        <v>161.85</v>
      </c>
      <c r="S296" t="s">
        <v>32</v>
      </c>
    </row>
    <row r="297" spans="1:19" hidden="1" x14ac:dyDescent="0.25">
      <c r="A297" t="s">
        <v>123</v>
      </c>
      <c r="B297" t="s">
        <v>75</v>
      </c>
      <c r="C297" t="s">
        <v>124</v>
      </c>
      <c r="D297" t="s">
        <v>524</v>
      </c>
      <c r="E297" t="s">
        <v>90</v>
      </c>
      <c r="F297" t="s">
        <v>96</v>
      </c>
      <c r="G297">
        <v>6</v>
      </c>
      <c r="H297">
        <v>31</v>
      </c>
      <c r="I297">
        <v>96</v>
      </c>
      <c r="J297">
        <v>31</v>
      </c>
      <c r="K297" s="6">
        <v>100.19</v>
      </c>
      <c r="L297" s="6">
        <v>0</v>
      </c>
      <c r="M297" s="6">
        <v>98.35</v>
      </c>
      <c r="N297">
        <v>-1.84</v>
      </c>
      <c r="O297" s="6">
        <v>0</v>
      </c>
      <c r="P297">
        <v>65</v>
      </c>
      <c r="Q297" s="8">
        <v>160.63999999999999</v>
      </c>
      <c r="R297" s="8">
        <v>160.94</v>
      </c>
      <c r="S297" t="s">
        <v>32</v>
      </c>
    </row>
    <row r="298" spans="1:19" x14ac:dyDescent="0.25">
      <c r="A298" t="s">
        <v>123</v>
      </c>
      <c r="B298" t="s">
        <v>75</v>
      </c>
      <c r="C298" t="s">
        <v>124</v>
      </c>
      <c r="D298" t="s">
        <v>524</v>
      </c>
      <c r="E298" t="s">
        <v>90</v>
      </c>
      <c r="F298" t="s">
        <v>6</v>
      </c>
      <c r="G298">
        <v>13</v>
      </c>
      <c r="H298">
        <v>31</v>
      </c>
      <c r="I298">
        <v>96</v>
      </c>
      <c r="J298">
        <v>31</v>
      </c>
      <c r="K298" s="6">
        <v>99.16</v>
      </c>
      <c r="L298" s="6">
        <v>-1.02</v>
      </c>
      <c r="M298" s="6">
        <v>97.34</v>
      </c>
      <c r="N298">
        <v>-1.82</v>
      </c>
      <c r="O298" s="6">
        <v>0</v>
      </c>
      <c r="P298">
        <v>65</v>
      </c>
      <c r="Q298" s="8">
        <v>160.63999999999999</v>
      </c>
      <c r="R298" s="8">
        <v>159.29</v>
      </c>
      <c r="S298" t="s">
        <v>32</v>
      </c>
    </row>
    <row r="299" spans="1:19" hidden="1" x14ac:dyDescent="0.25">
      <c r="A299" t="s">
        <v>123</v>
      </c>
      <c r="B299" t="s">
        <v>75</v>
      </c>
      <c r="C299" t="s">
        <v>124</v>
      </c>
      <c r="D299" t="s">
        <v>527</v>
      </c>
      <c r="E299" t="s">
        <v>90</v>
      </c>
      <c r="F299" t="s">
        <v>90</v>
      </c>
      <c r="G299">
        <v>0</v>
      </c>
      <c r="H299">
        <v>30</v>
      </c>
      <c r="I299">
        <v>30</v>
      </c>
      <c r="J299">
        <v>30</v>
      </c>
      <c r="K299" s="6">
        <v>100</v>
      </c>
      <c r="L299" s="6">
        <v>0</v>
      </c>
      <c r="M299" s="6">
        <v>100</v>
      </c>
      <c r="N299">
        <v>0</v>
      </c>
      <c r="O299" s="6">
        <v>0</v>
      </c>
      <c r="P299">
        <v>0</v>
      </c>
      <c r="Q299" s="8">
        <v>177.87</v>
      </c>
      <c r="R299" s="8">
        <v>177.87</v>
      </c>
      <c r="S299" s="9" t="s">
        <v>563</v>
      </c>
    </row>
    <row r="300" spans="1:19" hidden="1" x14ac:dyDescent="0.25">
      <c r="A300" t="s">
        <v>123</v>
      </c>
      <c r="B300" t="s">
        <v>75</v>
      </c>
      <c r="C300" t="s">
        <v>124</v>
      </c>
      <c r="D300" t="s">
        <v>527</v>
      </c>
      <c r="E300" t="s">
        <v>90</v>
      </c>
      <c r="F300" t="s">
        <v>91</v>
      </c>
      <c r="G300">
        <v>1</v>
      </c>
      <c r="H300">
        <v>30</v>
      </c>
      <c r="I300">
        <v>104</v>
      </c>
      <c r="J300">
        <v>30</v>
      </c>
      <c r="K300" s="6">
        <v>100</v>
      </c>
      <c r="L300" s="6">
        <v>0</v>
      </c>
      <c r="M300" s="6">
        <v>100.16</v>
      </c>
      <c r="N300">
        <v>0.16</v>
      </c>
      <c r="O300" s="6">
        <v>0</v>
      </c>
      <c r="P300">
        <v>74</v>
      </c>
      <c r="Q300" s="8">
        <v>177.87</v>
      </c>
      <c r="R300" s="8">
        <v>177.87</v>
      </c>
      <c r="S300" t="s">
        <v>32</v>
      </c>
    </row>
    <row r="301" spans="1:19" hidden="1" x14ac:dyDescent="0.25">
      <c r="A301" t="s">
        <v>123</v>
      </c>
      <c r="B301" t="s">
        <v>75</v>
      </c>
      <c r="C301" t="s">
        <v>124</v>
      </c>
      <c r="D301" t="s">
        <v>527</v>
      </c>
      <c r="E301" t="s">
        <v>90</v>
      </c>
      <c r="F301" t="s">
        <v>94</v>
      </c>
      <c r="G301">
        <v>2</v>
      </c>
      <c r="H301">
        <v>30</v>
      </c>
      <c r="I301">
        <v>104</v>
      </c>
      <c r="J301">
        <v>30</v>
      </c>
      <c r="K301" s="6">
        <v>99.81</v>
      </c>
      <c r="L301" s="6">
        <v>0</v>
      </c>
      <c r="M301" s="6">
        <v>100.07</v>
      </c>
      <c r="N301">
        <v>0.26</v>
      </c>
      <c r="O301" s="6">
        <v>0</v>
      </c>
      <c r="P301">
        <v>74</v>
      </c>
      <c r="Q301" s="8">
        <v>177.87</v>
      </c>
      <c r="R301" s="8">
        <v>177.54</v>
      </c>
      <c r="S301" t="s">
        <v>32</v>
      </c>
    </row>
    <row r="302" spans="1:19" hidden="1" x14ac:dyDescent="0.25">
      <c r="A302" t="s">
        <v>123</v>
      </c>
      <c r="B302" t="s">
        <v>75</v>
      </c>
      <c r="C302" t="s">
        <v>124</v>
      </c>
      <c r="D302" t="s">
        <v>527</v>
      </c>
      <c r="E302" t="s">
        <v>90</v>
      </c>
      <c r="F302" t="s">
        <v>96</v>
      </c>
      <c r="G302">
        <v>6</v>
      </c>
      <c r="H302">
        <v>30</v>
      </c>
      <c r="I302">
        <v>104</v>
      </c>
      <c r="J302">
        <v>30</v>
      </c>
      <c r="K302" s="6">
        <v>99.98</v>
      </c>
      <c r="L302" s="6">
        <v>0</v>
      </c>
      <c r="M302" s="6">
        <v>100.15</v>
      </c>
      <c r="N302">
        <v>0.17</v>
      </c>
      <c r="O302" s="6">
        <v>0</v>
      </c>
      <c r="P302">
        <v>74</v>
      </c>
      <c r="Q302" s="8">
        <v>177.87</v>
      </c>
      <c r="R302" s="8">
        <v>177.84</v>
      </c>
      <c r="S302" t="s">
        <v>32</v>
      </c>
    </row>
    <row r="303" spans="1:19" x14ac:dyDescent="0.25">
      <c r="A303" t="s">
        <v>123</v>
      </c>
      <c r="B303" t="s">
        <v>75</v>
      </c>
      <c r="C303" t="s">
        <v>124</v>
      </c>
      <c r="D303" t="s">
        <v>527</v>
      </c>
      <c r="E303" t="s">
        <v>90</v>
      </c>
      <c r="F303" t="s">
        <v>6</v>
      </c>
      <c r="G303">
        <v>13</v>
      </c>
      <c r="H303">
        <v>30</v>
      </c>
      <c r="I303">
        <v>103</v>
      </c>
      <c r="J303">
        <v>30</v>
      </c>
      <c r="K303" s="6">
        <v>99.34</v>
      </c>
      <c r="L303" s="6">
        <v>-0.68</v>
      </c>
      <c r="M303" s="6">
        <v>98.87</v>
      </c>
      <c r="N303">
        <v>-0.47</v>
      </c>
      <c r="O303" s="6">
        <v>0</v>
      </c>
      <c r="P303">
        <v>73</v>
      </c>
      <c r="Q303" s="8">
        <v>177.87</v>
      </c>
      <c r="R303" s="8">
        <v>176.7</v>
      </c>
      <c r="S303" t="s">
        <v>32</v>
      </c>
    </row>
    <row r="304" spans="1:19" hidden="1" x14ac:dyDescent="0.25">
      <c r="A304" t="s">
        <v>123</v>
      </c>
      <c r="B304" t="s">
        <v>75</v>
      </c>
      <c r="C304" t="s">
        <v>124</v>
      </c>
      <c r="D304" t="s">
        <v>530</v>
      </c>
      <c r="E304" t="s">
        <v>90</v>
      </c>
      <c r="F304" t="s">
        <v>90</v>
      </c>
      <c r="G304">
        <v>0</v>
      </c>
      <c r="H304">
        <v>29</v>
      </c>
      <c r="I304">
        <v>29</v>
      </c>
      <c r="J304">
        <v>29</v>
      </c>
      <c r="K304" s="6">
        <v>100</v>
      </c>
      <c r="L304" s="6">
        <v>0</v>
      </c>
      <c r="M304" s="6">
        <v>100</v>
      </c>
      <c r="N304">
        <v>0</v>
      </c>
      <c r="O304" s="6">
        <v>0</v>
      </c>
      <c r="P304">
        <v>0</v>
      </c>
      <c r="Q304" s="8">
        <v>217.03</v>
      </c>
      <c r="R304" s="8">
        <v>217.03</v>
      </c>
      <c r="S304" s="9" t="s">
        <v>564</v>
      </c>
    </row>
    <row r="305" spans="1:19" hidden="1" x14ac:dyDescent="0.25">
      <c r="A305" t="s">
        <v>123</v>
      </c>
      <c r="B305" t="s">
        <v>75</v>
      </c>
      <c r="C305" t="s">
        <v>124</v>
      </c>
      <c r="D305" t="s">
        <v>530</v>
      </c>
      <c r="E305" t="s">
        <v>90</v>
      </c>
      <c r="F305" t="s">
        <v>91</v>
      </c>
      <c r="G305">
        <v>1</v>
      </c>
      <c r="H305">
        <v>29</v>
      </c>
      <c r="I305">
        <v>94</v>
      </c>
      <c r="J305">
        <v>29</v>
      </c>
      <c r="K305" s="6">
        <v>100</v>
      </c>
      <c r="L305" s="6">
        <v>0</v>
      </c>
      <c r="M305" s="6">
        <v>99.9</v>
      </c>
      <c r="N305">
        <v>-0.1</v>
      </c>
      <c r="O305" s="6">
        <v>0</v>
      </c>
      <c r="P305">
        <v>65</v>
      </c>
      <c r="Q305" s="8">
        <v>217.03</v>
      </c>
      <c r="R305" s="8">
        <v>217.03</v>
      </c>
      <c r="S305" s="10" t="s">
        <v>565</v>
      </c>
    </row>
    <row r="306" spans="1:19" hidden="1" x14ac:dyDescent="0.25">
      <c r="A306" t="s">
        <v>123</v>
      </c>
      <c r="B306" t="s">
        <v>75</v>
      </c>
      <c r="C306" t="s">
        <v>124</v>
      </c>
      <c r="D306" t="s">
        <v>530</v>
      </c>
      <c r="E306" t="s">
        <v>90</v>
      </c>
      <c r="F306" t="s">
        <v>94</v>
      </c>
      <c r="G306">
        <v>2</v>
      </c>
      <c r="H306">
        <v>29</v>
      </c>
      <c r="I306">
        <v>93</v>
      </c>
      <c r="J306">
        <v>29</v>
      </c>
      <c r="K306" s="6">
        <v>100.03</v>
      </c>
      <c r="L306" s="6">
        <v>0</v>
      </c>
      <c r="M306" s="6">
        <v>99.74</v>
      </c>
      <c r="N306">
        <v>-0.28999999999999998</v>
      </c>
      <c r="O306" s="6">
        <v>0</v>
      </c>
      <c r="P306">
        <v>64</v>
      </c>
      <c r="Q306" s="8">
        <v>217.03</v>
      </c>
      <c r="R306" s="8">
        <v>217.1</v>
      </c>
      <c r="S306" s="10" t="s">
        <v>565</v>
      </c>
    </row>
    <row r="307" spans="1:19" hidden="1" x14ac:dyDescent="0.25">
      <c r="A307" t="s">
        <v>123</v>
      </c>
      <c r="B307" t="s">
        <v>75</v>
      </c>
      <c r="C307" t="s">
        <v>124</v>
      </c>
      <c r="D307" t="s">
        <v>530</v>
      </c>
      <c r="E307" t="s">
        <v>90</v>
      </c>
      <c r="F307" t="s">
        <v>96</v>
      </c>
      <c r="G307">
        <v>6</v>
      </c>
      <c r="H307">
        <v>29</v>
      </c>
      <c r="I307">
        <v>93</v>
      </c>
      <c r="J307">
        <v>29</v>
      </c>
      <c r="K307" s="6">
        <v>100.1</v>
      </c>
      <c r="L307" s="6">
        <v>0</v>
      </c>
      <c r="M307" s="6">
        <v>99.75</v>
      </c>
      <c r="N307">
        <v>-0.35</v>
      </c>
      <c r="O307" s="6">
        <v>0</v>
      </c>
      <c r="P307">
        <v>64</v>
      </c>
      <c r="Q307" s="8">
        <v>217.03</v>
      </c>
      <c r="R307" s="8">
        <v>217.24</v>
      </c>
      <c r="S307" s="10" t="s">
        <v>565</v>
      </c>
    </row>
    <row r="308" spans="1:19" x14ac:dyDescent="0.25">
      <c r="A308" t="s">
        <v>123</v>
      </c>
      <c r="B308" t="s">
        <v>75</v>
      </c>
      <c r="C308" t="s">
        <v>124</v>
      </c>
      <c r="D308" t="s">
        <v>530</v>
      </c>
      <c r="E308" t="s">
        <v>90</v>
      </c>
      <c r="F308" t="s">
        <v>6</v>
      </c>
      <c r="G308">
        <v>13</v>
      </c>
      <c r="H308">
        <v>29</v>
      </c>
      <c r="I308">
        <v>94</v>
      </c>
      <c r="J308">
        <v>29</v>
      </c>
      <c r="K308" s="6">
        <v>99.97</v>
      </c>
      <c r="L308" s="6">
        <v>0</v>
      </c>
      <c r="M308" s="6">
        <v>99.65</v>
      </c>
      <c r="N308">
        <v>-0.32</v>
      </c>
      <c r="O308" s="6">
        <v>0</v>
      </c>
      <c r="P308">
        <v>65</v>
      </c>
      <c r="Q308" s="8">
        <v>217.03</v>
      </c>
      <c r="R308" s="8">
        <v>216.98</v>
      </c>
      <c r="S308" s="10" t="s">
        <v>565</v>
      </c>
    </row>
    <row r="309" spans="1:19" hidden="1" x14ac:dyDescent="0.25">
      <c r="A309" t="s">
        <v>123</v>
      </c>
      <c r="B309" t="s">
        <v>75</v>
      </c>
      <c r="C309" t="s">
        <v>124</v>
      </c>
      <c r="D309" t="s">
        <v>531</v>
      </c>
      <c r="E309" t="s">
        <v>90</v>
      </c>
      <c r="F309" t="s">
        <v>90</v>
      </c>
      <c r="G309">
        <v>0</v>
      </c>
      <c r="H309">
        <v>35</v>
      </c>
      <c r="I309">
        <v>35</v>
      </c>
      <c r="J309">
        <v>35</v>
      </c>
      <c r="K309" s="6">
        <v>100</v>
      </c>
      <c r="L309" s="6">
        <v>0</v>
      </c>
      <c r="M309" s="6">
        <v>100</v>
      </c>
      <c r="N309">
        <v>0</v>
      </c>
      <c r="O309" s="6">
        <v>0</v>
      </c>
      <c r="P309">
        <v>0</v>
      </c>
      <c r="Q309" s="8">
        <v>217.59</v>
      </c>
      <c r="R309" s="8">
        <v>217.59</v>
      </c>
      <c r="S309" s="9" t="s">
        <v>566</v>
      </c>
    </row>
    <row r="310" spans="1:19" hidden="1" x14ac:dyDescent="0.25">
      <c r="A310" t="s">
        <v>123</v>
      </c>
      <c r="B310" t="s">
        <v>75</v>
      </c>
      <c r="C310" t="s">
        <v>124</v>
      </c>
      <c r="D310" t="s">
        <v>531</v>
      </c>
      <c r="E310" t="s">
        <v>90</v>
      </c>
      <c r="F310" t="s">
        <v>91</v>
      </c>
      <c r="G310">
        <v>1</v>
      </c>
      <c r="H310">
        <v>35</v>
      </c>
      <c r="I310">
        <v>105</v>
      </c>
      <c r="J310">
        <v>35</v>
      </c>
      <c r="K310" s="6">
        <v>100</v>
      </c>
      <c r="L310" s="6">
        <v>0</v>
      </c>
      <c r="M310" s="6">
        <v>99.27</v>
      </c>
      <c r="N310">
        <v>-0.73</v>
      </c>
      <c r="O310" s="6">
        <v>0</v>
      </c>
      <c r="P310">
        <v>70</v>
      </c>
      <c r="Q310" s="8">
        <v>217.59</v>
      </c>
      <c r="R310" s="8">
        <v>217.59</v>
      </c>
      <c r="S310" t="s">
        <v>32</v>
      </c>
    </row>
    <row r="311" spans="1:19" hidden="1" x14ac:dyDescent="0.25">
      <c r="A311" t="s">
        <v>123</v>
      </c>
      <c r="B311" t="s">
        <v>75</v>
      </c>
      <c r="C311" t="s">
        <v>124</v>
      </c>
      <c r="D311" t="s">
        <v>531</v>
      </c>
      <c r="E311" t="s">
        <v>90</v>
      </c>
      <c r="F311" t="s">
        <v>94</v>
      </c>
      <c r="G311">
        <v>2</v>
      </c>
      <c r="H311">
        <v>35</v>
      </c>
      <c r="I311">
        <v>105</v>
      </c>
      <c r="J311">
        <v>35</v>
      </c>
      <c r="K311" s="6">
        <v>100</v>
      </c>
      <c r="L311" s="6">
        <v>0</v>
      </c>
      <c r="M311" s="6">
        <v>99.28</v>
      </c>
      <c r="N311">
        <v>-0.72</v>
      </c>
      <c r="O311" s="6">
        <v>0</v>
      </c>
      <c r="P311">
        <v>70</v>
      </c>
      <c r="Q311" s="8">
        <v>217.59</v>
      </c>
      <c r="R311" s="8">
        <v>217.59</v>
      </c>
      <c r="S311" t="s">
        <v>32</v>
      </c>
    </row>
    <row r="312" spans="1:19" hidden="1" x14ac:dyDescent="0.25">
      <c r="A312" t="s">
        <v>123</v>
      </c>
      <c r="B312" t="s">
        <v>75</v>
      </c>
      <c r="C312" t="s">
        <v>124</v>
      </c>
      <c r="D312" t="s">
        <v>531</v>
      </c>
      <c r="E312" t="s">
        <v>90</v>
      </c>
      <c r="F312" t="s">
        <v>96</v>
      </c>
      <c r="G312">
        <v>6</v>
      </c>
      <c r="H312">
        <v>35</v>
      </c>
      <c r="I312">
        <v>105</v>
      </c>
      <c r="J312">
        <v>35</v>
      </c>
      <c r="K312" s="6">
        <v>100</v>
      </c>
      <c r="L312" s="6">
        <v>0</v>
      </c>
      <c r="M312" s="6">
        <v>99.29</v>
      </c>
      <c r="N312">
        <v>-0.71</v>
      </c>
      <c r="O312" s="6">
        <v>0</v>
      </c>
      <c r="P312">
        <v>70</v>
      </c>
      <c r="Q312" s="8">
        <v>217.59</v>
      </c>
      <c r="R312" s="8">
        <v>217.59</v>
      </c>
      <c r="S312" t="s">
        <v>32</v>
      </c>
    </row>
    <row r="313" spans="1:19" x14ac:dyDescent="0.25">
      <c r="A313" t="s">
        <v>123</v>
      </c>
      <c r="B313" t="s">
        <v>75</v>
      </c>
      <c r="C313" t="s">
        <v>124</v>
      </c>
      <c r="D313" t="s">
        <v>531</v>
      </c>
      <c r="E313" t="s">
        <v>90</v>
      </c>
      <c r="F313" t="s">
        <v>6</v>
      </c>
      <c r="G313">
        <v>13</v>
      </c>
      <c r="H313">
        <v>35</v>
      </c>
      <c r="I313">
        <v>105</v>
      </c>
      <c r="J313">
        <v>35</v>
      </c>
      <c r="K313" s="6">
        <v>99.87</v>
      </c>
      <c r="L313" s="6">
        <v>0</v>
      </c>
      <c r="M313" s="6">
        <v>98.98</v>
      </c>
      <c r="N313">
        <v>-0.89</v>
      </c>
      <c r="O313" s="6">
        <v>0</v>
      </c>
      <c r="P313">
        <v>70</v>
      </c>
      <c r="Q313" s="8">
        <v>217.59</v>
      </c>
      <c r="R313" s="8">
        <v>217.31</v>
      </c>
      <c r="S313" t="s">
        <v>32</v>
      </c>
    </row>
    <row r="314" spans="1:19" hidden="1" x14ac:dyDescent="0.25">
      <c r="A314" t="s">
        <v>123</v>
      </c>
      <c r="B314" t="s">
        <v>75</v>
      </c>
      <c r="C314" t="s">
        <v>124</v>
      </c>
      <c r="D314" t="s">
        <v>532</v>
      </c>
      <c r="E314" t="s">
        <v>90</v>
      </c>
      <c r="F314" t="s">
        <v>90</v>
      </c>
      <c r="G314">
        <v>0</v>
      </c>
      <c r="H314">
        <v>32</v>
      </c>
      <c r="I314">
        <v>32</v>
      </c>
      <c r="J314">
        <v>32</v>
      </c>
      <c r="K314" s="6">
        <v>100</v>
      </c>
      <c r="L314" s="6">
        <v>0</v>
      </c>
      <c r="M314" s="6">
        <v>100</v>
      </c>
      <c r="N314">
        <v>0</v>
      </c>
      <c r="O314" s="6">
        <v>0</v>
      </c>
      <c r="P314">
        <v>0</v>
      </c>
      <c r="Q314" s="8">
        <v>164.3</v>
      </c>
      <c r="R314" s="8">
        <v>164.3</v>
      </c>
      <c r="S314" s="9" t="s">
        <v>567</v>
      </c>
    </row>
    <row r="315" spans="1:19" hidden="1" x14ac:dyDescent="0.25">
      <c r="A315" t="s">
        <v>123</v>
      </c>
      <c r="B315" t="s">
        <v>75</v>
      </c>
      <c r="C315" t="s">
        <v>124</v>
      </c>
      <c r="D315" t="s">
        <v>532</v>
      </c>
      <c r="E315" t="s">
        <v>90</v>
      </c>
      <c r="F315" t="s">
        <v>91</v>
      </c>
      <c r="G315">
        <v>1</v>
      </c>
      <c r="H315">
        <v>32</v>
      </c>
      <c r="I315">
        <v>100</v>
      </c>
      <c r="J315">
        <v>32</v>
      </c>
      <c r="K315" s="6">
        <v>100</v>
      </c>
      <c r="L315" s="6">
        <v>0</v>
      </c>
      <c r="M315" s="6">
        <v>101.9</v>
      </c>
      <c r="N315">
        <v>1.9</v>
      </c>
      <c r="O315" s="6">
        <v>0</v>
      </c>
      <c r="P315">
        <v>68</v>
      </c>
      <c r="Q315" s="8">
        <v>164.3</v>
      </c>
      <c r="R315" s="8">
        <v>164.3</v>
      </c>
      <c r="S315" t="s">
        <v>32</v>
      </c>
    </row>
    <row r="316" spans="1:19" hidden="1" x14ac:dyDescent="0.25">
      <c r="A316" t="s">
        <v>123</v>
      </c>
      <c r="B316" t="s">
        <v>75</v>
      </c>
      <c r="C316" t="s">
        <v>124</v>
      </c>
      <c r="D316" t="s">
        <v>532</v>
      </c>
      <c r="E316" t="s">
        <v>90</v>
      </c>
      <c r="F316" t="s">
        <v>94</v>
      </c>
      <c r="G316">
        <v>2</v>
      </c>
      <c r="H316">
        <v>32</v>
      </c>
      <c r="I316">
        <v>100</v>
      </c>
      <c r="J316">
        <v>32</v>
      </c>
      <c r="K316" s="6">
        <v>99.97</v>
      </c>
      <c r="L316" s="6">
        <v>0</v>
      </c>
      <c r="M316" s="6">
        <v>101.89</v>
      </c>
      <c r="N316">
        <v>1.92</v>
      </c>
      <c r="O316" s="6">
        <v>0</v>
      </c>
      <c r="P316">
        <v>68</v>
      </c>
      <c r="Q316" s="8">
        <v>164.3</v>
      </c>
      <c r="R316" s="8">
        <v>164.25</v>
      </c>
      <c r="S316" t="s">
        <v>32</v>
      </c>
    </row>
    <row r="317" spans="1:19" hidden="1" x14ac:dyDescent="0.25">
      <c r="A317" t="s">
        <v>123</v>
      </c>
      <c r="B317" t="s">
        <v>75</v>
      </c>
      <c r="C317" t="s">
        <v>124</v>
      </c>
      <c r="D317" t="s">
        <v>532</v>
      </c>
      <c r="E317" t="s">
        <v>90</v>
      </c>
      <c r="F317" t="s">
        <v>96</v>
      </c>
      <c r="G317">
        <v>6</v>
      </c>
      <c r="H317">
        <v>32</v>
      </c>
      <c r="I317">
        <v>100</v>
      </c>
      <c r="J317">
        <v>32</v>
      </c>
      <c r="K317" s="6">
        <v>99.97</v>
      </c>
      <c r="L317" s="6">
        <v>0</v>
      </c>
      <c r="M317" s="6">
        <v>101.89</v>
      </c>
      <c r="N317">
        <v>1.92</v>
      </c>
      <c r="O317" s="6">
        <v>0</v>
      </c>
      <c r="P317">
        <v>68</v>
      </c>
      <c r="Q317" s="8">
        <v>164.3</v>
      </c>
      <c r="R317" s="8">
        <v>164.25</v>
      </c>
      <c r="S317" t="s">
        <v>32</v>
      </c>
    </row>
    <row r="318" spans="1:19" x14ac:dyDescent="0.25">
      <c r="A318" t="s">
        <v>123</v>
      </c>
      <c r="B318" t="s">
        <v>75</v>
      </c>
      <c r="C318" t="s">
        <v>124</v>
      </c>
      <c r="D318" t="s">
        <v>532</v>
      </c>
      <c r="E318" t="s">
        <v>90</v>
      </c>
      <c r="F318" t="s">
        <v>6</v>
      </c>
      <c r="G318">
        <v>13</v>
      </c>
      <c r="H318">
        <v>32</v>
      </c>
      <c r="I318">
        <v>100</v>
      </c>
      <c r="J318">
        <v>32</v>
      </c>
      <c r="K318" s="6">
        <v>99.79</v>
      </c>
      <c r="L318" s="6">
        <v>0</v>
      </c>
      <c r="M318" s="6">
        <v>101.33</v>
      </c>
      <c r="N318">
        <v>1.54</v>
      </c>
      <c r="O318" s="6">
        <v>0</v>
      </c>
      <c r="P318">
        <v>68</v>
      </c>
      <c r="Q318" s="8">
        <v>164.3</v>
      </c>
      <c r="R318" s="8">
        <v>163.95</v>
      </c>
      <c r="S318" t="s">
        <v>32</v>
      </c>
    </row>
    <row r="319" spans="1:19" hidden="1" x14ac:dyDescent="0.25">
      <c r="A319" t="s">
        <v>123</v>
      </c>
      <c r="B319" t="s">
        <v>75</v>
      </c>
      <c r="C319" t="s">
        <v>124</v>
      </c>
      <c r="D319" t="s">
        <v>533</v>
      </c>
      <c r="E319" t="s">
        <v>94</v>
      </c>
      <c r="F319" t="s">
        <v>94</v>
      </c>
      <c r="G319">
        <v>0</v>
      </c>
      <c r="H319">
        <v>83</v>
      </c>
      <c r="I319">
        <v>83</v>
      </c>
      <c r="J319">
        <v>83</v>
      </c>
      <c r="K319" s="6">
        <v>100</v>
      </c>
      <c r="L319" s="6">
        <v>0</v>
      </c>
      <c r="M319" s="6">
        <v>100</v>
      </c>
      <c r="N319">
        <v>0</v>
      </c>
      <c r="O319" s="6">
        <v>0</v>
      </c>
      <c r="P319">
        <v>0</v>
      </c>
      <c r="Q319" s="8">
        <v>147.05000000000001</v>
      </c>
      <c r="R319" s="8">
        <v>147.05000000000001</v>
      </c>
      <c r="S319" s="9" t="s">
        <v>568</v>
      </c>
    </row>
    <row r="320" spans="1:19" hidden="1" x14ac:dyDescent="0.25">
      <c r="A320" t="s">
        <v>123</v>
      </c>
      <c r="B320" t="s">
        <v>75</v>
      </c>
      <c r="C320" t="s">
        <v>124</v>
      </c>
      <c r="D320" t="s">
        <v>533</v>
      </c>
      <c r="E320" t="s">
        <v>94</v>
      </c>
      <c r="F320" t="s">
        <v>96</v>
      </c>
      <c r="G320">
        <v>4</v>
      </c>
      <c r="H320">
        <v>83</v>
      </c>
      <c r="I320">
        <v>83</v>
      </c>
      <c r="J320">
        <v>83</v>
      </c>
      <c r="K320" s="6">
        <v>100</v>
      </c>
      <c r="L320" s="6">
        <v>0</v>
      </c>
      <c r="M320" s="6">
        <v>100</v>
      </c>
      <c r="N320">
        <v>0</v>
      </c>
      <c r="O320" s="6">
        <v>0</v>
      </c>
      <c r="P320">
        <v>0</v>
      </c>
      <c r="Q320" s="8">
        <v>147.05000000000001</v>
      </c>
      <c r="R320" s="8">
        <v>147.05000000000001</v>
      </c>
      <c r="S320" t="s">
        <v>32</v>
      </c>
    </row>
    <row r="321" spans="1:19" x14ac:dyDescent="0.25">
      <c r="A321" t="s">
        <v>123</v>
      </c>
      <c r="B321" t="s">
        <v>75</v>
      </c>
      <c r="C321" t="s">
        <v>124</v>
      </c>
      <c r="D321" t="s">
        <v>533</v>
      </c>
      <c r="E321" t="s">
        <v>94</v>
      </c>
      <c r="F321" t="s">
        <v>6</v>
      </c>
      <c r="G321">
        <v>11</v>
      </c>
      <c r="H321">
        <v>83</v>
      </c>
      <c r="I321">
        <v>83</v>
      </c>
      <c r="J321">
        <v>83</v>
      </c>
      <c r="K321" s="6">
        <v>99.35</v>
      </c>
      <c r="L321" s="6">
        <v>0</v>
      </c>
      <c r="M321" s="6">
        <v>99.35</v>
      </c>
      <c r="N321">
        <v>0</v>
      </c>
      <c r="O321" s="6">
        <v>0</v>
      </c>
      <c r="P321">
        <v>0</v>
      </c>
      <c r="Q321" s="8">
        <v>147.05000000000001</v>
      </c>
      <c r="R321" s="8">
        <v>146.09</v>
      </c>
      <c r="S321" t="s">
        <v>32</v>
      </c>
    </row>
    <row r="322" spans="1:19" hidden="1" x14ac:dyDescent="0.25">
      <c r="A322" t="s">
        <v>123</v>
      </c>
      <c r="B322" t="s">
        <v>75</v>
      </c>
      <c r="C322" t="s">
        <v>124</v>
      </c>
      <c r="D322" t="s">
        <v>545</v>
      </c>
      <c r="E322" t="s">
        <v>94</v>
      </c>
      <c r="F322" t="s">
        <v>94</v>
      </c>
      <c r="G322">
        <v>0</v>
      </c>
      <c r="H322">
        <v>97</v>
      </c>
      <c r="I322">
        <v>97</v>
      </c>
      <c r="J322">
        <v>97</v>
      </c>
      <c r="K322" s="6">
        <v>100</v>
      </c>
      <c r="L322" s="6">
        <v>0</v>
      </c>
      <c r="M322" s="6">
        <v>100</v>
      </c>
      <c r="N322">
        <v>0</v>
      </c>
      <c r="O322" s="6">
        <v>0</v>
      </c>
      <c r="P322">
        <v>0</v>
      </c>
      <c r="Q322" s="8">
        <v>147.69</v>
      </c>
      <c r="R322" s="8">
        <v>147.69</v>
      </c>
      <c r="S322" s="9" t="s">
        <v>569</v>
      </c>
    </row>
    <row r="323" spans="1:19" hidden="1" x14ac:dyDescent="0.25">
      <c r="A323" t="s">
        <v>123</v>
      </c>
      <c r="B323" t="s">
        <v>75</v>
      </c>
      <c r="C323" t="s">
        <v>124</v>
      </c>
      <c r="D323" t="s">
        <v>545</v>
      </c>
      <c r="E323" t="s">
        <v>94</v>
      </c>
      <c r="F323" t="s">
        <v>96</v>
      </c>
      <c r="G323">
        <v>4</v>
      </c>
      <c r="H323">
        <v>97</v>
      </c>
      <c r="I323">
        <v>97</v>
      </c>
      <c r="J323">
        <v>97</v>
      </c>
      <c r="K323" s="6">
        <v>100.02</v>
      </c>
      <c r="L323" s="6">
        <v>0</v>
      </c>
      <c r="M323" s="6">
        <v>100.02</v>
      </c>
      <c r="N323">
        <v>0</v>
      </c>
      <c r="O323" s="6">
        <v>0</v>
      </c>
      <c r="P323">
        <v>0</v>
      </c>
      <c r="Q323" s="8">
        <v>147.69</v>
      </c>
      <c r="R323" s="8">
        <v>147.72</v>
      </c>
      <c r="S323" t="s">
        <v>32</v>
      </c>
    </row>
    <row r="324" spans="1:19" x14ac:dyDescent="0.25">
      <c r="A324" t="s">
        <v>123</v>
      </c>
      <c r="B324" t="s">
        <v>75</v>
      </c>
      <c r="C324" t="s">
        <v>124</v>
      </c>
      <c r="D324" t="s">
        <v>545</v>
      </c>
      <c r="E324" t="s">
        <v>94</v>
      </c>
      <c r="F324" t="s">
        <v>6</v>
      </c>
      <c r="G324">
        <v>11</v>
      </c>
      <c r="H324">
        <v>97</v>
      </c>
      <c r="I324">
        <v>97</v>
      </c>
      <c r="J324">
        <v>97</v>
      </c>
      <c r="K324" s="6">
        <v>99.38</v>
      </c>
      <c r="L324" s="6">
        <v>0</v>
      </c>
      <c r="M324" s="6">
        <v>99.38</v>
      </c>
      <c r="N324">
        <v>0</v>
      </c>
      <c r="O324" s="6">
        <v>0</v>
      </c>
      <c r="P324">
        <v>0</v>
      </c>
      <c r="Q324" s="8">
        <v>147.69</v>
      </c>
      <c r="R324" s="8">
        <v>146.78</v>
      </c>
      <c r="S324" t="s">
        <v>32</v>
      </c>
    </row>
    <row r="325" spans="1:19" hidden="1" x14ac:dyDescent="0.25">
      <c r="A325" t="s">
        <v>123</v>
      </c>
      <c r="B325" t="s">
        <v>75</v>
      </c>
      <c r="C325" t="s">
        <v>124</v>
      </c>
      <c r="D325" t="s">
        <v>570</v>
      </c>
      <c r="E325" t="s">
        <v>94</v>
      </c>
      <c r="F325" t="s">
        <v>94</v>
      </c>
      <c r="G325">
        <v>0</v>
      </c>
      <c r="H325">
        <v>104</v>
      </c>
      <c r="I325">
        <v>104</v>
      </c>
      <c r="J325">
        <v>104</v>
      </c>
      <c r="K325" s="6">
        <v>100</v>
      </c>
      <c r="L325" s="6">
        <v>0</v>
      </c>
      <c r="M325" s="6">
        <v>100</v>
      </c>
      <c r="N325">
        <v>0</v>
      </c>
      <c r="O325" s="6">
        <v>0</v>
      </c>
      <c r="P325">
        <v>0</v>
      </c>
      <c r="Q325" s="8">
        <v>156.35</v>
      </c>
      <c r="R325" s="8">
        <v>156.35</v>
      </c>
      <c r="S325" s="9" t="s">
        <v>571</v>
      </c>
    </row>
    <row r="326" spans="1:19" hidden="1" x14ac:dyDescent="0.25">
      <c r="A326" t="s">
        <v>123</v>
      </c>
      <c r="B326" t="s">
        <v>75</v>
      </c>
      <c r="C326" t="s">
        <v>124</v>
      </c>
      <c r="D326" t="s">
        <v>570</v>
      </c>
      <c r="E326" t="s">
        <v>94</v>
      </c>
      <c r="F326" t="s">
        <v>96</v>
      </c>
      <c r="G326">
        <v>4</v>
      </c>
      <c r="H326">
        <v>104</v>
      </c>
      <c r="I326">
        <v>104</v>
      </c>
      <c r="J326">
        <v>104</v>
      </c>
      <c r="K326" s="6">
        <v>100.02</v>
      </c>
      <c r="L326" s="6">
        <v>0</v>
      </c>
      <c r="M326" s="6">
        <v>100.02</v>
      </c>
      <c r="N326">
        <v>0</v>
      </c>
      <c r="O326" s="6">
        <v>0</v>
      </c>
      <c r="P326">
        <v>0</v>
      </c>
      <c r="Q326" s="8">
        <v>156.35</v>
      </c>
      <c r="R326" s="8">
        <v>156.38</v>
      </c>
      <c r="S326" t="s">
        <v>32</v>
      </c>
    </row>
    <row r="327" spans="1:19" x14ac:dyDescent="0.25">
      <c r="A327" t="s">
        <v>123</v>
      </c>
      <c r="B327" t="s">
        <v>75</v>
      </c>
      <c r="C327" t="s">
        <v>124</v>
      </c>
      <c r="D327" t="s">
        <v>570</v>
      </c>
      <c r="E327" t="s">
        <v>94</v>
      </c>
      <c r="F327" t="s">
        <v>6</v>
      </c>
      <c r="G327">
        <v>11</v>
      </c>
      <c r="H327">
        <v>104</v>
      </c>
      <c r="I327">
        <v>104</v>
      </c>
      <c r="J327">
        <v>104</v>
      </c>
      <c r="K327" s="6">
        <v>99.67</v>
      </c>
      <c r="L327" s="6">
        <v>0</v>
      </c>
      <c r="M327" s="6">
        <v>99.67</v>
      </c>
      <c r="N327">
        <v>0</v>
      </c>
      <c r="O327" s="6">
        <v>0</v>
      </c>
      <c r="P327">
        <v>0</v>
      </c>
      <c r="Q327" s="8">
        <v>156.35</v>
      </c>
      <c r="R327" s="8">
        <v>155.83000000000001</v>
      </c>
      <c r="S327" t="s">
        <v>32</v>
      </c>
    </row>
    <row r="328" spans="1:19" hidden="1" x14ac:dyDescent="0.25">
      <c r="A328" t="s">
        <v>123</v>
      </c>
      <c r="B328" t="s">
        <v>75</v>
      </c>
      <c r="C328" t="s">
        <v>124</v>
      </c>
      <c r="D328" t="s">
        <v>572</v>
      </c>
      <c r="E328" t="s">
        <v>94</v>
      </c>
      <c r="F328" t="s">
        <v>94</v>
      </c>
      <c r="G328">
        <v>0</v>
      </c>
      <c r="H328">
        <v>110</v>
      </c>
      <c r="I328">
        <v>110</v>
      </c>
      <c r="J328">
        <v>110</v>
      </c>
      <c r="K328" s="6">
        <v>100</v>
      </c>
      <c r="L328" s="6">
        <v>0</v>
      </c>
      <c r="M328" s="6">
        <v>100</v>
      </c>
      <c r="N328">
        <v>0</v>
      </c>
      <c r="O328" s="6">
        <v>0</v>
      </c>
      <c r="P328">
        <v>0</v>
      </c>
      <c r="Q328" s="8">
        <v>192.75</v>
      </c>
      <c r="R328" s="8">
        <v>192.75</v>
      </c>
      <c r="S328" s="9" t="s">
        <v>573</v>
      </c>
    </row>
    <row r="329" spans="1:19" hidden="1" x14ac:dyDescent="0.25">
      <c r="A329" t="s">
        <v>123</v>
      </c>
      <c r="B329" t="s">
        <v>75</v>
      </c>
      <c r="C329" t="s">
        <v>124</v>
      </c>
      <c r="D329" t="s">
        <v>572</v>
      </c>
      <c r="E329" t="s">
        <v>94</v>
      </c>
      <c r="F329" t="s">
        <v>96</v>
      </c>
      <c r="G329">
        <v>4</v>
      </c>
      <c r="H329">
        <v>110</v>
      </c>
      <c r="I329">
        <v>110</v>
      </c>
      <c r="J329">
        <v>110</v>
      </c>
      <c r="K329" s="6">
        <v>100.04</v>
      </c>
      <c r="L329" s="6">
        <v>0</v>
      </c>
      <c r="M329" s="6">
        <v>100.04</v>
      </c>
      <c r="N329">
        <v>0</v>
      </c>
      <c r="O329" s="6">
        <v>0</v>
      </c>
      <c r="P329">
        <v>0</v>
      </c>
      <c r="Q329" s="8">
        <v>192.75</v>
      </c>
      <c r="R329" s="8">
        <v>192.82</v>
      </c>
      <c r="S329" t="s">
        <v>32</v>
      </c>
    </row>
    <row r="330" spans="1:19" x14ac:dyDescent="0.25">
      <c r="A330" t="s">
        <v>123</v>
      </c>
      <c r="B330" t="s">
        <v>75</v>
      </c>
      <c r="C330" t="s">
        <v>124</v>
      </c>
      <c r="D330" t="s">
        <v>572</v>
      </c>
      <c r="E330" t="s">
        <v>94</v>
      </c>
      <c r="F330" t="s">
        <v>6</v>
      </c>
      <c r="G330">
        <v>11</v>
      </c>
      <c r="H330">
        <v>110</v>
      </c>
      <c r="I330">
        <v>110</v>
      </c>
      <c r="J330">
        <v>110</v>
      </c>
      <c r="K330" s="6">
        <v>99.95</v>
      </c>
      <c r="L330" s="6">
        <v>0</v>
      </c>
      <c r="M330" s="6">
        <v>99.95</v>
      </c>
      <c r="N330">
        <v>0</v>
      </c>
      <c r="O330" s="6">
        <v>0</v>
      </c>
      <c r="P330">
        <v>0</v>
      </c>
      <c r="Q330" s="8">
        <v>192.75</v>
      </c>
      <c r="R330" s="8">
        <v>192.66</v>
      </c>
      <c r="S330" t="s">
        <v>32</v>
      </c>
    </row>
    <row r="331" spans="1:19" hidden="1" x14ac:dyDescent="0.25">
      <c r="A331" t="s">
        <v>123</v>
      </c>
      <c r="B331" t="s">
        <v>75</v>
      </c>
      <c r="C331" t="s">
        <v>124</v>
      </c>
      <c r="D331" t="s">
        <v>574</v>
      </c>
      <c r="E331" t="s">
        <v>94</v>
      </c>
      <c r="F331" t="s">
        <v>94</v>
      </c>
      <c r="G331">
        <v>0</v>
      </c>
      <c r="H331">
        <v>106</v>
      </c>
      <c r="I331">
        <v>106</v>
      </c>
      <c r="J331">
        <v>106</v>
      </c>
      <c r="K331" s="6">
        <v>100</v>
      </c>
      <c r="L331" s="6">
        <v>0</v>
      </c>
      <c r="M331" s="6">
        <v>100</v>
      </c>
      <c r="N331">
        <v>0</v>
      </c>
      <c r="O331" s="6">
        <v>0</v>
      </c>
      <c r="P331">
        <v>0</v>
      </c>
      <c r="Q331" s="8">
        <v>144.11000000000001</v>
      </c>
      <c r="R331" s="8">
        <v>144.11000000000001</v>
      </c>
      <c r="S331" s="9" t="s">
        <v>575</v>
      </c>
    </row>
    <row r="332" spans="1:19" hidden="1" x14ac:dyDescent="0.25">
      <c r="A332" t="s">
        <v>123</v>
      </c>
      <c r="B332" t="s">
        <v>75</v>
      </c>
      <c r="C332" t="s">
        <v>124</v>
      </c>
      <c r="D332" t="s">
        <v>574</v>
      </c>
      <c r="E332" t="s">
        <v>94</v>
      </c>
      <c r="F332" t="s">
        <v>96</v>
      </c>
      <c r="G332">
        <v>4</v>
      </c>
      <c r="H332">
        <v>106</v>
      </c>
      <c r="I332">
        <v>106</v>
      </c>
      <c r="J332">
        <v>106</v>
      </c>
      <c r="K332" s="6">
        <v>100.01</v>
      </c>
      <c r="L332" s="6">
        <v>0</v>
      </c>
      <c r="M332" s="6">
        <v>100.01</v>
      </c>
      <c r="N332">
        <v>0</v>
      </c>
      <c r="O332" s="6">
        <v>0</v>
      </c>
      <c r="P332">
        <v>0</v>
      </c>
      <c r="Q332" s="8">
        <v>144.11000000000001</v>
      </c>
      <c r="R332" s="8">
        <v>144.13</v>
      </c>
      <c r="S332" t="s">
        <v>32</v>
      </c>
    </row>
    <row r="333" spans="1:19" x14ac:dyDescent="0.25">
      <c r="A333" t="s">
        <v>123</v>
      </c>
      <c r="B333" t="s">
        <v>75</v>
      </c>
      <c r="C333" t="s">
        <v>124</v>
      </c>
      <c r="D333" t="s">
        <v>574</v>
      </c>
      <c r="E333" t="s">
        <v>94</v>
      </c>
      <c r="F333" t="s">
        <v>6</v>
      </c>
      <c r="G333">
        <v>11</v>
      </c>
      <c r="H333">
        <v>106</v>
      </c>
      <c r="I333">
        <v>106</v>
      </c>
      <c r="J333">
        <v>106</v>
      </c>
      <c r="K333" s="6">
        <v>99.65</v>
      </c>
      <c r="L333" s="6">
        <v>0</v>
      </c>
      <c r="M333" s="6">
        <v>99.65</v>
      </c>
      <c r="N333">
        <v>0</v>
      </c>
      <c r="O333" s="6">
        <v>0</v>
      </c>
      <c r="P333">
        <v>0</v>
      </c>
      <c r="Q333" s="8">
        <v>144.11000000000001</v>
      </c>
      <c r="R333" s="8">
        <v>143.61000000000001</v>
      </c>
      <c r="S333" t="s">
        <v>32</v>
      </c>
    </row>
    <row r="334" spans="1:19" hidden="1" x14ac:dyDescent="0.25">
      <c r="A334" t="s">
        <v>123</v>
      </c>
      <c r="B334" t="s">
        <v>75</v>
      </c>
      <c r="C334" t="s">
        <v>124</v>
      </c>
      <c r="D334" t="s">
        <v>576</v>
      </c>
      <c r="E334" t="s">
        <v>94</v>
      </c>
      <c r="F334" t="s">
        <v>94</v>
      </c>
      <c r="G334">
        <v>0</v>
      </c>
      <c r="H334">
        <v>100</v>
      </c>
      <c r="I334">
        <v>100</v>
      </c>
      <c r="J334">
        <v>100</v>
      </c>
      <c r="K334" s="6">
        <v>100</v>
      </c>
      <c r="L334" s="6">
        <v>0</v>
      </c>
      <c r="M334" s="6">
        <v>100</v>
      </c>
      <c r="N334">
        <v>0</v>
      </c>
      <c r="O334" s="6">
        <v>0</v>
      </c>
      <c r="P334">
        <v>0</v>
      </c>
      <c r="Q334" s="8">
        <v>149.69999999999999</v>
      </c>
      <c r="R334" s="8">
        <v>149.69999999999999</v>
      </c>
      <c r="S334" s="9" t="s">
        <v>577</v>
      </c>
    </row>
    <row r="335" spans="1:19" hidden="1" x14ac:dyDescent="0.25">
      <c r="A335" t="s">
        <v>123</v>
      </c>
      <c r="B335" t="s">
        <v>75</v>
      </c>
      <c r="C335" t="s">
        <v>124</v>
      </c>
      <c r="D335" t="s">
        <v>576</v>
      </c>
      <c r="E335" t="s">
        <v>94</v>
      </c>
      <c r="F335" t="s">
        <v>96</v>
      </c>
      <c r="G335">
        <v>4</v>
      </c>
      <c r="H335">
        <v>100</v>
      </c>
      <c r="I335">
        <v>100</v>
      </c>
      <c r="J335">
        <v>100</v>
      </c>
      <c r="K335" s="6">
        <v>100.01</v>
      </c>
      <c r="L335" s="6">
        <v>0</v>
      </c>
      <c r="M335" s="6">
        <v>100.01</v>
      </c>
      <c r="N335">
        <v>0</v>
      </c>
      <c r="O335" s="6">
        <v>0</v>
      </c>
      <c r="P335">
        <v>0</v>
      </c>
      <c r="Q335" s="8">
        <v>149.69999999999999</v>
      </c>
      <c r="R335" s="8">
        <v>149.72</v>
      </c>
      <c r="S335" t="s">
        <v>32</v>
      </c>
    </row>
    <row r="336" spans="1:19" x14ac:dyDescent="0.25">
      <c r="A336" t="s">
        <v>123</v>
      </c>
      <c r="B336" t="s">
        <v>75</v>
      </c>
      <c r="C336" t="s">
        <v>124</v>
      </c>
      <c r="D336" t="s">
        <v>576</v>
      </c>
      <c r="E336" t="s">
        <v>94</v>
      </c>
      <c r="F336" t="s">
        <v>6</v>
      </c>
      <c r="G336">
        <v>11</v>
      </c>
      <c r="H336">
        <v>100</v>
      </c>
      <c r="I336">
        <v>100</v>
      </c>
      <c r="J336">
        <v>100</v>
      </c>
      <c r="K336" s="6">
        <v>99.89</v>
      </c>
      <c r="L336" s="6">
        <v>0</v>
      </c>
      <c r="M336" s="6">
        <v>99.89</v>
      </c>
      <c r="N336">
        <v>0</v>
      </c>
      <c r="O336" s="6">
        <v>0</v>
      </c>
      <c r="P336">
        <v>0</v>
      </c>
      <c r="Q336" s="8">
        <v>149.69999999999999</v>
      </c>
      <c r="R336" s="8">
        <v>149.54</v>
      </c>
      <c r="S336" t="s">
        <v>32</v>
      </c>
    </row>
    <row r="337" spans="1:19" hidden="1" x14ac:dyDescent="0.25">
      <c r="A337" t="s">
        <v>123</v>
      </c>
      <c r="B337" t="s">
        <v>75</v>
      </c>
      <c r="C337" t="s">
        <v>124</v>
      </c>
      <c r="D337" t="s">
        <v>578</v>
      </c>
      <c r="E337" t="s">
        <v>94</v>
      </c>
      <c r="F337" t="s">
        <v>94</v>
      </c>
      <c r="G337">
        <v>0</v>
      </c>
      <c r="H337">
        <v>114</v>
      </c>
      <c r="I337">
        <v>114</v>
      </c>
      <c r="J337">
        <v>114</v>
      </c>
      <c r="K337" s="6">
        <v>100</v>
      </c>
      <c r="L337" s="6">
        <v>0</v>
      </c>
      <c r="M337" s="6">
        <v>100</v>
      </c>
      <c r="N337">
        <v>0</v>
      </c>
      <c r="O337" s="6">
        <v>0</v>
      </c>
      <c r="P337">
        <v>0</v>
      </c>
      <c r="Q337" s="8">
        <v>171.43</v>
      </c>
      <c r="R337" s="8">
        <v>171.43</v>
      </c>
      <c r="S337" s="9" t="s">
        <v>579</v>
      </c>
    </row>
    <row r="338" spans="1:19" hidden="1" x14ac:dyDescent="0.25">
      <c r="A338" t="s">
        <v>123</v>
      </c>
      <c r="B338" t="s">
        <v>75</v>
      </c>
      <c r="C338" t="s">
        <v>124</v>
      </c>
      <c r="D338" t="s">
        <v>578</v>
      </c>
      <c r="E338" t="s">
        <v>94</v>
      </c>
      <c r="F338" t="s">
        <v>96</v>
      </c>
      <c r="G338">
        <v>4</v>
      </c>
      <c r="H338">
        <v>114</v>
      </c>
      <c r="I338">
        <v>114</v>
      </c>
      <c r="J338">
        <v>114</v>
      </c>
      <c r="K338" s="6">
        <v>100</v>
      </c>
      <c r="L338" s="6">
        <v>0</v>
      </c>
      <c r="M338" s="6">
        <v>100</v>
      </c>
      <c r="N338">
        <v>0</v>
      </c>
      <c r="O338" s="6">
        <v>0</v>
      </c>
      <c r="P338">
        <v>0</v>
      </c>
      <c r="Q338" s="8">
        <v>171.43</v>
      </c>
      <c r="R338" s="8">
        <v>171.43</v>
      </c>
      <c r="S338" t="s">
        <v>32</v>
      </c>
    </row>
    <row r="339" spans="1:19" x14ac:dyDescent="0.25">
      <c r="A339" t="s">
        <v>123</v>
      </c>
      <c r="B339" t="s">
        <v>75</v>
      </c>
      <c r="C339" t="s">
        <v>124</v>
      </c>
      <c r="D339" t="s">
        <v>578</v>
      </c>
      <c r="E339" t="s">
        <v>94</v>
      </c>
      <c r="F339" t="s">
        <v>6</v>
      </c>
      <c r="G339">
        <v>11</v>
      </c>
      <c r="H339">
        <v>114</v>
      </c>
      <c r="I339">
        <v>114</v>
      </c>
      <c r="J339">
        <v>114</v>
      </c>
      <c r="K339" s="6">
        <v>99.74</v>
      </c>
      <c r="L339" s="6">
        <v>0</v>
      </c>
      <c r="M339" s="6">
        <v>99.74</v>
      </c>
      <c r="N339">
        <v>0</v>
      </c>
      <c r="O339" s="6">
        <v>0</v>
      </c>
      <c r="P339">
        <v>0</v>
      </c>
      <c r="Q339" s="8">
        <v>171.43</v>
      </c>
      <c r="R339" s="8">
        <v>170.98</v>
      </c>
      <c r="S339" t="s">
        <v>32</v>
      </c>
    </row>
    <row r="340" spans="1:19" hidden="1" x14ac:dyDescent="0.25">
      <c r="A340" t="s">
        <v>123</v>
      </c>
      <c r="B340" t="s">
        <v>75</v>
      </c>
      <c r="C340" t="s">
        <v>124</v>
      </c>
      <c r="D340" t="s">
        <v>580</v>
      </c>
      <c r="E340" t="s">
        <v>94</v>
      </c>
      <c r="F340" t="s">
        <v>94</v>
      </c>
      <c r="G340">
        <v>0</v>
      </c>
      <c r="H340">
        <v>76</v>
      </c>
      <c r="I340">
        <v>76</v>
      </c>
      <c r="J340">
        <v>76</v>
      </c>
      <c r="K340" s="6">
        <v>100</v>
      </c>
      <c r="L340" s="6">
        <v>0</v>
      </c>
      <c r="M340" s="6">
        <v>100</v>
      </c>
      <c r="N340">
        <v>0</v>
      </c>
      <c r="O340" s="6">
        <v>0</v>
      </c>
      <c r="P340">
        <v>0</v>
      </c>
      <c r="Q340" s="8">
        <v>175.87</v>
      </c>
      <c r="R340" s="8">
        <v>175.87</v>
      </c>
      <c r="S340" s="9" t="s">
        <v>581</v>
      </c>
    </row>
    <row r="341" spans="1:19" hidden="1" x14ac:dyDescent="0.25">
      <c r="A341" t="s">
        <v>123</v>
      </c>
      <c r="B341" t="s">
        <v>75</v>
      </c>
      <c r="C341" t="s">
        <v>124</v>
      </c>
      <c r="D341" t="s">
        <v>580</v>
      </c>
      <c r="E341" t="s">
        <v>94</v>
      </c>
      <c r="F341" t="s">
        <v>96</v>
      </c>
      <c r="G341">
        <v>4</v>
      </c>
      <c r="H341">
        <v>76</v>
      </c>
      <c r="I341">
        <v>76</v>
      </c>
      <c r="J341">
        <v>76</v>
      </c>
      <c r="K341" s="6">
        <v>99.96</v>
      </c>
      <c r="L341" s="6">
        <v>0</v>
      </c>
      <c r="M341" s="6">
        <v>99.96</v>
      </c>
      <c r="N341">
        <v>0</v>
      </c>
      <c r="O341" s="6">
        <v>0</v>
      </c>
      <c r="P341">
        <v>0</v>
      </c>
      <c r="Q341" s="8">
        <v>175.87</v>
      </c>
      <c r="R341" s="8">
        <v>175.8</v>
      </c>
      <c r="S341" t="s">
        <v>32</v>
      </c>
    </row>
    <row r="342" spans="1:19" x14ac:dyDescent="0.25">
      <c r="A342" t="s">
        <v>123</v>
      </c>
      <c r="B342" t="s">
        <v>75</v>
      </c>
      <c r="C342" t="s">
        <v>124</v>
      </c>
      <c r="D342" t="s">
        <v>580</v>
      </c>
      <c r="E342" t="s">
        <v>94</v>
      </c>
      <c r="F342" t="s">
        <v>6</v>
      </c>
      <c r="G342">
        <v>11</v>
      </c>
      <c r="H342">
        <v>76</v>
      </c>
      <c r="I342">
        <v>76</v>
      </c>
      <c r="J342">
        <v>76</v>
      </c>
      <c r="K342" s="6">
        <v>99.58</v>
      </c>
      <c r="L342" s="6">
        <v>0</v>
      </c>
      <c r="M342" s="6">
        <v>99.58</v>
      </c>
      <c r="N342">
        <v>0</v>
      </c>
      <c r="O342" s="6">
        <v>0</v>
      </c>
      <c r="P342">
        <v>0</v>
      </c>
      <c r="Q342" s="8">
        <v>175.87</v>
      </c>
      <c r="R342" s="8">
        <v>175.13</v>
      </c>
      <c r="S342" t="s">
        <v>32</v>
      </c>
    </row>
    <row r="343" spans="1:19" hidden="1" x14ac:dyDescent="0.25">
      <c r="A343" t="s">
        <v>123</v>
      </c>
      <c r="B343" t="s">
        <v>75</v>
      </c>
      <c r="C343" t="s">
        <v>124</v>
      </c>
      <c r="D343" t="s">
        <v>582</v>
      </c>
      <c r="E343" t="s">
        <v>94</v>
      </c>
      <c r="F343" t="s">
        <v>94</v>
      </c>
      <c r="G343">
        <v>0</v>
      </c>
      <c r="H343">
        <v>11</v>
      </c>
      <c r="I343">
        <v>11</v>
      </c>
      <c r="J343">
        <v>11</v>
      </c>
      <c r="K343" s="6">
        <v>100</v>
      </c>
      <c r="L343" s="6">
        <v>0</v>
      </c>
      <c r="M343" s="6">
        <v>100</v>
      </c>
      <c r="N343">
        <v>0</v>
      </c>
      <c r="O343" s="6">
        <v>0</v>
      </c>
      <c r="P343">
        <v>0</v>
      </c>
      <c r="Q343" s="8">
        <v>180.47</v>
      </c>
      <c r="R343" s="8">
        <v>180.47</v>
      </c>
      <c r="S343" s="9" t="s">
        <v>528</v>
      </c>
    </row>
    <row r="344" spans="1:19" hidden="1" x14ac:dyDescent="0.25">
      <c r="A344" t="s">
        <v>123</v>
      </c>
      <c r="B344" t="s">
        <v>75</v>
      </c>
      <c r="C344" t="s">
        <v>124</v>
      </c>
      <c r="D344" t="s">
        <v>582</v>
      </c>
      <c r="E344" t="s">
        <v>94</v>
      </c>
      <c r="F344" t="s">
        <v>96</v>
      </c>
      <c r="G344">
        <v>4</v>
      </c>
      <c r="H344">
        <v>11</v>
      </c>
      <c r="I344">
        <v>11</v>
      </c>
      <c r="J344">
        <v>11</v>
      </c>
      <c r="K344" s="6">
        <v>100</v>
      </c>
      <c r="L344" s="6">
        <v>0</v>
      </c>
      <c r="M344" s="6">
        <v>100</v>
      </c>
      <c r="N344">
        <v>0</v>
      </c>
      <c r="O344" s="6">
        <v>0</v>
      </c>
      <c r="P344">
        <v>0</v>
      </c>
      <c r="Q344" s="8">
        <v>180.47</v>
      </c>
      <c r="R344" s="8">
        <v>180.47</v>
      </c>
      <c r="S344" s="10" t="s">
        <v>529</v>
      </c>
    </row>
    <row r="345" spans="1:19" x14ac:dyDescent="0.25">
      <c r="A345" t="s">
        <v>123</v>
      </c>
      <c r="B345" t="s">
        <v>75</v>
      </c>
      <c r="C345" t="s">
        <v>124</v>
      </c>
      <c r="D345" t="s">
        <v>582</v>
      </c>
      <c r="E345" t="s">
        <v>94</v>
      </c>
      <c r="F345" t="s">
        <v>6</v>
      </c>
      <c r="G345">
        <v>11</v>
      </c>
      <c r="H345">
        <v>11</v>
      </c>
      <c r="I345">
        <v>11</v>
      </c>
      <c r="J345">
        <v>11</v>
      </c>
      <c r="K345" s="6">
        <v>100</v>
      </c>
      <c r="L345" s="6">
        <v>0</v>
      </c>
      <c r="M345" s="6">
        <v>100</v>
      </c>
      <c r="N345">
        <v>0</v>
      </c>
      <c r="O345" s="6">
        <v>0</v>
      </c>
      <c r="P345">
        <v>0</v>
      </c>
      <c r="Q345" s="8">
        <v>180.47</v>
      </c>
      <c r="R345" s="8">
        <v>180.47</v>
      </c>
      <c r="S345" s="10" t="s">
        <v>529</v>
      </c>
    </row>
    <row r="346" spans="1:19" hidden="1" x14ac:dyDescent="0.25">
      <c r="A346" t="s">
        <v>123</v>
      </c>
      <c r="B346" t="s">
        <v>75</v>
      </c>
      <c r="C346" t="s">
        <v>124</v>
      </c>
      <c r="D346" t="s">
        <v>583</v>
      </c>
      <c r="E346" t="s">
        <v>94</v>
      </c>
      <c r="F346" t="s">
        <v>94</v>
      </c>
      <c r="G346">
        <v>0</v>
      </c>
      <c r="H346">
        <v>10</v>
      </c>
      <c r="I346">
        <v>10</v>
      </c>
      <c r="J346">
        <v>10</v>
      </c>
      <c r="K346" s="6">
        <v>100</v>
      </c>
      <c r="L346" s="6">
        <v>0</v>
      </c>
      <c r="M346" s="6">
        <v>100</v>
      </c>
      <c r="N346">
        <v>0</v>
      </c>
      <c r="O346" s="6">
        <v>0</v>
      </c>
      <c r="P346">
        <v>0</v>
      </c>
      <c r="Q346" s="8">
        <v>213.87</v>
      </c>
      <c r="R346" s="8">
        <v>213.87</v>
      </c>
      <c r="S346" s="9" t="s">
        <v>584</v>
      </c>
    </row>
    <row r="347" spans="1:19" hidden="1" x14ac:dyDescent="0.25">
      <c r="A347" t="s">
        <v>123</v>
      </c>
      <c r="B347" t="s">
        <v>75</v>
      </c>
      <c r="C347" t="s">
        <v>124</v>
      </c>
      <c r="D347" t="s">
        <v>583</v>
      </c>
      <c r="E347" t="s">
        <v>94</v>
      </c>
      <c r="F347" t="s">
        <v>96</v>
      </c>
      <c r="G347">
        <v>4</v>
      </c>
      <c r="H347">
        <v>10</v>
      </c>
      <c r="I347">
        <v>10</v>
      </c>
      <c r="J347">
        <v>10</v>
      </c>
      <c r="K347" s="6">
        <v>100</v>
      </c>
      <c r="L347" s="6">
        <v>0</v>
      </c>
      <c r="M347" s="6">
        <v>100</v>
      </c>
      <c r="N347">
        <v>0</v>
      </c>
      <c r="O347" s="6">
        <v>0</v>
      </c>
      <c r="P347">
        <v>0</v>
      </c>
      <c r="Q347" s="8">
        <v>213.87</v>
      </c>
      <c r="R347" s="8">
        <v>213.87</v>
      </c>
      <c r="S347" s="10" t="s">
        <v>131</v>
      </c>
    </row>
    <row r="348" spans="1:19" x14ac:dyDescent="0.25">
      <c r="A348" t="s">
        <v>123</v>
      </c>
      <c r="B348" t="s">
        <v>75</v>
      </c>
      <c r="C348" t="s">
        <v>124</v>
      </c>
      <c r="D348" t="s">
        <v>583</v>
      </c>
      <c r="E348" t="s">
        <v>94</v>
      </c>
      <c r="F348" t="s">
        <v>6</v>
      </c>
      <c r="G348">
        <v>11</v>
      </c>
      <c r="H348">
        <v>10</v>
      </c>
      <c r="I348">
        <v>10</v>
      </c>
      <c r="J348">
        <v>10</v>
      </c>
      <c r="K348" s="6">
        <v>100</v>
      </c>
      <c r="L348" s="6">
        <v>0</v>
      </c>
      <c r="M348" s="6">
        <v>100</v>
      </c>
      <c r="N348">
        <v>0</v>
      </c>
      <c r="O348" s="6">
        <v>0</v>
      </c>
      <c r="P348">
        <v>0</v>
      </c>
      <c r="Q348" s="8">
        <v>213.87</v>
      </c>
      <c r="R348" s="8">
        <v>213.87</v>
      </c>
      <c r="S348" s="10" t="s">
        <v>131</v>
      </c>
    </row>
    <row r="349" spans="1:19" hidden="1" x14ac:dyDescent="0.25">
      <c r="A349" t="s">
        <v>123</v>
      </c>
      <c r="B349" t="s">
        <v>75</v>
      </c>
      <c r="C349" t="s">
        <v>124</v>
      </c>
      <c r="D349" t="s">
        <v>585</v>
      </c>
      <c r="E349" t="s">
        <v>94</v>
      </c>
      <c r="F349" t="s">
        <v>94</v>
      </c>
      <c r="G349">
        <v>0</v>
      </c>
      <c r="H349">
        <v>12</v>
      </c>
      <c r="I349">
        <v>12</v>
      </c>
      <c r="J349">
        <v>12</v>
      </c>
      <c r="K349" s="6">
        <v>100</v>
      </c>
      <c r="L349" s="6">
        <v>0</v>
      </c>
      <c r="M349" s="6">
        <v>100</v>
      </c>
      <c r="N349">
        <v>0</v>
      </c>
      <c r="O349" s="6">
        <v>0</v>
      </c>
      <c r="P349">
        <v>0</v>
      </c>
      <c r="Q349" s="8">
        <v>207.35</v>
      </c>
      <c r="R349" s="8">
        <v>207.35</v>
      </c>
      <c r="S349" s="9" t="s">
        <v>586</v>
      </c>
    </row>
    <row r="350" spans="1:19" hidden="1" x14ac:dyDescent="0.25">
      <c r="A350" t="s">
        <v>123</v>
      </c>
      <c r="B350" t="s">
        <v>75</v>
      </c>
      <c r="C350" t="s">
        <v>124</v>
      </c>
      <c r="D350" t="s">
        <v>585</v>
      </c>
      <c r="E350" t="s">
        <v>94</v>
      </c>
      <c r="F350" t="s">
        <v>96</v>
      </c>
      <c r="G350">
        <v>4</v>
      </c>
      <c r="H350">
        <v>12</v>
      </c>
      <c r="I350">
        <v>12</v>
      </c>
      <c r="J350">
        <v>12</v>
      </c>
      <c r="K350" s="6">
        <v>100</v>
      </c>
      <c r="L350" s="6">
        <v>0</v>
      </c>
      <c r="M350" s="6">
        <v>100</v>
      </c>
      <c r="N350">
        <v>0</v>
      </c>
      <c r="O350" s="6">
        <v>0</v>
      </c>
      <c r="P350">
        <v>0</v>
      </c>
      <c r="Q350" s="8">
        <v>207.35</v>
      </c>
      <c r="R350" s="8">
        <v>207.35</v>
      </c>
      <c r="S350" s="10" t="s">
        <v>587</v>
      </c>
    </row>
    <row r="351" spans="1:19" x14ac:dyDescent="0.25">
      <c r="A351" t="s">
        <v>123</v>
      </c>
      <c r="B351" t="s">
        <v>75</v>
      </c>
      <c r="C351" t="s">
        <v>124</v>
      </c>
      <c r="D351" t="s">
        <v>585</v>
      </c>
      <c r="E351" t="s">
        <v>94</v>
      </c>
      <c r="F351" t="s">
        <v>6</v>
      </c>
      <c r="G351">
        <v>11</v>
      </c>
      <c r="H351">
        <v>12</v>
      </c>
      <c r="I351">
        <v>12</v>
      </c>
      <c r="J351">
        <v>12</v>
      </c>
      <c r="K351" s="6">
        <v>100</v>
      </c>
      <c r="L351" s="6">
        <v>0</v>
      </c>
      <c r="M351" s="6">
        <v>100</v>
      </c>
      <c r="N351">
        <v>0</v>
      </c>
      <c r="O351" s="6">
        <v>0</v>
      </c>
      <c r="P351">
        <v>0</v>
      </c>
      <c r="Q351" s="8">
        <v>207.35</v>
      </c>
      <c r="R351" s="8">
        <v>207.35</v>
      </c>
      <c r="S351" s="10" t="s">
        <v>587</v>
      </c>
    </row>
    <row r="352" spans="1:19" hidden="1" x14ac:dyDescent="0.25">
      <c r="A352" t="s">
        <v>123</v>
      </c>
      <c r="B352" t="s">
        <v>75</v>
      </c>
      <c r="C352" t="s">
        <v>124</v>
      </c>
      <c r="D352" t="s">
        <v>588</v>
      </c>
      <c r="E352" t="s">
        <v>94</v>
      </c>
      <c r="F352" t="s">
        <v>94</v>
      </c>
      <c r="G352">
        <v>0</v>
      </c>
      <c r="H352">
        <v>11</v>
      </c>
      <c r="I352">
        <v>11</v>
      </c>
      <c r="J352">
        <v>11</v>
      </c>
      <c r="K352" s="6">
        <v>100</v>
      </c>
      <c r="L352" s="6">
        <v>0</v>
      </c>
      <c r="M352" s="6">
        <v>100</v>
      </c>
      <c r="N352">
        <v>0</v>
      </c>
      <c r="O352" s="6">
        <v>0</v>
      </c>
      <c r="P352">
        <v>0</v>
      </c>
      <c r="Q352" s="8">
        <v>158.65</v>
      </c>
      <c r="R352" s="8">
        <v>158.65</v>
      </c>
      <c r="S352" s="9" t="s">
        <v>528</v>
      </c>
    </row>
    <row r="353" spans="1:19" hidden="1" x14ac:dyDescent="0.25">
      <c r="A353" t="s">
        <v>123</v>
      </c>
      <c r="B353" t="s">
        <v>75</v>
      </c>
      <c r="C353" t="s">
        <v>124</v>
      </c>
      <c r="D353" t="s">
        <v>588</v>
      </c>
      <c r="E353" t="s">
        <v>94</v>
      </c>
      <c r="F353" t="s">
        <v>96</v>
      </c>
      <c r="G353">
        <v>4</v>
      </c>
      <c r="H353">
        <v>11</v>
      </c>
      <c r="I353">
        <v>11</v>
      </c>
      <c r="J353">
        <v>11</v>
      </c>
      <c r="K353" s="6">
        <v>100</v>
      </c>
      <c r="L353" s="6">
        <v>0</v>
      </c>
      <c r="M353" s="6">
        <v>100</v>
      </c>
      <c r="N353">
        <v>0</v>
      </c>
      <c r="O353" s="6">
        <v>0</v>
      </c>
      <c r="P353">
        <v>0</v>
      </c>
      <c r="Q353" s="8">
        <v>158.65</v>
      </c>
      <c r="R353" s="8">
        <v>158.65</v>
      </c>
      <c r="S353" s="10" t="s">
        <v>529</v>
      </c>
    </row>
    <row r="354" spans="1:19" x14ac:dyDescent="0.25">
      <c r="A354" t="s">
        <v>123</v>
      </c>
      <c r="B354" t="s">
        <v>75</v>
      </c>
      <c r="C354" t="s">
        <v>124</v>
      </c>
      <c r="D354" t="s">
        <v>588</v>
      </c>
      <c r="E354" t="s">
        <v>94</v>
      </c>
      <c r="F354" t="s">
        <v>6</v>
      </c>
      <c r="G354">
        <v>11</v>
      </c>
      <c r="H354">
        <v>11</v>
      </c>
      <c r="I354">
        <v>11</v>
      </c>
      <c r="J354">
        <v>11</v>
      </c>
      <c r="K354" s="6">
        <v>100</v>
      </c>
      <c r="L354" s="6">
        <v>0</v>
      </c>
      <c r="M354" s="6">
        <v>100</v>
      </c>
      <c r="N354">
        <v>0</v>
      </c>
      <c r="O354" s="6">
        <v>0</v>
      </c>
      <c r="P354">
        <v>0</v>
      </c>
      <c r="Q354" s="8">
        <v>158.65</v>
      </c>
      <c r="R354" s="8">
        <v>158.65</v>
      </c>
      <c r="S354" s="10" t="s">
        <v>529</v>
      </c>
    </row>
    <row r="355" spans="1:19" hidden="1" x14ac:dyDescent="0.25">
      <c r="A355" t="s">
        <v>123</v>
      </c>
      <c r="B355" t="s">
        <v>75</v>
      </c>
      <c r="C355" t="s">
        <v>124</v>
      </c>
      <c r="D355" t="s">
        <v>589</v>
      </c>
      <c r="E355" t="s">
        <v>94</v>
      </c>
      <c r="F355" t="s">
        <v>94</v>
      </c>
      <c r="G355">
        <v>0</v>
      </c>
      <c r="H355">
        <v>6</v>
      </c>
      <c r="I355">
        <v>6</v>
      </c>
      <c r="J355">
        <v>6</v>
      </c>
      <c r="K355" s="6">
        <v>100</v>
      </c>
      <c r="L355" s="6">
        <v>0</v>
      </c>
      <c r="M355" s="6">
        <v>100</v>
      </c>
      <c r="N355">
        <v>0</v>
      </c>
      <c r="O355" s="6">
        <v>0</v>
      </c>
      <c r="P355">
        <v>0</v>
      </c>
      <c r="Q355" s="8">
        <v>156.06</v>
      </c>
      <c r="R355" s="8">
        <v>156.06</v>
      </c>
      <c r="S355" s="9" t="s">
        <v>534</v>
      </c>
    </row>
    <row r="356" spans="1:19" hidden="1" x14ac:dyDescent="0.25">
      <c r="A356" t="s">
        <v>123</v>
      </c>
      <c r="B356" t="s">
        <v>75</v>
      </c>
      <c r="C356" t="s">
        <v>124</v>
      </c>
      <c r="D356" t="s">
        <v>589</v>
      </c>
      <c r="E356" t="s">
        <v>94</v>
      </c>
      <c r="F356" t="s">
        <v>96</v>
      </c>
      <c r="G356">
        <v>4</v>
      </c>
      <c r="H356">
        <v>6</v>
      </c>
      <c r="I356">
        <v>6</v>
      </c>
      <c r="J356">
        <v>6</v>
      </c>
      <c r="K356" s="6">
        <v>92.52</v>
      </c>
      <c r="L356" s="6">
        <v>0</v>
      </c>
      <c r="M356" s="6">
        <v>92.52</v>
      </c>
      <c r="N356">
        <v>0</v>
      </c>
      <c r="O356" s="6">
        <v>0</v>
      </c>
      <c r="P356">
        <v>0</v>
      </c>
      <c r="Q356" s="8">
        <v>156.06</v>
      </c>
      <c r="R356" s="8">
        <v>144.38999999999999</v>
      </c>
      <c r="S356" s="9" t="s">
        <v>535</v>
      </c>
    </row>
    <row r="357" spans="1:19" x14ac:dyDescent="0.25">
      <c r="A357" t="s">
        <v>123</v>
      </c>
      <c r="B357" t="s">
        <v>75</v>
      </c>
      <c r="C357" t="s">
        <v>124</v>
      </c>
      <c r="D357" t="s">
        <v>589</v>
      </c>
      <c r="E357" t="s">
        <v>94</v>
      </c>
      <c r="F357" t="s">
        <v>6</v>
      </c>
      <c r="G357">
        <v>11</v>
      </c>
      <c r="H357">
        <v>6</v>
      </c>
      <c r="I357">
        <v>6</v>
      </c>
      <c r="J357">
        <v>6</v>
      </c>
      <c r="K357" s="6">
        <v>92.52</v>
      </c>
      <c r="L357" s="6">
        <v>0</v>
      </c>
      <c r="M357" s="6">
        <v>92.52</v>
      </c>
      <c r="N357">
        <v>0</v>
      </c>
      <c r="O357" s="6">
        <v>0</v>
      </c>
      <c r="P357">
        <v>0</v>
      </c>
      <c r="Q357" s="8">
        <v>156.06</v>
      </c>
      <c r="R357" s="8">
        <v>144.38999999999999</v>
      </c>
      <c r="S357" s="9" t="s">
        <v>535</v>
      </c>
    </row>
    <row r="358" spans="1:19" hidden="1" x14ac:dyDescent="0.25">
      <c r="A358" t="s">
        <v>123</v>
      </c>
      <c r="B358" t="s">
        <v>75</v>
      </c>
      <c r="C358" t="s">
        <v>124</v>
      </c>
      <c r="D358" t="s">
        <v>590</v>
      </c>
      <c r="E358" t="s">
        <v>94</v>
      </c>
      <c r="F358" t="s">
        <v>94</v>
      </c>
      <c r="G358">
        <v>0</v>
      </c>
      <c r="H358">
        <v>5</v>
      </c>
      <c r="I358">
        <v>5</v>
      </c>
      <c r="J358">
        <v>5</v>
      </c>
      <c r="K358" s="6">
        <v>100</v>
      </c>
      <c r="L358" s="6">
        <v>0</v>
      </c>
      <c r="M358" s="6">
        <v>100</v>
      </c>
      <c r="N358">
        <v>0</v>
      </c>
      <c r="O358" s="6">
        <v>0</v>
      </c>
      <c r="P358">
        <v>0</v>
      </c>
      <c r="Q358" s="8">
        <v>145.13</v>
      </c>
      <c r="R358" s="8">
        <v>145.13</v>
      </c>
      <c r="S358" s="9" t="s">
        <v>538</v>
      </c>
    </row>
    <row r="359" spans="1:19" hidden="1" x14ac:dyDescent="0.25">
      <c r="A359" t="s">
        <v>123</v>
      </c>
      <c r="B359" t="s">
        <v>75</v>
      </c>
      <c r="C359" t="s">
        <v>124</v>
      </c>
      <c r="D359" t="s">
        <v>590</v>
      </c>
      <c r="E359" t="s">
        <v>94</v>
      </c>
      <c r="F359" t="s">
        <v>96</v>
      </c>
      <c r="G359">
        <v>4</v>
      </c>
      <c r="H359">
        <v>5</v>
      </c>
      <c r="I359">
        <v>5</v>
      </c>
      <c r="J359">
        <v>5</v>
      </c>
      <c r="K359" s="6">
        <v>99.08</v>
      </c>
      <c r="L359" s="6">
        <v>0</v>
      </c>
      <c r="M359" s="6">
        <v>99.08</v>
      </c>
      <c r="N359">
        <v>0</v>
      </c>
      <c r="O359" s="6">
        <v>0</v>
      </c>
      <c r="P359">
        <v>0</v>
      </c>
      <c r="Q359" s="8">
        <v>145.13</v>
      </c>
      <c r="R359" s="8">
        <v>143.80000000000001</v>
      </c>
      <c r="S359" s="9" t="s">
        <v>133</v>
      </c>
    </row>
    <row r="360" spans="1:19" x14ac:dyDescent="0.25">
      <c r="A360" t="s">
        <v>123</v>
      </c>
      <c r="B360" t="s">
        <v>75</v>
      </c>
      <c r="C360" t="s">
        <v>124</v>
      </c>
      <c r="D360" t="s">
        <v>590</v>
      </c>
      <c r="E360" t="s">
        <v>94</v>
      </c>
      <c r="F360" t="s">
        <v>6</v>
      </c>
      <c r="G360">
        <v>11</v>
      </c>
      <c r="H360">
        <v>5</v>
      </c>
      <c r="I360">
        <v>5</v>
      </c>
      <c r="J360">
        <v>5</v>
      </c>
      <c r="K360" s="6">
        <v>99.08</v>
      </c>
      <c r="L360" s="6">
        <v>0</v>
      </c>
      <c r="M360" s="6">
        <v>99.08</v>
      </c>
      <c r="N360">
        <v>0</v>
      </c>
      <c r="O360" s="6">
        <v>0</v>
      </c>
      <c r="P360">
        <v>0</v>
      </c>
      <c r="Q360" s="8">
        <v>145.13</v>
      </c>
      <c r="R360" s="8">
        <v>143.80000000000001</v>
      </c>
      <c r="S360" s="9" t="s">
        <v>133</v>
      </c>
    </row>
    <row r="361" spans="1:19" hidden="1" x14ac:dyDescent="0.25">
      <c r="A361" t="s">
        <v>123</v>
      </c>
      <c r="B361" t="s">
        <v>75</v>
      </c>
      <c r="C361" t="s">
        <v>126</v>
      </c>
      <c r="D361" t="s">
        <v>539</v>
      </c>
      <c r="E361" t="s">
        <v>91</v>
      </c>
      <c r="F361" t="s">
        <v>91</v>
      </c>
      <c r="G361">
        <v>0</v>
      </c>
      <c r="H361">
        <v>88</v>
      </c>
      <c r="I361">
        <v>88</v>
      </c>
      <c r="J361">
        <v>88</v>
      </c>
      <c r="K361" s="6">
        <v>100</v>
      </c>
      <c r="L361" s="6">
        <v>0</v>
      </c>
      <c r="M361" s="6">
        <v>100</v>
      </c>
      <c r="N361">
        <v>0</v>
      </c>
      <c r="O361" s="6">
        <v>0</v>
      </c>
      <c r="P361">
        <v>0</v>
      </c>
      <c r="Q361" s="8">
        <v>98.96</v>
      </c>
      <c r="R361" s="8">
        <v>98.96</v>
      </c>
      <c r="S361" s="9" t="s">
        <v>591</v>
      </c>
    </row>
    <row r="362" spans="1:19" hidden="1" x14ac:dyDescent="0.25">
      <c r="A362" t="s">
        <v>123</v>
      </c>
      <c r="B362" t="s">
        <v>75</v>
      </c>
      <c r="C362" t="s">
        <v>126</v>
      </c>
      <c r="D362" t="s">
        <v>539</v>
      </c>
      <c r="E362" t="s">
        <v>91</v>
      </c>
      <c r="F362" t="s">
        <v>94</v>
      </c>
      <c r="G362">
        <v>1</v>
      </c>
      <c r="H362">
        <v>88</v>
      </c>
      <c r="I362">
        <v>85</v>
      </c>
      <c r="J362">
        <v>84</v>
      </c>
      <c r="K362" s="6">
        <v>100.76</v>
      </c>
      <c r="L362" s="6">
        <v>0</v>
      </c>
      <c r="M362" s="6">
        <v>100.61</v>
      </c>
      <c r="N362">
        <v>-0.15</v>
      </c>
      <c r="O362" s="6">
        <v>4.5</v>
      </c>
      <c r="P362">
        <v>1</v>
      </c>
      <c r="Q362" s="8">
        <v>99.02</v>
      </c>
      <c r="R362" s="8">
        <v>99.77</v>
      </c>
      <c r="S362" t="s">
        <v>32</v>
      </c>
    </row>
    <row r="363" spans="1:19" hidden="1" x14ac:dyDescent="0.25">
      <c r="A363" t="s">
        <v>123</v>
      </c>
      <c r="B363" t="s">
        <v>75</v>
      </c>
      <c r="C363" t="s">
        <v>126</v>
      </c>
      <c r="D363" t="s">
        <v>539</v>
      </c>
      <c r="E363" t="s">
        <v>91</v>
      </c>
      <c r="F363" t="s">
        <v>96</v>
      </c>
      <c r="G363">
        <v>5</v>
      </c>
      <c r="H363">
        <v>88</v>
      </c>
      <c r="I363">
        <v>79</v>
      </c>
      <c r="J363">
        <v>77</v>
      </c>
      <c r="K363" s="6">
        <v>101.35</v>
      </c>
      <c r="L363" s="6">
        <v>0</v>
      </c>
      <c r="M363" s="6">
        <v>101.56</v>
      </c>
      <c r="N363">
        <v>0.21</v>
      </c>
      <c r="O363" s="6">
        <v>12.5</v>
      </c>
      <c r="P363">
        <v>2</v>
      </c>
      <c r="Q363" s="8">
        <v>98.25</v>
      </c>
      <c r="R363" s="8">
        <v>99.58</v>
      </c>
      <c r="S363" t="s">
        <v>32</v>
      </c>
    </row>
    <row r="364" spans="1:19" hidden="1" x14ac:dyDescent="0.25">
      <c r="A364" t="s">
        <v>123</v>
      </c>
      <c r="B364" t="s">
        <v>75</v>
      </c>
      <c r="C364" t="s">
        <v>126</v>
      </c>
      <c r="D364" t="s">
        <v>539</v>
      </c>
      <c r="E364" t="s">
        <v>91</v>
      </c>
      <c r="F364" t="s">
        <v>6</v>
      </c>
      <c r="G364">
        <v>12</v>
      </c>
      <c r="H364">
        <v>88</v>
      </c>
      <c r="I364">
        <v>59</v>
      </c>
      <c r="J364">
        <v>56</v>
      </c>
      <c r="K364" s="6">
        <v>101.85</v>
      </c>
      <c r="L364" s="6">
        <v>1.74</v>
      </c>
      <c r="M364" s="6">
        <v>100.19</v>
      </c>
      <c r="N364">
        <v>-1.66</v>
      </c>
      <c r="O364" s="6">
        <v>36.4</v>
      </c>
      <c r="P364">
        <v>3</v>
      </c>
      <c r="Q364" s="8">
        <v>97.44</v>
      </c>
      <c r="R364" s="8">
        <v>99.24</v>
      </c>
      <c r="S364" t="s">
        <v>32</v>
      </c>
    </row>
    <row r="365" spans="1:19" hidden="1" x14ac:dyDescent="0.25">
      <c r="A365" t="s">
        <v>123</v>
      </c>
      <c r="B365" t="s">
        <v>75</v>
      </c>
      <c r="C365" t="s">
        <v>126</v>
      </c>
      <c r="D365" t="s">
        <v>552</v>
      </c>
      <c r="E365" t="s">
        <v>91</v>
      </c>
      <c r="F365" t="s">
        <v>91</v>
      </c>
      <c r="G365">
        <v>0</v>
      </c>
      <c r="H365">
        <v>109</v>
      </c>
      <c r="I365">
        <v>109</v>
      </c>
      <c r="J365">
        <v>109</v>
      </c>
      <c r="K365" s="6">
        <v>100</v>
      </c>
      <c r="L365" s="6">
        <v>0</v>
      </c>
      <c r="M365" s="6">
        <v>100</v>
      </c>
      <c r="N365">
        <v>0</v>
      </c>
      <c r="O365" s="6">
        <v>0</v>
      </c>
      <c r="P365">
        <v>0</v>
      </c>
      <c r="Q365" s="8">
        <v>96.93</v>
      </c>
      <c r="R365" s="8">
        <v>96.93</v>
      </c>
      <c r="S365" s="9" t="s">
        <v>592</v>
      </c>
    </row>
    <row r="366" spans="1:19" hidden="1" x14ac:dyDescent="0.25">
      <c r="A366" t="s">
        <v>123</v>
      </c>
      <c r="B366" t="s">
        <v>75</v>
      </c>
      <c r="C366" t="s">
        <v>126</v>
      </c>
      <c r="D366" t="s">
        <v>552</v>
      </c>
      <c r="E366" t="s">
        <v>91</v>
      </c>
      <c r="F366" t="s">
        <v>94</v>
      </c>
      <c r="G366">
        <v>1</v>
      </c>
      <c r="H366">
        <v>109</v>
      </c>
      <c r="I366">
        <v>109</v>
      </c>
      <c r="J366">
        <v>109</v>
      </c>
      <c r="K366" s="6">
        <v>100.24</v>
      </c>
      <c r="L366" s="6">
        <v>0</v>
      </c>
      <c r="M366" s="6">
        <v>100.24</v>
      </c>
      <c r="N366">
        <v>0</v>
      </c>
      <c r="O366" s="6">
        <v>0</v>
      </c>
      <c r="P366">
        <v>0</v>
      </c>
      <c r="Q366" s="8">
        <v>96.93</v>
      </c>
      <c r="R366" s="8">
        <v>97.16</v>
      </c>
      <c r="S366" t="s">
        <v>32</v>
      </c>
    </row>
    <row r="367" spans="1:19" hidden="1" x14ac:dyDescent="0.25">
      <c r="A367" t="s">
        <v>123</v>
      </c>
      <c r="B367" t="s">
        <v>75</v>
      </c>
      <c r="C367" t="s">
        <v>126</v>
      </c>
      <c r="D367" t="s">
        <v>552</v>
      </c>
      <c r="E367" t="s">
        <v>91</v>
      </c>
      <c r="F367" t="s">
        <v>96</v>
      </c>
      <c r="G367">
        <v>5</v>
      </c>
      <c r="H367">
        <v>109</v>
      </c>
      <c r="I367">
        <v>108</v>
      </c>
      <c r="J367">
        <v>108</v>
      </c>
      <c r="K367" s="6">
        <v>100.22</v>
      </c>
      <c r="L367" s="6">
        <v>0</v>
      </c>
      <c r="M367" s="6">
        <v>100.16</v>
      </c>
      <c r="N367">
        <v>-0.06</v>
      </c>
      <c r="O367" s="6">
        <v>0.9</v>
      </c>
      <c r="P367">
        <v>0</v>
      </c>
      <c r="Q367" s="8">
        <v>96.88</v>
      </c>
      <c r="R367" s="8">
        <v>97.09</v>
      </c>
      <c r="S367" t="s">
        <v>32</v>
      </c>
    </row>
    <row r="368" spans="1:19" hidden="1" x14ac:dyDescent="0.25">
      <c r="A368" t="s">
        <v>123</v>
      </c>
      <c r="B368" t="s">
        <v>75</v>
      </c>
      <c r="C368" t="s">
        <v>126</v>
      </c>
      <c r="D368" t="s">
        <v>552</v>
      </c>
      <c r="E368" t="s">
        <v>91</v>
      </c>
      <c r="F368" t="s">
        <v>6</v>
      </c>
      <c r="G368">
        <v>12</v>
      </c>
      <c r="H368">
        <v>109</v>
      </c>
      <c r="I368">
        <v>106</v>
      </c>
      <c r="J368">
        <v>106</v>
      </c>
      <c r="K368" s="6">
        <v>99.52</v>
      </c>
      <c r="L368" s="6">
        <v>-1.48</v>
      </c>
      <c r="M368" s="6">
        <v>99.21</v>
      </c>
      <c r="N368">
        <v>-0.31</v>
      </c>
      <c r="O368" s="6">
        <v>2.8</v>
      </c>
      <c r="P368">
        <v>0</v>
      </c>
      <c r="Q368" s="8">
        <v>96.63</v>
      </c>
      <c r="R368" s="8">
        <v>96.16</v>
      </c>
      <c r="S368" t="s">
        <v>32</v>
      </c>
    </row>
    <row r="369" spans="1:19" hidden="1" x14ac:dyDescent="0.25">
      <c r="A369" t="s">
        <v>123</v>
      </c>
      <c r="B369" t="s">
        <v>75</v>
      </c>
      <c r="C369" t="s">
        <v>126</v>
      </c>
      <c r="D369" t="s">
        <v>554</v>
      </c>
      <c r="E369" t="s">
        <v>91</v>
      </c>
      <c r="F369" t="s">
        <v>91</v>
      </c>
      <c r="G369">
        <v>0</v>
      </c>
      <c r="H369">
        <v>108</v>
      </c>
      <c r="I369">
        <v>108</v>
      </c>
      <c r="J369">
        <v>108</v>
      </c>
      <c r="K369" s="6">
        <v>100</v>
      </c>
      <c r="L369" s="6">
        <v>0</v>
      </c>
      <c r="M369" s="6">
        <v>100</v>
      </c>
      <c r="N369">
        <v>0</v>
      </c>
      <c r="O369" s="6">
        <v>0</v>
      </c>
      <c r="P369">
        <v>0</v>
      </c>
      <c r="Q369" s="8">
        <v>124.91</v>
      </c>
      <c r="R369" s="8">
        <v>124.91</v>
      </c>
      <c r="S369" s="9" t="s">
        <v>593</v>
      </c>
    </row>
    <row r="370" spans="1:19" hidden="1" x14ac:dyDescent="0.25">
      <c r="A370" t="s">
        <v>123</v>
      </c>
      <c r="B370" t="s">
        <v>75</v>
      </c>
      <c r="C370" t="s">
        <v>126</v>
      </c>
      <c r="D370" t="s">
        <v>554</v>
      </c>
      <c r="E370" t="s">
        <v>91</v>
      </c>
      <c r="F370" t="s">
        <v>94</v>
      </c>
      <c r="G370">
        <v>1</v>
      </c>
      <c r="H370">
        <v>108</v>
      </c>
      <c r="I370">
        <v>109</v>
      </c>
      <c r="J370">
        <v>108</v>
      </c>
      <c r="K370" s="6">
        <v>100.15</v>
      </c>
      <c r="L370" s="6">
        <v>0</v>
      </c>
      <c r="M370" s="6">
        <v>99.88</v>
      </c>
      <c r="N370">
        <v>-0.27</v>
      </c>
      <c r="O370" s="6">
        <v>0</v>
      </c>
      <c r="P370">
        <v>1</v>
      </c>
      <c r="Q370" s="8">
        <v>124.91</v>
      </c>
      <c r="R370" s="8">
        <v>125.1</v>
      </c>
      <c r="S370" t="s">
        <v>32</v>
      </c>
    </row>
    <row r="371" spans="1:19" hidden="1" x14ac:dyDescent="0.25">
      <c r="A371" t="s">
        <v>123</v>
      </c>
      <c r="B371" t="s">
        <v>75</v>
      </c>
      <c r="C371" t="s">
        <v>126</v>
      </c>
      <c r="D371" t="s">
        <v>554</v>
      </c>
      <c r="E371" t="s">
        <v>91</v>
      </c>
      <c r="F371" t="s">
        <v>96</v>
      </c>
      <c r="G371">
        <v>5</v>
      </c>
      <c r="H371">
        <v>108</v>
      </c>
      <c r="I371">
        <v>109</v>
      </c>
      <c r="J371">
        <v>108</v>
      </c>
      <c r="K371" s="6">
        <v>100.04</v>
      </c>
      <c r="L371" s="6">
        <v>0</v>
      </c>
      <c r="M371" s="6">
        <v>99.83</v>
      </c>
      <c r="N371">
        <v>-0.21</v>
      </c>
      <c r="O371" s="6">
        <v>0</v>
      </c>
      <c r="P371">
        <v>1</v>
      </c>
      <c r="Q371" s="8">
        <v>124.91</v>
      </c>
      <c r="R371" s="8">
        <v>124.96</v>
      </c>
      <c r="S371" t="s">
        <v>32</v>
      </c>
    </row>
    <row r="372" spans="1:19" hidden="1" x14ac:dyDescent="0.25">
      <c r="A372" t="s">
        <v>123</v>
      </c>
      <c r="B372" t="s">
        <v>75</v>
      </c>
      <c r="C372" t="s">
        <v>126</v>
      </c>
      <c r="D372" t="s">
        <v>554</v>
      </c>
      <c r="E372" t="s">
        <v>91</v>
      </c>
      <c r="F372" t="s">
        <v>6</v>
      </c>
      <c r="G372">
        <v>12</v>
      </c>
      <c r="H372">
        <v>108</v>
      </c>
      <c r="I372">
        <v>109</v>
      </c>
      <c r="J372">
        <v>108</v>
      </c>
      <c r="K372" s="6">
        <v>99.75</v>
      </c>
      <c r="L372" s="6">
        <v>-0.15</v>
      </c>
      <c r="M372" s="6">
        <v>99.52</v>
      </c>
      <c r="N372">
        <v>-0.23</v>
      </c>
      <c r="O372" s="6">
        <v>0</v>
      </c>
      <c r="P372">
        <v>1</v>
      </c>
      <c r="Q372" s="8">
        <v>124.91</v>
      </c>
      <c r="R372" s="8">
        <v>124.6</v>
      </c>
      <c r="S372" t="s">
        <v>32</v>
      </c>
    </row>
    <row r="373" spans="1:19" hidden="1" x14ac:dyDescent="0.25">
      <c r="A373" t="s">
        <v>123</v>
      </c>
      <c r="B373" t="s">
        <v>75</v>
      </c>
      <c r="C373" t="s">
        <v>126</v>
      </c>
      <c r="D373" t="s">
        <v>555</v>
      </c>
      <c r="E373" t="s">
        <v>90</v>
      </c>
      <c r="F373" t="s">
        <v>90</v>
      </c>
      <c r="G373">
        <v>0</v>
      </c>
      <c r="H373">
        <v>28</v>
      </c>
      <c r="I373">
        <v>28</v>
      </c>
      <c r="J373">
        <v>28</v>
      </c>
      <c r="K373" s="6">
        <v>100</v>
      </c>
      <c r="L373" s="6">
        <v>0</v>
      </c>
      <c r="M373" s="6">
        <v>100</v>
      </c>
      <c r="N373">
        <v>0</v>
      </c>
      <c r="O373" s="6">
        <v>0</v>
      </c>
      <c r="P373">
        <v>0</v>
      </c>
      <c r="Q373" s="8">
        <v>78.39</v>
      </c>
      <c r="R373" s="8">
        <v>78.39</v>
      </c>
      <c r="S373" s="9" t="s">
        <v>556</v>
      </c>
    </row>
    <row r="374" spans="1:19" hidden="1" x14ac:dyDescent="0.25">
      <c r="A374" t="s">
        <v>123</v>
      </c>
      <c r="B374" t="s">
        <v>75</v>
      </c>
      <c r="C374" t="s">
        <v>126</v>
      </c>
      <c r="D374" t="s">
        <v>555</v>
      </c>
      <c r="E374" t="s">
        <v>90</v>
      </c>
      <c r="F374" t="s">
        <v>91</v>
      </c>
      <c r="G374">
        <v>1</v>
      </c>
      <c r="H374">
        <v>28</v>
      </c>
      <c r="I374">
        <v>96</v>
      </c>
      <c r="J374">
        <v>28</v>
      </c>
      <c r="K374" s="6">
        <v>100.15</v>
      </c>
      <c r="L374" s="6">
        <v>0</v>
      </c>
      <c r="M374" s="6">
        <v>102.76</v>
      </c>
      <c r="N374">
        <v>2.61</v>
      </c>
      <c r="O374" s="6">
        <v>0</v>
      </c>
      <c r="P374">
        <v>68</v>
      </c>
      <c r="Q374" s="8">
        <v>78.39</v>
      </c>
      <c r="R374" s="8">
        <v>78.510000000000005</v>
      </c>
      <c r="S374" s="10" t="s">
        <v>483</v>
      </c>
    </row>
    <row r="375" spans="1:19" hidden="1" x14ac:dyDescent="0.25">
      <c r="A375" t="s">
        <v>123</v>
      </c>
      <c r="B375" t="s">
        <v>75</v>
      </c>
      <c r="C375" t="s">
        <v>126</v>
      </c>
      <c r="D375" t="s">
        <v>555</v>
      </c>
      <c r="E375" t="s">
        <v>90</v>
      </c>
      <c r="F375" t="s">
        <v>94</v>
      </c>
      <c r="G375">
        <v>2</v>
      </c>
      <c r="H375">
        <v>28</v>
      </c>
      <c r="I375">
        <v>97</v>
      </c>
      <c r="J375">
        <v>28</v>
      </c>
      <c r="K375" s="6">
        <v>100.09</v>
      </c>
      <c r="L375" s="6">
        <v>0</v>
      </c>
      <c r="M375" s="6">
        <v>103.09</v>
      </c>
      <c r="N375">
        <v>3</v>
      </c>
      <c r="O375" s="6">
        <v>0</v>
      </c>
      <c r="P375">
        <v>69</v>
      </c>
      <c r="Q375" s="8">
        <v>78.39</v>
      </c>
      <c r="R375" s="8">
        <v>78.459999999999994</v>
      </c>
      <c r="S375" s="10" t="s">
        <v>483</v>
      </c>
    </row>
    <row r="376" spans="1:19" hidden="1" x14ac:dyDescent="0.25">
      <c r="A376" t="s">
        <v>123</v>
      </c>
      <c r="B376" t="s">
        <v>75</v>
      </c>
      <c r="C376" t="s">
        <v>126</v>
      </c>
      <c r="D376" t="s">
        <v>555</v>
      </c>
      <c r="E376" t="s">
        <v>90</v>
      </c>
      <c r="F376" t="s">
        <v>96</v>
      </c>
      <c r="G376">
        <v>6</v>
      </c>
      <c r="H376">
        <v>28</v>
      </c>
      <c r="I376">
        <v>96</v>
      </c>
      <c r="J376">
        <v>28</v>
      </c>
      <c r="K376" s="6">
        <v>100.59</v>
      </c>
      <c r="L376" s="6">
        <v>0</v>
      </c>
      <c r="M376" s="6">
        <v>102.96</v>
      </c>
      <c r="N376">
        <v>2.37</v>
      </c>
      <c r="O376" s="6">
        <v>0</v>
      </c>
      <c r="P376">
        <v>68</v>
      </c>
      <c r="Q376" s="8">
        <v>78.39</v>
      </c>
      <c r="R376" s="8">
        <v>78.849999999999994</v>
      </c>
      <c r="S376" s="10" t="s">
        <v>483</v>
      </c>
    </row>
    <row r="377" spans="1:19" hidden="1" x14ac:dyDescent="0.25">
      <c r="A377" t="s">
        <v>123</v>
      </c>
      <c r="B377" t="s">
        <v>75</v>
      </c>
      <c r="C377" t="s">
        <v>126</v>
      </c>
      <c r="D377" t="s">
        <v>555</v>
      </c>
      <c r="E377" t="s">
        <v>90</v>
      </c>
      <c r="F377" t="s">
        <v>6</v>
      </c>
      <c r="G377">
        <v>13</v>
      </c>
      <c r="H377">
        <v>28</v>
      </c>
      <c r="I377">
        <v>96</v>
      </c>
      <c r="J377">
        <v>28</v>
      </c>
      <c r="K377" s="6">
        <v>99.89</v>
      </c>
      <c r="L377" s="6">
        <v>0</v>
      </c>
      <c r="M377" s="6">
        <v>101.84</v>
      </c>
      <c r="N377">
        <v>1.95</v>
      </c>
      <c r="O377" s="6">
        <v>0</v>
      </c>
      <c r="P377">
        <v>68</v>
      </c>
      <c r="Q377" s="8">
        <v>78.39</v>
      </c>
      <c r="R377" s="8">
        <v>78.3</v>
      </c>
      <c r="S377" s="10" t="s">
        <v>483</v>
      </c>
    </row>
    <row r="378" spans="1:19" hidden="1" x14ac:dyDescent="0.25">
      <c r="A378" t="s">
        <v>123</v>
      </c>
      <c r="B378" t="s">
        <v>75</v>
      </c>
      <c r="C378" t="s">
        <v>126</v>
      </c>
      <c r="D378" t="s">
        <v>557</v>
      </c>
      <c r="E378" t="s">
        <v>90</v>
      </c>
      <c r="F378" t="s">
        <v>90</v>
      </c>
      <c r="G378">
        <v>0</v>
      </c>
      <c r="H378">
        <v>27</v>
      </c>
      <c r="I378">
        <v>27</v>
      </c>
      <c r="J378">
        <v>27</v>
      </c>
      <c r="K378" s="6">
        <v>100</v>
      </c>
      <c r="L378" s="6">
        <v>0</v>
      </c>
      <c r="M378" s="6">
        <v>100</v>
      </c>
      <c r="N378">
        <v>0</v>
      </c>
      <c r="O378" s="6">
        <v>0</v>
      </c>
      <c r="P378">
        <v>0</v>
      </c>
      <c r="Q378" s="8">
        <v>86.98</v>
      </c>
      <c r="R378" s="8">
        <v>86.98</v>
      </c>
      <c r="S378" s="9" t="s">
        <v>558</v>
      </c>
    </row>
    <row r="379" spans="1:19" hidden="1" x14ac:dyDescent="0.25">
      <c r="A379" t="s">
        <v>123</v>
      </c>
      <c r="B379" t="s">
        <v>75</v>
      </c>
      <c r="C379" t="s">
        <v>126</v>
      </c>
      <c r="D379" t="s">
        <v>557</v>
      </c>
      <c r="E379" t="s">
        <v>90</v>
      </c>
      <c r="F379" t="s">
        <v>91</v>
      </c>
      <c r="G379">
        <v>1</v>
      </c>
      <c r="H379">
        <v>27</v>
      </c>
      <c r="I379">
        <v>99</v>
      </c>
      <c r="J379">
        <v>27</v>
      </c>
      <c r="K379" s="6">
        <v>100.26</v>
      </c>
      <c r="L379" s="6">
        <v>0</v>
      </c>
      <c r="M379" s="6">
        <v>101.57</v>
      </c>
      <c r="N379">
        <v>1.31</v>
      </c>
      <c r="O379" s="6">
        <v>0</v>
      </c>
      <c r="P379">
        <v>72</v>
      </c>
      <c r="Q379" s="8">
        <v>86.98</v>
      </c>
      <c r="R379" s="8">
        <v>87.21</v>
      </c>
      <c r="S379" s="10" t="s">
        <v>559</v>
      </c>
    </row>
    <row r="380" spans="1:19" hidden="1" x14ac:dyDescent="0.25">
      <c r="A380" t="s">
        <v>123</v>
      </c>
      <c r="B380" t="s">
        <v>75</v>
      </c>
      <c r="C380" t="s">
        <v>126</v>
      </c>
      <c r="D380" t="s">
        <v>557</v>
      </c>
      <c r="E380" t="s">
        <v>90</v>
      </c>
      <c r="F380" t="s">
        <v>94</v>
      </c>
      <c r="G380">
        <v>2</v>
      </c>
      <c r="H380">
        <v>27</v>
      </c>
      <c r="I380">
        <v>99</v>
      </c>
      <c r="J380">
        <v>27</v>
      </c>
      <c r="K380" s="6">
        <v>99.84</v>
      </c>
      <c r="L380" s="6">
        <v>0</v>
      </c>
      <c r="M380" s="6">
        <v>101.51</v>
      </c>
      <c r="N380">
        <v>1.67</v>
      </c>
      <c r="O380" s="6">
        <v>0</v>
      </c>
      <c r="P380">
        <v>72</v>
      </c>
      <c r="Q380" s="8">
        <v>86.98</v>
      </c>
      <c r="R380" s="8">
        <v>86.85</v>
      </c>
      <c r="S380" s="10" t="s">
        <v>559</v>
      </c>
    </row>
    <row r="381" spans="1:19" hidden="1" x14ac:dyDescent="0.25">
      <c r="A381" t="s">
        <v>123</v>
      </c>
      <c r="B381" t="s">
        <v>75</v>
      </c>
      <c r="C381" t="s">
        <v>126</v>
      </c>
      <c r="D381" t="s">
        <v>557</v>
      </c>
      <c r="E381" t="s">
        <v>90</v>
      </c>
      <c r="F381" t="s">
        <v>96</v>
      </c>
      <c r="G381">
        <v>6</v>
      </c>
      <c r="H381">
        <v>27</v>
      </c>
      <c r="I381">
        <v>99</v>
      </c>
      <c r="J381">
        <v>27</v>
      </c>
      <c r="K381" s="6">
        <v>101.46</v>
      </c>
      <c r="L381" s="6">
        <v>0</v>
      </c>
      <c r="M381" s="6">
        <v>102.08</v>
      </c>
      <c r="N381">
        <v>0.62</v>
      </c>
      <c r="O381" s="6">
        <v>0</v>
      </c>
      <c r="P381">
        <v>72</v>
      </c>
      <c r="Q381" s="8">
        <v>86.98</v>
      </c>
      <c r="R381" s="8">
        <v>88.26</v>
      </c>
      <c r="S381" s="10" t="s">
        <v>559</v>
      </c>
    </row>
    <row r="382" spans="1:19" hidden="1" x14ac:dyDescent="0.25">
      <c r="A382" t="s">
        <v>123</v>
      </c>
      <c r="B382" t="s">
        <v>75</v>
      </c>
      <c r="C382" t="s">
        <v>126</v>
      </c>
      <c r="D382" t="s">
        <v>557</v>
      </c>
      <c r="E382" t="s">
        <v>90</v>
      </c>
      <c r="F382" t="s">
        <v>6</v>
      </c>
      <c r="G382">
        <v>13</v>
      </c>
      <c r="H382">
        <v>27</v>
      </c>
      <c r="I382">
        <v>99</v>
      </c>
      <c r="J382">
        <v>27</v>
      </c>
      <c r="K382" s="6">
        <v>101.38</v>
      </c>
      <c r="L382" s="6">
        <v>-0.24</v>
      </c>
      <c r="M382" s="6">
        <v>101.54</v>
      </c>
      <c r="N382">
        <v>0.16</v>
      </c>
      <c r="O382" s="6">
        <v>0</v>
      </c>
      <c r="P382">
        <v>72</v>
      </c>
      <c r="Q382" s="8">
        <v>86.98</v>
      </c>
      <c r="R382" s="8">
        <v>88.19</v>
      </c>
      <c r="S382" s="10" t="s">
        <v>559</v>
      </c>
    </row>
    <row r="383" spans="1:19" hidden="1" x14ac:dyDescent="0.25">
      <c r="A383" t="s">
        <v>123</v>
      </c>
      <c r="B383" t="s">
        <v>75</v>
      </c>
      <c r="C383" t="s">
        <v>126</v>
      </c>
      <c r="D383" t="s">
        <v>560</v>
      </c>
      <c r="E383" t="s">
        <v>90</v>
      </c>
      <c r="F383" t="s">
        <v>90</v>
      </c>
      <c r="G383">
        <v>0</v>
      </c>
      <c r="H383">
        <v>33</v>
      </c>
      <c r="I383">
        <v>33</v>
      </c>
      <c r="J383">
        <v>33</v>
      </c>
      <c r="K383" s="6">
        <v>100</v>
      </c>
      <c r="L383" s="6">
        <v>0</v>
      </c>
      <c r="M383" s="6">
        <v>100</v>
      </c>
      <c r="N383">
        <v>0</v>
      </c>
      <c r="O383" s="6">
        <v>0</v>
      </c>
      <c r="P383">
        <v>0</v>
      </c>
      <c r="Q383" s="8">
        <v>106.24</v>
      </c>
      <c r="R383" s="8">
        <v>106.24</v>
      </c>
      <c r="S383" s="9" t="s">
        <v>561</v>
      </c>
    </row>
    <row r="384" spans="1:19" hidden="1" x14ac:dyDescent="0.25">
      <c r="A384" t="s">
        <v>123</v>
      </c>
      <c r="B384" t="s">
        <v>75</v>
      </c>
      <c r="C384" t="s">
        <v>126</v>
      </c>
      <c r="D384" t="s">
        <v>560</v>
      </c>
      <c r="E384" t="s">
        <v>90</v>
      </c>
      <c r="F384" t="s">
        <v>91</v>
      </c>
      <c r="G384">
        <v>1</v>
      </c>
      <c r="H384">
        <v>33</v>
      </c>
      <c r="I384">
        <v>113</v>
      </c>
      <c r="J384">
        <v>33</v>
      </c>
      <c r="K384" s="6">
        <v>99.78</v>
      </c>
      <c r="L384" s="6">
        <v>0</v>
      </c>
      <c r="M384" s="6">
        <v>102.72</v>
      </c>
      <c r="N384">
        <v>2.94</v>
      </c>
      <c r="O384" s="6">
        <v>0</v>
      </c>
      <c r="P384">
        <v>80</v>
      </c>
      <c r="Q384" s="8">
        <v>106.24</v>
      </c>
      <c r="R384" s="8">
        <v>106.01</v>
      </c>
      <c r="S384" t="s">
        <v>32</v>
      </c>
    </row>
    <row r="385" spans="1:19" hidden="1" x14ac:dyDescent="0.25">
      <c r="A385" t="s">
        <v>123</v>
      </c>
      <c r="B385" t="s">
        <v>75</v>
      </c>
      <c r="C385" t="s">
        <v>126</v>
      </c>
      <c r="D385" t="s">
        <v>560</v>
      </c>
      <c r="E385" t="s">
        <v>90</v>
      </c>
      <c r="F385" t="s">
        <v>94</v>
      </c>
      <c r="G385">
        <v>2</v>
      </c>
      <c r="H385">
        <v>33</v>
      </c>
      <c r="I385">
        <v>113</v>
      </c>
      <c r="J385">
        <v>33</v>
      </c>
      <c r="K385" s="6">
        <v>99.81</v>
      </c>
      <c r="L385" s="6">
        <v>0</v>
      </c>
      <c r="M385" s="6">
        <v>102.93</v>
      </c>
      <c r="N385">
        <v>3.12</v>
      </c>
      <c r="O385" s="6">
        <v>0</v>
      </c>
      <c r="P385">
        <v>80</v>
      </c>
      <c r="Q385" s="8">
        <v>106.24</v>
      </c>
      <c r="R385" s="8">
        <v>106.04</v>
      </c>
      <c r="S385" t="s">
        <v>32</v>
      </c>
    </row>
    <row r="386" spans="1:19" hidden="1" x14ac:dyDescent="0.25">
      <c r="A386" t="s">
        <v>123</v>
      </c>
      <c r="B386" t="s">
        <v>75</v>
      </c>
      <c r="C386" t="s">
        <v>126</v>
      </c>
      <c r="D386" t="s">
        <v>560</v>
      </c>
      <c r="E386" t="s">
        <v>90</v>
      </c>
      <c r="F386" t="s">
        <v>96</v>
      </c>
      <c r="G386">
        <v>6</v>
      </c>
      <c r="H386">
        <v>33</v>
      </c>
      <c r="I386">
        <v>113</v>
      </c>
      <c r="J386">
        <v>33</v>
      </c>
      <c r="K386" s="6">
        <v>99.96</v>
      </c>
      <c r="L386" s="6">
        <v>0</v>
      </c>
      <c r="M386" s="6">
        <v>103.16</v>
      </c>
      <c r="N386">
        <v>3.2</v>
      </c>
      <c r="O386" s="6">
        <v>0</v>
      </c>
      <c r="P386">
        <v>80</v>
      </c>
      <c r="Q386" s="8">
        <v>106.24</v>
      </c>
      <c r="R386" s="8">
        <v>106.2</v>
      </c>
      <c r="S386" t="s">
        <v>32</v>
      </c>
    </row>
    <row r="387" spans="1:19" hidden="1" x14ac:dyDescent="0.25">
      <c r="A387" t="s">
        <v>123</v>
      </c>
      <c r="B387" t="s">
        <v>75</v>
      </c>
      <c r="C387" t="s">
        <v>126</v>
      </c>
      <c r="D387" t="s">
        <v>560</v>
      </c>
      <c r="E387" t="s">
        <v>90</v>
      </c>
      <c r="F387" t="s">
        <v>6</v>
      </c>
      <c r="G387">
        <v>13</v>
      </c>
      <c r="H387">
        <v>33</v>
      </c>
      <c r="I387">
        <v>113</v>
      </c>
      <c r="J387">
        <v>33</v>
      </c>
      <c r="K387" s="6">
        <v>100.16</v>
      </c>
      <c r="L387" s="6">
        <v>-0.19</v>
      </c>
      <c r="M387" s="6">
        <v>102.57</v>
      </c>
      <c r="N387">
        <v>2.41</v>
      </c>
      <c r="O387" s="6">
        <v>0</v>
      </c>
      <c r="P387">
        <v>80</v>
      </c>
      <c r="Q387" s="8">
        <v>106.24</v>
      </c>
      <c r="R387" s="8">
        <v>106.41</v>
      </c>
      <c r="S387" t="s">
        <v>32</v>
      </c>
    </row>
    <row r="388" spans="1:19" hidden="1" x14ac:dyDescent="0.25">
      <c r="A388" t="s">
        <v>123</v>
      </c>
      <c r="B388" t="s">
        <v>75</v>
      </c>
      <c r="C388" t="s">
        <v>126</v>
      </c>
      <c r="D388" t="s">
        <v>524</v>
      </c>
      <c r="E388" t="s">
        <v>90</v>
      </c>
      <c r="F388" t="s">
        <v>90</v>
      </c>
      <c r="G388">
        <v>0</v>
      </c>
      <c r="H388">
        <v>31</v>
      </c>
      <c r="I388">
        <v>31</v>
      </c>
      <c r="J388">
        <v>31</v>
      </c>
      <c r="K388" s="6">
        <v>100</v>
      </c>
      <c r="L388" s="6">
        <v>0</v>
      </c>
      <c r="M388" s="6">
        <v>100</v>
      </c>
      <c r="N388">
        <v>0</v>
      </c>
      <c r="O388" s="6">
        <v>0</v>
      </c>
      <c r="P388">
        <v>0</v>
      </c>
      <c r="Q388" s="8">
        <v>93.02</v>
      </c>
      <c r="R388" s="8">
        <v>93.02</v>
      </c>
      <c r="S388" s="9" t="s">
        <v>562</v>
      </c>
    </row>
    <row r="389" spans="1:19" hidden="1" x14ac:dyDescent="0.25">
      <c r="A389" t="s">
        <v>123</v>
      </c>
      <c r="B389" t="s">
        <v>75</v>
      </c>
      <c r="C389" t="s">
        <v>126</v>
      </c>
      <c r="D389" t="s">
        <v>524</v>
      </c>
      <c r="E389" t="s">
        <v>90</v>
      </c>
      <c r="F389" t="s">
        <v>91</v>
      </c>
      <c r="G389">
        <v>1</v>
      </c>
      <c r="H389">
        <v>31</v>
      </c>
      <c r="I389">
        <v>96</v>
      </c>
      <c r="J389">
        <v>31</v>
      </c>
      <c r="K389" s="6">
        <v>100</v>
      </c>
      <c r="L389" s="6">
        <v>0</v>
      </c>
      <c r="M389" s="6">
        <v>103.07</v>
      </c>
      <c r="N389">
        <v>3.07</v>
      </c>
      <c r="O389" s="6">
        <v>0</v>
      </c>
      <c r="P389">
        <v>65</v>
      </c>
      <c r="Q389" s="8">
        <v>93.02</v>
      </c>
      <c r="R389" s="8">
        <v>93.02</v>
      </c>
      <c r="S389" t="s">
        <v>32</v>
      </c>
    </row>
    <row r="390" spans="1:19" hidden="1" x14ac:dyDescent="0.25">
      <c r="A390" t="s">
        <v>123</v>
      </c>
      <c r="B390" t="s">
        <v>75</v>
      </c>
      <c r="C390" t="s">
        <v>126</v>
      </c>
      <c r="D390" t="s">
        <v>524</v>
      </c>
      <c r="E390" t="s">
        <v>90</v>
      </c>
      <c r="F390" t="s">
        <v>94</v>
      </c>
      <c r="G390">
        <v>2</v>
      </c>
      <c r="H390">
        <v>31</v>
      </c>
      <c r="I390">
        <v>96</v>
      </c>
      <c r="J390">
        <v>31</v>
      </c>
      <c r="K390" s="6">
        <v>99.94</v>
      </c>
      <c r="L390" s="6">
        <v>0</v>
      </c>
      <c r="M390" s="6">
        <v>103</v>
      </c>
      <c r="N390">
        <v>3.06</v>
      </c>
      <c r="O390" s="6">
        <v>0</v>
      </c>
      <c r="P390">
        <v>65</v>
      </c>
      <c r="Q390" s="8">
        <v>93.02</v>
      </c>
      <c r="R390" s="8">
        <v>92.97</v>
      </c>
      <c r="S390" t="s">
        <v>32</v>
      </c>
    </row>
    <row r="391" spans="1:19" hidden="1" x14ac:dyDescent="0.25">
      <c r="A391" t="s">
        <v>123</v>
      </c>
      <c r="B391" t="s">
        <v>75</v>
      </c>
      <c r="C391" t="s">
        <v>126</v>
      </c>
      <c r="D391" t="s">
        <v>524</v>
      </c>
      <c r="E391" t="s">
        <v>90</v>
      </c>
      <c r="F391" t="s">
        <v>96</v>
      </c>
      <c r="G391">
        <v>6</v>
      </c>
      <c r="H391">
        <v>31</v>
      </c>
      <c r="I391">
        <v>96</v>
      </c>
      <c r="J391">
        <v>31</v>
      </c>
      <c r="K391" s="6">
        <v>99.94</v>
      </c>
      <c r="L391" s="6">
        <v>0</v>
      </c>
      <c r="M391" s="6">
        <v>103.22</v>
      </c>
      <c r="N391">
        <v>3.28</v>
      </c>
      <c r="O391" s="6">
        <v>0</v>
      </c>
      <c r="P391">
        <v>65</v>
      </c>
      <c r="Q391" s="8">
        <v>93.02</v>
      </c>
      <c r="R391" s="8">
        <v>92.97</v>
      </c>
      <c r="S391" t="s">
        <v>32</v>
      </c>
    </row>
    <row r="392" spans="1:19" hidden="1" x14ac:dyDescent="0.25">
      <c r="A392" t="s">
        <v>123</v>
      </c>
      <c r="B392" t="s">
        <v>75</v>
      </c>
      <c r="C392" t="s">
        <v>126</v>
      </c>
      <c r="D392" t="s">
        <v>524</v>
      </c>
      <c r="E392" t="s">
        <v>90</v>
      </c>
      <c r="F392" t="s">
        <v>6</v>
      </c>
      <c r="G392">
        <v>13</v>
      </c>
      <c r="H392">
        <v>31</v>
      </c>
      <c r="I392">
        <v>96</v>
      </c>
      <c r="J392">
        <v>31</v>
      </c>
      <c r="K392" s="6">
        <v>99.32</v>
      </c>
      <c r="L392" s="6">
        <v>-0.24</v>
      </c>
      <c r="M392" s="6">
        <v>102.38</v>
      </c>
      <c r="N392">
        <v>3.06</v>
      </c>
      <c r="O392" s="6">
        <v>0</v>
      </c>
      <c r="P392">
        <v>65</v>
      </c>
      <c r="Q392" s="8">
        <v>93.02</v>
      </c>
      <c r="R392" s="8">
        <v>92.39</v>
      </c>
      <c r="S392" t="s">
        <v>32</v>
      </c>
    </row>
    <row r="393" spans="1:19" hidden="1" x14ac:dyDescent="0.25">
      <c r="A393" t="s">
        <v>123</v>
      </c>
      <c r="B393" t="s">
        <v>75</v>
      </c>
      <c r="C393" t="s">
        <v>126</v>
      </c>
      <c r="D393" t="s">
        <v>527</v>
      </c>
      <c r="E393" t="s">
        <v>90</v>
      </c>
      <c r="F393" t="s">
        <v>90</v>
      </c>
      <c r="G393">
        <v>0</v>
      </c>
      <c r="H393">
        <v>30</v>
      </c>
      <c r="I393">
        <v>30</v>
      </c>
      <c r="J393">
        <v>30</v>
      </c>
      <c r="K393" s="6">
        <v>100</v>
      </c>
      <c r="L393" s="6">
        <v>0</v>
      </c>
      <c r="M393" s="6">
        <v>100</v>
      </c>
      <c r="N393">
        <v>0</v>
      </c>
      <c r="O393" s="6">
        <v>0</v>
      </c>
      <c r="P393">
        <v>0</v>
      </c>
      <c r="Q393" s="8">
        <v>107.7</v>
      </c>
      <c r="R393" s="8">
        <v>107.7</v>
      </c>
      <c r="S393" s="9" t="s">
        <v>563</v>
      </c>
    </row>
    <row r="394" spans="1:19" hidden="1" x14ac:dyDescent="0.25">
      <c r="A394" t="s">
        <v>123</v>
      </c>
      <c r="B394" t="s">
        <v>75</v>
      </c>
      <c r="C394" t="s">
        <v>126</v>
      </c>
      <c r="D394" t="s">
        <v>527</v>
      </c>
      <c r="E394" t="s">
        <v>90</v>
      </c>
      <c r="F394" t="s">
        <v>91</v>
      </c>
      <c r="G394">
        <v>1</v>
      </c>
      <c r="H394">
        <v>30</v>
      </c>
      <c r="I394">
        <v>105</v>
      </c>
      <c r="J394">
        <v>30</v>
      </c>
      <c r="K394" s="6">
        <v>100</v>
      </c>
      <c r="L394" s="6">
        <v>0</v>
      </c>
      <c r="M394" s="6">
        <v>104.82</v>
      </c>
      <c r="N394">
        <v>4.82</v>
      </c>
      <c r="O394" s="6">
        <v>0</v>
      </c>
      <c r="P394">
        <v>75</v>
      </c>
      <c r="Q394" s="8">
        <v>107.7</v>
      </c>
      <c r="R394" s="8">
        <v>107.7</v>
      </c>
      <c r="S394" t="s">
        <v>32</v>
      </c>
    </row>
    <row r="395" spans="1:19" hidden="1" x14ac:dyDescent="0.25">
      <c r="A395" t="s">
        <v>123</v>
      </c>
      <c r="B395" t="s">
        <v>75</v>
      </c>
      <c r="C395" t="s">
        <v>126</v>
      </c>
      <c r="D395" t="s">
        <v>527</v>
      </c>
      <c r="E395" t="s">
        <v>90</v>
      </c>
      <c r="F395" t="s">
        <v>94</v>
      </c>
      <c r="G395">
        <v>2</v>
      </c>
      <c r="H395">
        <v>30</v>
      </c>
      <c r="I395">
        <v>105</v>
      </c>
      <c r="J395">
        <v>30</v>
      </c>
      <c r="K395" s="6">
        <v>100.07</v>
      </c>
      <c r="L395" s="6">
        <v>0</v>
      </c>
      <c r="M395" s="6">
        <v>104.79</v>
      </c>
      <c r="N395">
        <v>4.72</v>
      </c>
      <c r="O395" s="6">
        <v>0</v>
      </c>
      <c r="P395">
        <v>75</v>
      </c>
      <c r="Q395" s="8">
        <v>107.7</v>
      </c>
      <c r="R395" s="8">
        <v>107.78</v>
      </c>
      <c r="S395" t="s">
        <v>32</v>
      </c>
    </row>
    <row r="396" spans="1:19" hidden="1" x14ac:dyDescent="0.25">
      <c r="A396" t="s">
        <v>123</v>
      </c>
      <c r="B396" t="s">
        <v>75</v>
      </c>
      <c r="C396" t="s">
        <v>126</v>
      </c>
      <c r="D396" t="s">
        <v>527</v>
      </c>
      <c r="E396" t="s">
        <v>90</v>
      </c>
      <c r="F396" t="s">
        <v>96</v>
      </c>
      <c r="G396">
        <v>6</v>
      </c>
      <c r="H396">
        <v>30</v>
      </c>
      <c r="I396">
        <v>105</v>
      </c>
      <c r="J396">
        <v>30</v>
      </c>
      <c r="K396" s="6">
        <v>100.18</v>
      </c>
      <c r="L396" s="6">
        <v>0</v>
      </c>
      <c r="M396" s="6">
        <v>104.79</v>
      </c>
      <c r="N396">
        <v>4.6100000000000003</v>
      </c>
      <c r="O396" s="6">
        <v>0</v>
      </c>
      <c r="P396">
        <v>75</v>
      </c>
      <c r="Q396" s="8">
        <v>107.7</v>
      </c>
      <c r="R396" s="8">
        <v>107.89</v>
      </c>
      <c r="S396" t="s">
        <v>32</v>
      </c>
    </row>
    <row r="397" spans="1:19" hidden="1" x14ac:dyDescent="0.25">
      <c r="A397" t="s">
        <v>123</v>
      </c>
      <c r="B397" t="s">
        <v>75</v>
      </c>
      <c r="C397" t="s">
        <v>126</v>
      </c>
      <c r="D397" t="s">
        <v>527</v>
      </c>
      <c r="E397" t="s">
        <v>90</v>
      </c>
      <c r="F397" t="s">
        <v>6</v>
      </c>
      <c r="G397">
        <v>13</v>
      </c>
      <c r="H397">
        <v>30</v>
      </c>
      <c r="I397">
        <v>105</v>
      </c>
      <c r="J397">
        <v>30</v>
      </c>
      <c r="K397" s="6">
        <v>99.6</v>
      </c>
      <c r="L397" s="6">
        <v>-0.24</v>
      </c>
      <c r="M397" s="6">
        <v>104.12</v>
      </c>
      <c r="N397">
        <v>4.5199999999999996</v>
      </c>
      <c r="O397" s="6">
        <v>0</v>
      </c>
      <c r="P397">
        <v>75</v>
      </c>
      <c r="Q397" s="8">
        <v>107.7</v>
      </c>
      <c r="R397" s="8">
        <v>107.27</v>
      </c>
      <c r="S397" t="s">
        <v>32</v>
      </c>
    </row>
    <row r="398" spans="1:19" hidden="1" x14ac:dyDescent="0.25">
      <c r="A398" t="s">
        <v>123</v>
      </c>
      <c r="B398" t="s">
        <v>75</v>
      </c>
      <c r="C398" t="s">
        <v>126</v>
      </c>
      <c r="D398" t="s">
        <v>530</v>
      </c>
      <c r="E398" t="s">
        <v>90</v>
      </c>
      <c r="F398" t="s">
        <v>90</v>
      </c>
      <c r="G398">
        <v>0</v>
      </c>
      <c r="H398">
        <v>30</v>
      </c>
      <c r="I398">
        <v>30</v>
      </c>
      <c r="J398">
        <v>30</v>
      </c>
      <c r="K398" s="6">
        <v>100</v>
      </c>
      <c r="L398" s="6">
        <v>0</v>
      </c>
      <c r="M398" s="6">
        <v>100</v>
      </c>
      <c r="N398">
        <v>0</v>
      </c>
      <c r="O398" s="6">
        <v>0</v>
      </c>
      <c r="P398">
        <v>0</v>
      </c>
      <c r="Q398" s="8">
        <v>141.16</v>
      </c>
      <c r="R398" s="8">
        <v>141.16</v>
      </c>
      <c r="S398" s="9" t="s">
        <v>563</v>
      </c>
    </row>
    <row r="399" spans="1:19" hidden="1" x14ac:dyDescent="0.25">
      <c r="A399" t="s">
        <v>123</v>
      </c>
      <c r="B399" t="s">
        <v>75</v>
      </c>
      <c r="C399" t="s">
        <v>126</v>
      </c>
      <c r="D399" t="s">
        <v>530</v>
      </c>
      <c r="E399" t="s">
        <v>90</v>
      </c>
      <c r="F399" t="s">
        <v>91</v>
      </c>
      <c r="G399">
        <v>1</v>
      </c>
      <c r="H399">
        <v>30</v>
      </c>
      <c r="I399">
        <v>95</v>
      </c>
      <c r="J399">
        <v>30</v>
      </c>
      <c r="K399" s="6">
        <v>100</v>
      </c>
      <c r="L399" s="6">
        <v>0</v>
      </c>
      <c r="M399" s="6">
        <v>103.52</v>
      </c>
      <c r="N399">
        <v>3.52</v>
      </c>
      <c r="O399" s="6">
        <v>0</v>
      </c>
      <c r="P399">
        <v>65</v>
      </c>
      <c r="Q399" s="8">
        <v>141.16</v>
      </c>
      <c r="R399" s="8">
        <v>141.16</v>
      </c>
      <c r="S399" t="s">
        <v>32</v>
      </c>
    </row>
    <row r="400" spans="1:19" hidden="1" x14ac:dyDescent="0.25">
      <c r="A400" t="s">
        <v>123</v>
      </c>
      <c r="B400" t="s">
        <v>75</v>
      </c>
      <c r="C400" t="s">
        <v>126</v>
      </c>
      <c r="D400" t="s">
        <v>530</v>
      </c>
      <c r="E400" t="s">
        <v>90</v>
      </c>
      <c r="F400" t="s">
        <v>94</v>
      </c>
      <c r="G400">
        <v>2</v>
      </c>
      <c r="H400">
        <v>30</v>
      </c>
      <c r="I400">
        <v>94</v>
      </c>
      <c r="J400">
        <v>30</v>
      </c>
      <c r="K400" s="6">
        <v>100.05</v>
      </c>
      <c r="L400" s="6">
        <v>0</v>
      </c>
      <c r="M400" s="6">
        <v>103.16</v>
      </c>
      <c r="N400">
        <v>3.11</v>
      </c>
      <c r="O400" s="6">
        <v>0</v>
      </c>
      <c r="P400">
        <v>64</v>
      </c>
      <c r="Q400" s="8">
        <v>141.16</v>
      </c>
      <c r="R400" s="8">
        <v>141.22999999999999</v>
      </c>
      <c r="S400" t="s">
        <v>32</v>
      </c>
    </row>
    <row r="401" spans="1:19" hidden="1" x14ac:dyDescent="0.25">
      <c r="A401" t="s">
        <v>123</v>
      </c>
      <c r="B401" t="s">
        <v>75</v>
      </c>
      <c r="C401" t="s">
        <v>126</v>
      </c>
      <c r="D401" t="s">
        <v>530</v>
      </c>
      <c r="E401" t="s">
        <v>90</v>
      </c>
      <c r="F401" t="s">
        <v>96</v>
      </c>
      <c r="G401">
        <v>6</v>
      </c>
      <c r="H401">
        <v>30</v>
      </c>
      <c r="I401">
        <v>94</v>
      </c>
      <c r="J401">
        <v>30</v>
      </c>
      <c r="K401" s="6">
        <v>100.14</v>
      </c>
      <c r="L401" s="6">
        <v>0</v>
      </c>
      <c r="M401" s="6">
        <v>103.2</v>
      </c>
      <c r="N401">
        <v>3.06</v>
      </c>
      <c r="O401" s="6">
        <v>0</v>
      </c>
      <c r="P401">
        <v>64</v>
      </c>
      <c r="Q401" s="8">
        <v>141.16</v>
      </c>
      <c r="R401" s="8">
        <v>141.36000000000001</v>
      </c>
      <c r="S401" t="s">
        <v>32</v>
      </c>
    </row>
    <row r="402" spans="1:19" hidden="1" x14ac:dyDescent="0.25">
      <c r="A402" t="s">
        <v>123</v>
      </c>
      <c r="B402" t="s">
        <v>75</v>
      </c>
      <c r="C402" t="s">
        <v>126</v>
      </c>
      <c r="D402" t="s">
        <v>530</v>
      </c>
      <c r="E402" t="s">
        <v>90</v>
      </c>
      <c r="F402" t="s">
        <v>6</v>
      </c>
      <c r="G402">
        <v>13</v>
      </c>
      <c r="H402">
        <v>30</v>
      </c>
      <c r="I402">
        <v>94</v>
      </c>
      <c r="J402">
        <v>30</v>
      </c>
      <c r="K402" s="6">
        <v>100.19</v>
      </c>
      <c r="L402" s="6">
        <v>0</v>
      </c>
      <c r="M402" s="6">
        <v>102.8</v>
      </c>
      <c r="N402">
        <v>2.61</v>
      </c>
      <c r="O402" s="6">
        <v>0</v>
      </c>
      <c r="P402">
        <v>64</v>
      </c>
      <c r="Q402" s="8">
        <v>141.16</v>
      </c>
      <c r="R402" s="8">
        <v>141.43</v>
      </c>
      <c r="S402" t="s">
        <v>32</v>
      </c>
    </row>
    <row r="403" spans="1:19" hidden="1" x14ac:dyDescent="0.25">
      <c r="A403" t="s">
        <v>123</v>
      </c>
      <c r="B403" t="s">
        <v>75</v>
      </c>
      <c r="C403" t="s">
        <v>126</v>
      </c>
      <c r="D403" t="s">
        <v>531</v>
      </c>
      <c r="E403" t="s">
        <v>90</v>
      </c>
      <c r="F403" t="s">
        <v>90</v>
      </c>
      <c r="G403">
        <v>0</v>
      </c>
      <c r="H403">
        <v>35</v>
      </c>
      <c r="I403">
        <v>35</v>
      </c>
      <c r="J403">
        <v>35</v>
      </c>
      <c r="K403" s="6">
        <v>100</v>
      </c>
      <c r="L403" s="6">
        <v>0</v>
      </c>
      <c r="M403" s="6">
        <v>100</v>
      </c>
      <c r="N403">
        <v>0</v>
      </c>
      <c r="O403" s="6">
        <v>0</v>
      </c>
      <c r="P403">
        <v>0</v>
      </c>
      <c r="Q403" s="8">
        <v>139.1</v>
      </c>
      <c r="R403" s="8">
        <v>139.1</v>
      </c>
      <c r="S403" s="9" t="s">
        <v>566</v>
      </c>
    </row>
    <row r="404" spans="1:19" hidden="1" x14ac:dyDescent="0.25">
      <c r="A404" t="s">
        <v>123</v>
      </c>
      <c r="B404" t="s">
        <v>75</v>
      </c>
      <c r="C404" t="s">
        <v>126</v>
      </c>
      <c r="D404" t="s">
        <v>531</v>
      </c>
      <c r="E404" t="s">
        <v>90</v>
      </c>
      <c r="F404" t="s">
        <v>91</v>
      </c>
      <c r="G404">
        <v>1</v>
      </c>
      <c r="H404">
        <v>35</v>
      </c>
      <c r="I404">
        <v>105</v>
      </c>
      <c r="J404">
        <v>35</v>
      </c>
      <c r="K404" s="6">
        <v>100</v>
      </c>
      <c r="L404" s="6">
        <v>0</v>
      </c>
      <c r="M404" s="6">
        <v>103.6</v>
      </c>
      <c r="N404">
        <v>3.6</v>
      </c>
      <c r="O404" s="6">
        <v>0</v>
      </c>
      <c r="P404">
        <v>70</v>
      </c>
      <c r="Q404" s="8">
        <v>139.1</v>
      </c>
      <c r="R404" s="8">
        <v>139.1</v>
      </c>
      <c r="S404" t="s">
        <v>32</v>
      </c>
    </row>
    <row r="405" spans="1:19" hidden="1" x14ac:dyDescent="0.25">
      <c r="A405" t="s">
        <v>123</v>
      </c>
      <c r="B405" t="s">
        <v>75</v>
      </c>
      <c r="C405" t="s">
        <v>126</v>
      </c>
      <c r="D405" t="s">
        <v>531</v>
      </c>
      <c r="E405" t="s">
        <v>90</v>
      </c>
      <c r="F405" t="s">
        <v>94</v>
      </c>
      <c r="G405">
        <v>2</v>
      </c>
      <c r="H405">
        <v>35</v>
      </c>
      <c r="I405">
        <v>105</v>
      </c>
      <c r="J405">
        <v>35</v>
      </c>
      <c r="K405" s="6">
        <v>100</v>
      </c>
      <c r="L405" s="6">
        <v>0</v>
      </c>
      <c r="M405" s="6">
        <v>103.6</v>
      </c>
      <c r="N405">
        <v>3.6</v>
      </c>
      <c r="O405" s="6">
        <v>0</v>
      </c>
      <c r="P405">
        <v>70</v>
      </c>
      <c r="Q405" s="8">
        <v>139.1</v>
      </c>
      <c r="R405" s="8">
        <v>139.1</v>
      </c>
      <c r="S405" t="s">
        <v>32</v>
      </c>
    </row>
    <row r="406" spans="1:19" hidden="1" x14ac:dyDescent="0.25">
      <c r="A406" t="s">
        <v>123</v>
      </c>
      <c r="B406" t="s">
        <v>75</v>
      </c>
      <c r="C406" t="s">
        <v>126</v>
      </c>
      <c r="D406" t="s">
        <v>531</v>
      </c>
      <c r="E406" t="s">
        <v>90</v>
      </c>
      <c r="F406" t="s">
        <v>96</v>
      </c>
      <c r="G406">
        <v>6</v>
      </c>
      <c r="H406">
        <v>35</v>
      </c>
      <c r="I406">
        <v>105</v>
      </c>
      <c r="J406">
        <v>35</v>
      </c>
      <c r="K406" s="6">
        <v>100.1</v>
      </c>
      <c r="L406" s="6">
        <v>0</v>
      </c>
      <c r="M406" s="6">
        <v>103.65</v>
      </c>
      <c r="N406">
        <v>3.55</v>
      </c>
      <c r="O406" s="6">
        <v>0</v>
      </c>
      <c r="P406">
        <v>70</v>
      </c>
      <c r="Q406" s="8">
        <v>139.1</v>
      </c>
      <c r="R406" s="8">
        <v>139.24</v>
      </c>
      <c r="S406" t="s">
        <v>32</v>
      </c>
    </row>
    <row r="407" spans="1:19" hidden="1" x14ac:dyDescent="0.25">
      <c r="A407" t="s">
        <v>123</v>
      </c>
      <c r="B407" t="s">
        <v>75</v>
      </c>
      <c r="C407" t="s">
        <v>126</v>
      </c>
      <c r="D407" t="s">
        <v>531</v>
      </c>
      <c r="E407" t="s">
        <v>90</v>
      </c>
      <c r="F407" t="s">
        <v>6</v>
      </c>
      <c r="G407">
        <v>13</v>
      </c>
      <c r="H407">
        <v>35</v>
      </c>
      <c r="I407">
        <v>105</v>
      </c>
      <c r="J407">
        <v>35</v>
      </c>
      <c r="K407" s="6">
        <v>99.9</v>
      </c>
      <c r="L407" s="6">
        <v>0</v>
      </c>
      <c r="M407" s="6">
        <v>103.23</v>
      </c>
      <c r="N407">
        <v>3.33</v>
      </c>
      <c r="O407" s="6">
        <v>0</v>
      </c>
      <c r="P407">
        <v>70</v>
      </c>
      <c r="Q407" s="8">
        <v>139.1</v>
      </c>
      <c r="R407" s="8">
        <v>138.97</v>
      </c>
      <c r="S407" t="s">
        <v>32</v>
      </c>
    </row>
    <row r="408" spans="1:19" hidden="1" x14ac:dyDescent="0.25">
      <c r="A408" t="s">
        <v>123</v>
      </c>
      <c r="B408" t="s">
        <v>75</v>
      </c>
      <c r="C408" t="s">
        <v>126</v>
      </c>
      <c r="D408" t="s">
        <v>532</v>
      </c>
      <c r="E408" t="s">
        <v>90</v>
      </c>
      <c r="F408" t="s">
        <v>90</v>
      </c>
      <c r="G408">
        <v>0</v>
      </c>
      <c r="H408">
        <v>32</v>
      </c>
      <c r="I408">
        <v>32</v>
      </c>
      <c r="J408">
        <v>32</v>
      </c>
      <c r="K408" s="6">
        <v>100</v>
      </c>
      <c r="L408" s="6">
        <v>0</v>
      </c>
      <c r="M408" s="6">
        <v>100</v>
      </c>
      <c r="N408">
        <v>0</v>
      </c>
      <c r="O408" s="6">
        <v>0</v>
      </c>
      <c r="P408">
        <v>0</v>
      </c>
      <c r="Q408" s="8">
        <v>95.08</v>
      </c>
      <c r="R408" s="8">
        <v>95.08</v>
      </c>
      <c r="S408" s="9" t="s">
        <v>567</v>
      </c>
    </row>
    <row r="409" spans="1:19" hidden="1" x14ac:dyDescent="0.25">
      <c r="A409" t="s">
        <v>123</v>
      </c>
      <c r="B409" t="s">
        <v>75</v>
      </c>
      <c r="C409" t="s">
        <v>126</v>
      </c>
      <c r="D409" t="s">
        <v>532</v>
      </c>
      <c r="E409" t="s">
        <v>90</v>
      </c>
      <c r="F409" t="s">
        <v>91</v>
      </c>
      <c r="G409">
        <v>1</v>
      </c>
      <c r="H409">
        <v>32</v>
      </c>
      <c r="I409">
        <v>100</v>
      </c>
      <c r="J409">
        <v>32</v>
      </c>
      <c r="K409" s="6">
        <v>100</v>
      </c>
      <c r="L409" s="6">
        <v>0</v>
      </c>
      <c r="M409" s="6">
        <v>109.4</v>
      </c>
      <c r="N409">
        <v>9.4</v>
      </c>
      <c r="O409" s="6">
        <v>0</v>
      </c>
      <c r="P409">
        <v>68</v>
      </c>
      <c r="Q409" s="8">
        <v>95.08</v>
      </c>
      <c r="R409" s="8">
        <v>95.08</v>
      </c>
      <c r="S409" t="s">
        <v>32</v>
      </c>
    </row>
    <row r="410" spans="1:19" hidden="1" x14ac:dyDescent="0.25">
      <c r="A410" t="s">
        <v>123</v>
      </c>
      <c r="B410" t="s">
        <v>75</v>
      </c>
      <c r="C410" t="s">
        <v>126</v>
      </c>
      <c r="D410" t="s">
        <v>532</v>
      </c>
      <c r="E410" t="s">
        <v>90</v>
      </c>
      <c r="F410" t="s">
        <v>94</v>
      </c>
      <c r="G410">
        <v>2</v>
      </c>
      <c r="H410">
        <v>32</v>
      </c>
      <c r="I410">
        <v>100</v>
      </c>
      <c r="J410">
        <v>32</v>
      </c>
      <c r="K410" s="6">
        <v>99.95</v>
      </c>
      <c r="L410" s="6">
        <v>0</v>
      </c>
      <c r="M410" s="6">
        <v>109.38</v>
      </c>
      <c r="N410">
        <v>9.43</v>
      </c>
      <c r="O410" s="6">
        <v>0</v>
      </c>
      <c r="P410">
        <v>68</v>
      </c>
      <c r="Q410" s="8">
        <v>95.08</v>
      </c>
      <c r="R410" s="8">
        <v>95.03</v>
      </c>
      <c r="S410" t="s">
        <v>32</v>
      </c>
    </row>
    <row r="411" spans="1:19" hidden="1" x14ac:dyDescent="0.25">
      <c r="A411" t="s">
        <v>123</v>
      </c>
      <c r="B411" t="s">
        <v>75</v>
      </c>
      <c r="C411" t="s">
        <v>126</v>
      </c>
      <c r="D411" t="s">
        <v>532</v>
      </c>
      <c r="E411" t="s">
        <v>90</v>
      </c>
      <c r="F411" t="s">
        <v>96</v>
      </c>
      <c r="G411">
        <v>6</v>
      </c>
      <c r="H411">
        <v>32</v>
      </c>
      <c r="I411">
        <v>100</v>
      </c>
      <c r="J411">
        <v>32</v>
      </c>
      <c r="K411" s="6">
        <v>99.95</v>
      </c>
      <c r="L411" s="6">
        <v>0</v>
      </c>
      <c r="M411" s="6">
        <v>109.4</v>
      </c>
      <c r="N411">
        <v>9.4499999999999993</v>
      </c>
      <c r="O411" s="6">
        <v>0</v>
      </c>
      <c r="P411">
        <v>68</v>
      </c>
      <c r="Q411" s="8">
        <v>95.08</v>
      </c>
      <c r="R411" s="8">
        <v>95.03</v>
      </c>
      <c r="S411" t="s">
        <v>32</v>
      </c>
    </row>
    <row r="412" spans="1:19" hidden="1" x14ac:dyDescent="0.25">
      <c r="A412" t="s">
        <v>123</v>
      </c>
      <c r="B412" t="s">
        <v>75</v>
      </c>
      <c r="C412" t="s">
        <v>126</v>
      </c>
      <c r="D412" t="s">
        <v>532</v>
      </c>
      <c r="E412" t="s">
        <v>90</v>
      </c>
      <c r="F412" t="s">
        <v>6</v>
      </c>
      <c r="G412">
        <v>13</v>
      </c>
      <c r="H412">
        <v>32</v>
      </c>
      <c r="I412">
        <v>100</v>
      </c>
      <c r="J412">
        <v>32</v>
      </c>
      <c r="K412" s="6">
        <v>99.58</v>
      </c>
      <c r="L412" s="6">
        <v>0</v>
      </c>
      <c r="M412" s="6">
        <v>108.4</v>
      </c>
      <c r="N412">
        <v>8.82</v>
      </c>
      <c r="O412" s="6">
        <v>0</v>
      </c>
      <c r="P412">
        <v>68</v>
      </c>
      <c r="Q412" s="8">
        <v>95.08</v>
      </c>
      <c r="R412" s="8">
        <v>94.68</v>
      </c>
      <c r="S412" t="s">
        <v>32</v>
      </c>
    </row>
    <row r="413" spans="1:19" hidden="1" x14ac:dyDescent="0.25">
      <c r="A413" t="s">
        <v>123</v>
      </c>
      <c r="B413" t="s">
        <v>75</v>
      </c>
      <c r="C413" t="s">
        <v>126</v>
      </c>
      <c r="D413" t="s">
        <v>533</v>
      </c>
      <c r="E413" t="s">
        <v>94</v>
      </c>
      <c r="F413" t="s">
        <v>94</v>
      </c>
      <c r="G413">
        <v>0</v>
      </c>
      <c r="H413">
        <v>83</v>
      </c>
      <c r="I413">
        <v>83</v>
      </c>
      <c r="J413">
        <v>83</v>
      </c>
      <c r="K413" s="6">
        <v>100</v>
      </c>
      <c r="L413" s="6">
        <v>0</v>
      </c>
      <c r="M413" s="6">
        <v>100</v>
      </c>
      <c r="N413">
        <v>0</v>
      </c>
      <c r="O413" s="6">
        <v>0</v>
      </c>
      <c r="P413">
        <v>0</v>
      </c>
      <c r="Q413" s="8">
        <v>88.09</v>
      </c>
      <c r="R413" s="8">
        <v>88.09</v>
      </c>
      <c r="S413" s="9" t="s">
        <v>568</v>
      </c>
    </row>
    <row r="414" spans="1:19" hidden="1" x14ac:dyDescent="0.25">
      <c r="A414" t="s">
        <v>123</v>
      </c>
      <c r="B414" t="s">
        <v>75</v>
      </c>
      <c r="C414" t="s">
        <v>126</v>
      </c>
      <c r="D414" t="s">
        <v>533</v>
      </c>
      <c r="E414" t="s">
        <v>94</v>
      </c>
      <c r="F414" t="s">
        <v>96</v>
      </c>
      <c r="G414">
        <v>4</v>
      </c>
      <c r="H414">
        <v>83</v>
      </c>
      <c r="I414">
        <v>83</v>
      </c>
      <c r="J414">
        <v>83</v>
      </c>
      <c r="K414" s="6">
        <v>100</v>
      </c>
      <c r="L414" s="6">
        <v>0</v>
      </c>
      <c r="M414" s="6">
        <v>100</v>
      </c>
      <c r="N414">
        <v>0</v>
      </c>
      <c r="O414" s="6">
        <v>0</v>
      </c>
      <c r="P414">
        <v>0</v>
      </c>
      <c r="Q414" s="8">
        <v>88.09</v>
      </c>
      <c r="R414" s="8">
        <v>88.09</v>
      </c>
      <c r="S414" t="s">
        <v>32</v>
      </c>
    </row>
    <row r="415" spans="1:19" hidden="1" x14ac:dyDescent="0.25">
      <c r="A415" t="s">
        <v>123</v>
      </c>
      <c r="B415" t="s">
        <v>75</v>
      </c>
      <c r="C415" t="s">
        <v>126</v>
      </c>
      <c r="D415" t="s">
        <v>533</v>
      </c>
      <c r="E415" t="s">
        <v>94</v>
      </c>
      <c r="F415" t="s">
        <v>6</v>
      </c>
      <c r="G415">
        <v>11</v>
      </c>
      <c r="H415">
        <v>83</v>
      </c>
      <c r="I415">
        <v>83</v>
      </c>
      <c r="J415">
        <v>83</v>
      </c>
      <c r="K415" s="6">
        <v>98.76</v>
      </c>
      <c r="L415" s="6">
        <v>0</v>
      </c>
      <c r="M415" s="6">
        <v>98.76</v>
      </c>
      <c r="N415">
        <v>0</v>
      </c>
      <c r="O415" s="6">
        <v>0</v>
      </c>
      <c r="P415">
        <v>0</v>
      </c>
      <c r="Q415" s="8">
        <v>88.09</v>
      </c>
      <c r="R415" s="8">
        <v>87</v>
      </c>
      <c r="S415" t="s">
        <v>32</v>
      </c>
    </row>
    <row r="416" spans="1:19" hidden="1" x14ac:dyDescent="0.25">
      <c r="A416" t="s">
        <v>123</v>
      </c>
      <c r="B416" t="s">
        <v>75</v>
      </c>
      <c r="C416" t="s">
        <v>126</v>
      </c>
      <c r="D416" t="s">
        <v>545</v>
      </c>
      <c r="E416" t="s">
        <v>94</v>
      </c>
      <c r="F416" t="s">
        <v>94</v>
      </c>
      <c r="G416">
        <v>0</v>
      </c>
      <c r="H416">
        <v>97</v>
      </c>
      <c r="I416">
        <v>97</v>
      </c>
      <c r="J416">
        <v>97</v>
      </c>
      <c r="K416" s="6">
        <v>100</v>
      </c>
      <c r="L416" s="6">
        <v>0</v>
      </c>
      <c r="M416" s="6">
        <v>100</v>
      </c>
      <c r="N416">
        <v>0</v>
      </c>
      <c r="O416" s="6">
        <v>0</v>
      </c>
      <c r="P416">
        <v>0</v>
      </c>
      <c r="Q416" s="8">
        <v>89.5</v>
      </c>
      <c r="R416" s="8">
        <v>89.5</v>
      </c>
      <c r="S416" s="9" t="s">
        <v>569</v>
      </c>
    </row>
    <row r="417" spans="1:19" hidden="1" x14ac:dyDescent="0.25">
      <c r="A417" t="s">
        <v>123</v>
      </c>
      <c r="B417" t="s">
        <v>75</v>
      </c>
      <c r="C417" t="s">
        <v>126</v>
      </c>
      <c r="D417" t="s">
        <v>545</v>
      </c>
      <c r="E417" t="s">
        <v>94</v>
      </c>
      <c r="F417" t="s">
        <v>96</v>
      </c>
      <c r="G417">
        <v>4</v>
      </c>
      <c r="H417">
        <v>97</v>
      </c>
      <c r="I417">
        <v>97</v>
      </c>
      <c r="J417">
        <v>97</v>
      </c>
      <c r="K417" s="6">
        <v>100.01</v>
      </c>
      <c r="L417" s="6">
        <v>0</v>
      </c>
      <c r="M417" s="6">
        <v>100.01</v>
      </c>
      <c r="N417">
        <v>0</v>
      </c>
      <c r="O417" s="6">
        <v>0</v>
      </c>
      <c r="P417">
        <v>0</v>
      </c>
      <c r="Q417" s="8">
        <v>89.5</v>
      </c>
      <c r="R417" s="8">
        <v>89.51</v>
      </c>
      <c r="S417" t="s">
        <v>32</v>
      </c>
    </row>
    <row r="418" spans="1:19" hidden="1" x14ac:dyDescent="0.25">
      <c r="A418" t="s">
        <v>123</v>
      </c>
      <c r="B418" t="s">
        <v>75</v>
      </c>
      <c r="C418" t="s">
        <v>126</v>
      </c>
      <c r="D418" t="s">
        <v>545</v>
      </c>
      <c r="E418" t="s">
        <v>94</v>
      </c>
      <c r="F418" t="s">
        <v>6</v>
      </c>
      <c r="G418">
        <v>11</v>
      </c>
      <c r="H418">
        <v>97</v>
      </c>
      <c r="I418">
        <v>97</v>
      </c>
      <c r="J418">
        <v>97</v>
      </c>
      <c r="K418" s="6">
        <v>99.02</v>
      </c>
      <c r="L418" s="6">
        <v>0</v>
      </c>
      <c r="M418" s="6">
        <v>99.02</v>
      </c>
      <c r="N418">
        <v>0</v>
      </c>
      <c r="O418" s="6">
        <v>0</v>
      </c>
      <c r="P418">
        <v>0</v>
      </c>
      <c r="Q418" s="8">
        <v>89.5</v>
      </c>
      <c r="R418" s="8">
        <v>88.62</v>
      </c>
      <c r="S418" t="s">
        <v>32</v>
      </c>
    </row>
    <row r="419" spans="1:19" hidden="1" x14ac:dyDescent="0.25">
      <c r="A419" t="s">
        <v>123</v>
      </c>
      <c r="B419" t="s">
        <v>75</v>
      </c>
      <c r="C419" t="s">
        <v>126</v>
      </c>
      <c r="D419" t="s">
        <v>570</v>
      </c>
      <c r="E419" t="s">
        <v>94</v>
      </c>
      <c r="F419" t="s">
        <v>94</v>
      </c>
      <c r="G419">
        <v>0</v>
      </c>
      <c r="H419">
        <v>104</v>
      </c>
      <c r="I419">
        <v>104</v>
      </c>
      <c r="J419">
        <v>104</v>
      </c>
      <c r="K419" s="6">
        <v>100</v>
      </c>
      <c r="L419" s="6">
        <v>0</v>
      </c>
      <c r="M419" s="6">
        <v>100</v>
      </c>
      <c r="N419">
        <v>0</v>
      </c>
      <c r="O419" s="6">
        <v>0</v>
      </c>
      <c r="P419">
        <v>0</v>
      </c>
      <c r="Q419" s="8">
        <v>96.11</v>
      </c>
      <c r="R419" s="8">
        <v>96.11</v>
      </c>
      <c r="S419" s="9" t="s">
        <v>571</v>
      </c>
    </row>
    <row r="420" spans="1:19" hidden="1" x14ac:dyDescent="0.25">
      <c r="A420" t="s">
        <v>123</v>
      </c>
      <c r="B420" t="s">
        <v>75</v>
      </c>
      <c r="C420" t="s">
        <v>126</v>
      </c>
      <c r="D420" t="s">
        <v>570</v>
      </c>
      <c r="E420" t="s">
        <v>94</v>
      </c>
      <c r="F420" t="s">
        <v>96</v>
      </c>
      <c r="G420">
        <v>4</v>
      </c>
      <c r="H420">
        <v>104</v>
      </c>
      <c r="I420">
        <v>104</v>
      </c>
      <c r="J420">
        <v>104</v>
      </c>
      <c r="K420" s="6">
        <v>100</v>
      </c>
      <c r="L420" s="6">
        <v>0</v>
      </c>
      <c r="M420" s="6">
        <v>100</v>
      </c>
      <c r="N420">
        <v>0</v>
      </c>
      <c r="O420" s="6">
        <v>0</v>
      </c>
      <c r="P420">
        <v>0</v>
      </c>
      <c r="Q420" s="8">
        <v>96.11</v>
      </c>
      <c r="R420" s="8">
        <v>96.11</v>
      </c>
      <c r="S420" t="s">
        <v>32</v>
      </c>
    </row>
    <row r="421" spans="1:19" hidden="1" x14ac:dyDescent="0.25">
      <c r="A421" t="s">
        <v>123</v>
      </c>
      <c r="B421" t="s">
        <v>75</v>
      </c>
      <c r="C421" t="s">
        <v>126</v>
      </c>
      <c r="D421" t="s">
        <v>570</v>
      </c>
      <c r="E421" t="s">
        <v>94</v>
      </c>
      <c r="F421" t="s">
        <v>6</v>
      </c>
      <c r="G421">
        <v>11</v>
      </c>
      <c r="H421">
        <v>104</v>
      </c>
      <c r="I421">
        <v>104</v>
      </c>
      <c r="J421">
        <v>104</v>
      </c>
      <c r="K421" s="6">
        <v>99.48</v>
      </c>
      <c r="L421" s="6">
        <v>0</v>
      </c>
      <c r="M421" s="6">
        <v>99.48</v>
      </c>
      <c r="N421">
        <v>0</v>
      </c>
      <c r="O421" s="6">
        <v>0</v>
      </c>
      <c r="P421">
        <v>0</v>
      </c>
      <c r="Q421" s="8">
        <v>96.11</v>
      </c>
      <c r="R421" s="8">
        <v>95.61</v>
      </c>
      <c r="S421" t="s">
        <v>32</v>
      </c>
    </row>
    <row r="422" spans="1:19" hidden="1" x14ac:dyDescent="0.25">
      <c r="A422" t="s">
        <v>123</v>
      </c>
      <c r="B422" t="s">
        <v>75</v>
      </c>
      <c r="C422" t="s">
        <v>126</v>
      </c>
      <c r="D422" t="s">
        <v>572</v>
      </c>
      <c r="E422" t="s">
        <v>94</v>
      </c>
      <c r="F422" t="s">
        <v>94</v>
      </c>
      <c r="G422">
        <v>0</v>
      </c>
      <c r="H422">
        <v>110</v>
      </c>
      <c r="I422">
        <v>110</v>
      </c>
      <c r="J422">
        <v>110</v>
      </c>
      <c r="K422" s="6">
        <v>100</v>
      </c>
      <c r="L422" s="6">
        <v>0</v>
      </c>
      <c r="M422" s="6">
        <v>100</v>
      </c>
      <c r="N422">
        <v>0</v>
      </c>
      <c r="O422" s="6">
        <v>0</v>
      </c>
      <c r="P422">
        <v>0</v>
      </c>
      <c r="Q422" s="8">
        <v>127.28</v>
      </c>
      <c r="R422" s="8">
        <v>127.28</v>
      </c>
      <c r="S422" s="9" t="s">
        <v>573</v>
      </c>
    </row>
    <row r="423" spans="1:19" hidden="1" x14ac:dyDescent="0.25">
      <c r="A423" t="s">
        <v>123</v>
      </c>
      <c r="B423" t="s">
        <v>75</v>
      </c>
      <c r="C423" t="s">
        <v>126</v>
      </c>
      <c r="D423" t="s">
        <v>572</v>
      </c>
      <c r="E423" t="s">
        <v>94</v>
      </c>
      <c r="F423" t="s">
        <v>96</v>
      </c>
      <c r="G423">
        <v>4</v>
      </c>
      <c r="H423">
        <v>110</v>
      </c>
      <c r="I423">
        <v>110</v>
      </c>
      <c r="J423">
        <v>110</v>
      </c>
      <c r="K423" s="6">
        <v>99.99</v>
      </c>
      <c r="L423" s="6">
        <v>0</v>
      </c>
      <c r="M423" s="6">
        <v>99.99</v>
      </c>
      <c r="N423">
        <v>0</v>
      </c>
      <c r="O423" s="6">
        <v>0</v>
      </c>
      <c r="P423">
        <v>0</v>
      </c>
      <c r="Q423" s="8">
        <v>127.28</v>
      </c>
      <c r="R423" s="8">
        <v>127.27</v>
      </c>
      <c r="S423" t="s">
        <v>32</v>
      </c>
    </row>
    <row r="424" spans="1:19" hidden="1" x14ac:dyDescent="0.25">
      <c r="A424" t="s">
        <v>123</v>
      </c>
      <c r="B424" t="s">
        <v>75</v>
      </c>
      <c r="C424" t="s">
        <v>126</v>
      </c>
      <c r="D424" t="s">
        <v>572</v>
      </c>
      <c r="E424" t="s">
        <v>94</v>
      </c>
      <c r="F424" t="s">
        <v>6</v>
      </c>
      <c r="G424">
        <v>11</v>
      </c>
      <c r="H424">
        <v>110</v>
      </c>
      <c r="I424">
        <v>110</v>
      </c>
      <c r="J424">
        <v>110</v>
      </c>
      <c r="K424" s="6">
        <v>99.78</v>
      </c>
      <c r="L424" s="6">
        <v>0</v>
      </c>
      <c r="M424" s="6">
        <v>99.78</v>
      </c>
      <c r="N424">
        <v>0</v>
      </c>
      <c r="O424" s="6">
        <v>0</v>
      </c>
      <c r="P424">
        <v>0</v>
      </c>
      <c r="Q424" s="8">
        <v>127.28</v>
      </c>
      <c r="R424" s="8">
        <v>127</v>
      </c>
      <c r="S424" t="s">
        <v>32</v>
      </c>
    </row>
    <row r="425" spans="1:19" hidden="1" x14ac:dyDescent="0.25">
      <c r="A425" t="s">
        <v>123</v>
      </c>
      <c r="B425" t="s">
        <v>75</v>
      </c>
      <c r="C425" t="s">
        <v>126</v>
      </c>
      <c r="D425" t="s">
        <v>574</v>
      </c>
      <c r="E425" t="s">
        <v>94</v>
      </c>
      <c r="F425" t="s">
        <v>94</v>
      </c>
      <c r="G425">
        <v>0</v>
      </c>
      <c r="H425">
        <v>106</v>
      </c>
      <c r="I425">
        <v>106</v>
      </c>
      <c r="J425">
        <v>106</v>
      </c>
      <c r="K425" s="6">
        <v>100</v>
      </c>
      <c r="L425" s="6">
        <v>0</v>
      </c>
      <c r="M425" s="6">
        <v>100</v>
      </c>
      <c r="N425">
        <v>0</v>
      </c>
      <c r="O425" s="6">
        <v>0</v>
      </c>
      <c r="P425">
        <v>0</v>
      </c>
      <c r="Q425" s="8">
        <v>87.86</v>
      </c>
      <c r="R425" s="8">
        <v>87.86</v>
      </c>
      <c r="S425" s="9" t="s">
        <v>575</v>
      </c>
    </row>
    <row r="426" spans="1:19" hidden="1" x14ac:dyDescent="0.25">
      <c r="A426" t="s">
        <v>123</v>
      </c>
      <c r="B426" t="s">
        <v>75</v>
      </c>
      <c r="C426" t="s">
        <v>126</v>
      </c>
      <c r="D426" t="s">
        <v>574</v>
      </c>
      <c r="E426" t="s">
        <v>94</v>
      </c>
      <c r="F426" t="s">
        <v>96</v>
      </c>
      <c r="G426">
        <v>4</v>
      </c>
      <c r="H426">
        <v>106</v>
      </c>
      <c r="I426">
        <v>106</v>
      </c>
      <c r="J426">
        <v>106</v>
      </c>
      <c r="K426" s="6">
        <v>100</v>
      </c>
      <c r="L426" s="6">
        <v>0</v>
      </c>
      <c r="M426" s="6">
        <v>100</v>
      </c>
      <c r="N426">
        <v>0</v>
      </c>
      <c r="O426" s="6">
        <v>0</v>
      </c>
      <c r="P426">
        <v>0</v>
      </c>
      <c r="Q426" s="8">
        <v>87.86</v>
      </c>
      <c r="R426" s="8">
        <v>87.86</v>
      </c>
      <c r="S426" t="s">
        <v>32</v>
      </c>
    </row>
    <row r="427" spans="1:19" hidden="1" x14ac:dyDescent="0.25">
      <c r="A427" t="s">
        <v>123</v>
      </c>
      <c r="B427" t="s">
        <v>75</v>
      </c>
      <c r="C427" t="s">
        <v>126</v>
      </c>
      <c r="D427" t="s">
        <v>574</v>
      </c>
      <c r="E427" t="s">
        <v>94</v>
      </c>
      <c r="F427" t="s">
        <v>6</v>
      </c>
      <c r="G427">
        <v>11</v>
      </c>
      <c r="H427">
        <v>106</v>
      </c>
      <c r="I427">
        <v>106</v>
      </c>
      <c r="J427">
        <v>106</v>
      </c>
      <c r="K427" s="6">
        <v>99.32</v>
      </c>
      <c r="L427" s="6">
        <v>0</v>
      </c>
      <c r="M427" s="6">
        <v>99.32</v>
      </c>
      <c r="N427">
        <v>0</v>
      </c>
      <c r="O427" s="6">
        <v>0</v>
      </c>
      <c r="P427">
        <v>0</v>
      </c>
      <c r="Q427" s="8">
        <v>87.86</v>
      </c>
      <c r="R427" s="8">
        <v>87.26</v>
      </c>
      <c r="S427" t="s">
        <v>32</v>
      </c>
    </row>
    <row r="428" spans="1:19" hidden="1" x14ac:dyDescent="0.25">
      <c r="A428" t="s">
        <v>123</v>
      </c>
      <c r="B428" t="s">
        <v>75</v>
      </c>
      <c r="C428" t="s">
        <v>126</v>
      </c>
      <c r="D428" t="s">
        <v>576</v>
      </c>
      <c r="E428" t="s">
        <v>94</v>
      </c>
      <c r="F428" t="s">
        <v>94</v>
      </c>
      <c r="G428">
        <v>0</v>
      </c>
      <c r="H428">
        <v>100</v>
      </c>
      <c r="I428">
        <v>100</v>
      </c>
      <c r="J428">
        <v>100</v>
      </c>
      <c r="K428" s="6">
        <v>100</v>
      </c>
      <c r="L428" s="6">
        <v>0</v>
      </c>
      <c r="M428" s="6">
        <v>100</v>
      </c>
      <c r="N428">
        <v>0</v>
      </c>
      <c r="O428" s="6">
        <v>0</v>
      </c>
      <c r="P428">
        <v>0</v>
      </c>
      <c r="Q428" s="8">
        <v>92.86</v>
      </c>
      <c r="R428" s="8">
        <v>92.86</v>
      </c>
      <c r="S428" s="9" t="s">
        <v>577</v>
      </c>
    </row>
    <row r="429" spans="1:19" hidden="1" x14ac:dyDescent="0.25">
      <c r="A429" t="s">
        <v>123</v>
      </c>
      <c r="B429" t="s">
        <v>75</v>
      </c>
      <c r="C429" t="s">
        <v>126</v>
      </c>
      <c r="D429" t="s">
        <v>576</v>
      </c>
      <c r="E429" t="s">
        <v>94</v>
      </c>
      <c r="F429" t="s">
        <v>96</v>
      </c>
      <c r="G429">
        <v>4</v>
      </c>
      <c r="H429">
        <v>100</v>
      </c>
      <c r="I429">
        <v>100</v>
      </c>
      <c r="J429">
        <v>100</v>
      </c>
      <c r="K429" s="6">
        <v>100</v>
      </c>
      <c r="L429" s="6">
        <v>0</v>
      </c>
      <c r="M429" s="6">
        <v>100</v>
      </c>
      <c r="N429">
        <v>0</v>
      </c>
      <c r="O429" s="6">
        <v>0</v>
      </c>
      <c r="P429">
        <v>0</v>
      </c>
      <c r="Q429" s="8">
        <v>92.86</v>
      </c>
      <c r="R429" s="8">
        <v>92.86</v>
      </c>
      <c r="S429" t="s">
        <v>32</v>
      </c>
    </row>
    <row r="430" spans="1:19" hidden="1" x14ac:dyDescent="0.25">
      <c r="A430" t="s">
        <v>123</v>
      </c>
      <c r="B430" t="s">
        <v>75</v>
      </c>
      <c r="C430" t="s">
        <v>126</v>
      </c>
      <c r="D430" t="s">
        <v>576</v>
      </c>
      <c r="E430" t="s">
        <v>94</v>
      </c>
      <c r="F430" t="s">
        <v>6</v>
      </c>
      <c r="G430">
        <v>11</v>
      </c>
      <c r="H430">
        <v>100</v>
      </c>
      <c r="I430">
        <v>100</v>
      </c>
      <c r="J430">
        <v>100</v>
      </c>
      <c r="K430" s="6">
        <v>99.77</v>
      </c>
      <c r="L430" s="6">
        <v>0</v>
      </c>
      <c r="M430" s="6">
        <v>99.77</v>
      </c>
      <c r="N430">
        <v>0</v>
      </c>
      <c r="O430" s="6">
        <v>0</v>
      </c>
      <c r="P430">
        <v>0</v>
      </c>
      <c r="Q430" s="8">
        <v>92.86</v>
      </c>
      <c r="R430" s="8">
        <v>92.64</v>
      </c>
      <c r="S430" t="s">
        <v>32</v>
      </c>
    </row>
    <row r="431" spans="1:19" hidden="1" x14ac:dyDescent="0.25">
      <c r="A431" t="s">
        <v>123</v>
      </c>
      <c r="B431" t="s">
        <v>75</v>
      </c>
      <c r="C431" t="s">
        <v>126</v>
      </c>
      <c r="D431" t="s">
        <v>578</v>
      </c>
      <c r="E431" t="s">
        <v>94</v>
      </c>
      <c r="F431" t="s">
        <v>94</v>
      </c>
      <c r="G431">
        <v>0</v>
      </c>
      <c r="H431">
        <v>114</v>
      </c>
      <c r="I431">
        <v>114</v>
      </c>
      <c r="J431">
        <v>114</v>
      </c>
      <c r="K431" s="6">
        <v>100</v>
      </c>
      <c r="L431" s="6">
        <v>0</v>
      </c>
      <c r="M431" s="6">
        <v>100</v>
      </c>
      <c r="N431">
        <v>0</v>
      </c>
      <c r="O431" s="6">
        <v>0</v>
      </c>
      <c r="P431">
        <v>0</v>
      </c>
      <c r="Q431" s="8">
        <v>111.37</v>
      </c>
      <c r="R431" s="8">
        <v>111.37</v>
      </c>
      <c r="S431" s="9" t="s">
        <v>579</v>
      </c>
    </row>
    <row r="432" spans="1:19" hidden="1" x14ac:dyDescent="0.25">
      <c r="A432" t="s">
        <v>123</v>
      </c>
      <c r="B432" t="s">
        <v>75</v>
      </c>
      <c r="C432" t="s">
        <v>126</v>
      </c>
      <c r="D432" t="s">
        <v>578</v>
      </c>
      <c r="E432" t="s">
        <v>94</v>
      </c>
      <c r="F432" t="s">
        <v>96</v>
      </c>
      <c r="G432">
        <v>4</v>
      </c>
      <c r="H432">
        <v>114</v>
      </c>
      <c r="I432">
        <v>114</v>
      </c>
      <c r="J432">
        <v>114</v>
      </c>
      <c r="K432" s="6">
        <v>100</v>
      </c>
      <c r="L432" s="6">
        <v>0</v>
      </c>
      <c r="M432" s="6">
        <v>100</v>
      </c>
      <c r="N432">
        <v>0</v>
      </c>
      <c r="O432" s="6">
        <v>0</v>
      </c>
      <c r="P432">
        <v>0</v>
      </c>
      <c r="Q432" s="8">
        <v>111.37</v>
      </c>
      <c r="R432" s="8">
        <v>111.37</v>
      </c>
      <c r="S432" t="s">
        <v>32</v>
      </c>
    </row>
    <row r="433" spans="1:19" hidden="1" x14ac:dyDescent="0.25">
      <c r="A433" t="s">
        <v>123</v>
      </c>
      <c r="B433" t="s">
        <v>75</v>
      </c>
      <c r="C433" t="s">
        <v>126</v>
      </c>
      <c r="D433" t="s">
        <v>578</v>
      </c>
      <c r="E433" t="s">
        <v>94</v>
      </c>
      <c r="F433" t="s">
        <v>6</v>
      </c>
      <c r="G433">
        <v>11</v>
      </c>
      <c r="H433">
        <v>114</v>
      </c>
      <c r="I433">
        <v>114</v>
      </c>
      <c r="J433">
        <v>114</v>
      </c>
      <c r="K433" s="6">
        <v>99.6</v>
      </c>
      <c r="L433" s="6">
        <v>0</v>
      </c>
      <c r="M433" s="6">
        <v>99.6</v>
      </c>
      <c r="N433">
        <v>0</v>
      </c>
      <c r="O433" s="6">
        <v>0</v>
      </c>
      <c r="P433">
        <v>0</v>
      </c>
      <c r="Q433" s="8">
        <v>111.37</v>
      </c>
      <c r="R433" s="8">
        <v>110.92</v>
      </c>
      <c r="S433" t="s">
        <v>32</v>
      </c>
    </row>
    <row r="434" spans="1:19" hidden="1" x14ac:dyDescent="0.25">
      <c r="A434" t="s">
        <v>123</v>
      </c>
      <c r="B434" t="s">
        <v>75</v>
      </c>
      <c r="C434" t="s">
        <v>126</v>
      </c>
      <c r="D434" t="s">
        <v>580</v>
      </c>
      <c r="E434" t="s">
        <v>94</v>
      </c>
      <c r="F434" t="s">
        <v>94</v>
      </c>
      <c r="G434">
        <v>0</v>
      </c>
      <c r="H434">
        <v>76</v>
      </c>
      <c r="I434">
        <v>76</v>
      </c>
      <c r="J434">
        <v>76</v>
      </c>
      <c r="K434" s="6">
        <v>100</v>
      </c>
      <c r="L434" s="6">
        <v>0</v>
      </c>
      <c r="M434" s="6">
        <v>100</v>
      </c>
      <c r="N434">
        <v>0</v>
      </c>
      <c r="O434" s="6">
        <v>0</v>
      </c>
      <c r="P434">
        <v>0</v>
      </c>
      <c r="Q434" s="8">
        <v>115.04</v>
      </c>
      <c r="R434" s="8">
        <v>115.04</v>
      </c>
      <c r="S434" s="9" t="s">
        <v>581</v>
      </c>
    </row>
    <row r="435" spans="1:19" hidden="1" x14ac:dyDescent="0.25">
      <c r="A435" t="s">
        <v>123</v>
      </c>
      <c r="B435" t="s">
        <v>75</v>
      </c>
      <c r="C435" t="s">
        <v>126</v>
      </c>
      <c r="D435" t="s">
        <v>580</v>
      </c>
      <c r="E435" t="s">
        <v>94</v>
      </c>
      <c r="F435" t="s">
        <v>96</v>
      </c>
      <c r="G435">
        <v>4</v>
      </c>
      <c r="H435">
        <v>76</v>
      </c>
      <c r="I435">
        <v>76</v>
      </c>
      <c r="J435">
        <v>76</v>
      </c>
      <c r="K435" s="6">
        <v>99.96</v>
      </c>
      <c r="L435" s="6">
        <v>0</v>
      </c>
      <c r="M435" s="6">
        <v>99.96</v>
      </c>
      <c r="N435">
        <v>0</v>
      </c>
      <c r="O435" s="6">
        <v>0</v>
      </c>
      <c r="P435">
        <v>0</v>
      </c>
      <c r="Q435" s="8">
        <v>115.04</v>
      </c>
      <c r="R435" s="8">
        <v>114.99</v>
      </c>
      <c r="S435" t="s">
        <v>32</v>
      </c>
    </row>
    <row r="436" spans="1:19" hidden="1" x14ac:dyDescent="0.25">
      <c r="A436" t="s">
        <v>123</v>
      </c>
      <c r="B436" t="s">
        <v>75</v>
      </c>
      <c r="C436" t="s">
        <v>126</v>
      </c>
      <c r="D436" t="s">
        <v>580</v>
      </c>
      <c r="E436" t="s">
        <v>94</v>
      </c>
      <c r="F436" t="s">
        <v>6</v>
      </c>
      <c r="G436">
        <v>11</v>
      </c>
      <c r="H436">
        <v>76</v>
      </c>
      <c r="I436">
        <v>76</v>
      </c>
      <c r="J436">
        <v>76</v>
      </c>
      <c r="K436" s="6">
        <v>99.36</v>
      </c>
      <c r="L436" s="6">
        <v>0</v>
      </c>
      <c r="M436" s="6">
        <v>99.36</v>
      </c>
      <c r="N436">
        <v>0</v>
      </c>
      <c r="O436" s="6">
        <v>0</v>
      </c>
      <c r="P436">
        <v>0</v>
      </c>
      <c r="Q436" s="8">
        <v>115.04</v>
      </c>
      <c r="R436" s="8">
        <v>114.3</v>
      </c>
      <c r="S436" t="s">
        <v>32</v>
      </c>
    </row>
    <row r="437" spans="1:19" hidden="1" x14ac:dyDescent="0.25">
      <c r="A437" t="s">
        <v>123</v>
      </c>
      <c r="B437" t="s">
        <v>75</v>
      </c>
      <c r="C437" t="s">
        <v>126</v>
      </c>
      <c r="D437" t="s">
        <v>582</v>
      </c>
      <c r="E437" t="s">
        <v>94</v>
      </c>
      <c r="F437" t="s">
        <v>94</v>
      </c>
      <c r="G437">
        <v>0</v>
      </c>
      <c r="H437">
        <v>11</v>
      </c>
      <c r="I437">
        <v>11</v>
      </c>
      <c r="J437">
        <v>11</v>
      </c>
      <c r="K437" s="6">
        <v>100</v>
      </c>
      <c r="L437" s="6">
        <v>0</v>
      </c>
      <c r="M437" s="6">
        <v>100</v>
      </c>
      <c r="N437">
        <v>0</v>
      </c>
      <c r="O437" s="6">
        <v>0</v>
      </c>
      <c r="P437">
        <v>0</v>
      </c>
      <c r="Q437" s="8">
        <v>136.77000000000001</v>
      </c>
      <c r="R437" s="8">
        <v>136.77000000000001</v>
      </c>
      <c r="S437" s="9" t="s">
        <v>528</v>
      </c>
    </row>
    <row r="438" spans="1:19" hidden="1" x14ac:dyDescent="0.25">
      <c r="A438" t="s">
        <v>123</v>
      </c>
      <c r="B438" t="s">
        <v>75</v>
      </c>
      <c r="C438" t="s">
        <v>126</v>
      </c>
      <c r="D438" t="s">
        <v>582</v>
      </c>
      <c r="E438" t="s">
        <v>94</v>
      </c>
      <c r="F438" t="s">
        <v>96</v>
      </c>
      <c r="G438">
        <v>4</v>
      </c>
      <c r="H438">
        <v>11</v>
      </c>
      <c r="I438">
        <v>11</v>
      </c>
      <c r="J438">
        <v>11</v>
      </c>
      <c r="K438" s="6">
        <v>100</v>
      </c>
      <c r="L438" s="6">
        <v>0</v>
      </c>
      <c r="M438" s="6">
        <v>100</v>
      </c>
      <c r="N438">
        <v>0</v>
      </c>
      <c r="O438" s="6">
        <v>0</v>
      </c>
      <c r="P438">
        <v>0</v>
      </c>
      <c r="Q438" s="8">
        <v>136.77000000000001</v>
      </c>
      <c r="R438" s="8">
        <v>136.77000000000001</v>
      </c>
      <c r="S438" s="10" t="s">
        <v>529</v>
      </c>
    </row>
    <row r="439" spans="1:19" hidden="1" x14ac:dyDescent="0.25">
      <c r="A439" t="s">
        <v>123</v>
      </c>
      <c r="B439" t="s">
        <v>75</v>
      </c>
      <c r="C439" t="s">
        <v>126</v>
      </c>
      <c r="D439" t="s">
        <v>582</v>
      </c>
      <c r="E439" t="s">
        <v>94</v>
      </c>
      <c r="F439" t="s">
        <v>6</v>
      </c>
      <c r="G439">
        <v>11</v>
      </c>
      <c r="H439">
        <v>11</v>
      </c>
      <c r="I439">
        <v>11</v>
      </c>
      <c r="J439">
        <v>11</v>
      </c>
      <c r="K439" s="6">
        <v>100</v>
      </c>
      <c r="L439" s="6">
        <v>0</v>
      </c>
      <c r="M439" s="6">
        <v>100</v>
      </c>
      <c r="N439">
        <v>0</v>
      </c>
      <c r="O439" s="6">
        <v>0</v>
      </c>
      <c r="P439">
        <v>0</v>
      </c>
      <c r="Q439" s="8">
        <v>136.77000000000001</v>
      </c>
      <c r="R439" s="8">
        <v>136.77000000000001</v>
      </c>
      <c r="S439" s="10" t="s">
        <v>529</v>
      </c>
    </row>
    <row r="440" spans="1:19" hidden="1" x14ac:dyDescent="0.25">
      <c r="A440" t="s">
        <v>123</v>
      </c>
      <c r="B440" t="s">
        <v>75</v>
      </c>
      <c r="C440" t="s">
        <v>126</v>
      </c>
      <c r="D440" t="s">
        <v>583</v>
      </c>
      <c r="E440" t="s">
        <v>94</v>
      </c>
      <c r="F440" t="s">
        <v>94</v>
      </c>
      <c r="G440">
        <v>0</v>
      </c>
      <c r="H440">
        <v>10</v>
      </c>
      <c r="I440">
        <v>10</v>
      </c>
      <c r="J440">
        <v>10</v>
      </c>
      <c r="K440" s="6">
        <v>100</v>
      </c>
      <c r="L440" s="6">
        <v>0</v>
      </c>
      <c r="M440" s="6">
        <v>100</v>
      </c>
      <c r="N440">
        <v>0</v>
      </c>
      <c r="O440" s="6">
        <v>0</v>
      </c>
      <c r="P440">
        <v>0</v>
      </c>
      <c r="Q440" s="8">
        <v>164.35</v>
      </c>
      <c r="R440" s="8">
        <v>164.35</v>
      </c>
      <c r="S440" s="9" t="s">
        <v>584</v>
      </c>
    </row>
    <row r="441" spans="1:19" hidden="1" x14ac:dyDescent="0.25">
      <c r="A441" t="s">
        <v>123</v>
      </c>
      <c r="B441" t="s">
        <v>75</v>
      </c>
      <c r="C441" t="s">
        <v>126</v>
      </c>
      <c r="D441" t="s">
        <v>583</v>
      </c>
      <c r="E441" t="s">
        <v>94</v>
      </c>
      <c r="F441" t="s">
        <v>96</v>
      </c>
      <c r="G441">
        <v>4</v>
      </c>
      <c r="H441">
        <v>10</v>
      </c>
      <c r="I441">
        <v>10</v>
      </c>
      <c r="J441">
        <v>10</v>
      </c>
      <c r="K441" s="6">
        <v>100</v>
      </c>
      <c r="L441" s="6">
        <v>0</v>
      </c>
      <c r="M441" s="6">
        <v>100</v>
      </c>
      <c r="N441">
        <v>0</v>
      </c>
      <c r="O441" s="6">
        <v>0</v>
      </c>
      <c r="P441">
        <v>0</v>
      </c>
      <c r="Q441" s="8">
        <v>164.35</v>
      </c>
      <c r="R441" s="8">
        <v>164.35</v>
      </c>
      <c r="S441" s="10" t="s">
        <v>131</v>
      </c>
    </row>
    <row r="442" spans="1:19" hidden="1" x14ac:dyDescent="0.25">
      <c r="A442" t="s">
        <v>123</v>
      </c>
      <c r="B442" t="s">
        <v>75</v>
      </c>
      <c r="C442" t="s">
        <v>126</v>
      </c>
      <c r="D442" t="s">
        <v>583</v>
      </c>
      <c r="E442" t="s">
        <v>94</v>
      </c>
      <c r="F442" t="s">
        <v>6</v>
      </c>
      <c r="G442">
        <v>11</v>
      </c>
      <c r="H442">
        <v>10</v>
      </c>
      <c r="I442">
        <v>10</v>
      </c>
      <c r="J442">
        <v>10</v>
      </c>
      <c r="K442" s="6">
        <v>100</v>
      </c>
      <c r="L442" s="6">
        <v>0</v>
      </c>
      <c r="M442" s="6">
        <v>100</v>
      </c>
      <c r="N442">
        <v>0</v>
      </c>
      <c r="O442" s="6">
        <v>0</v>
      </c>
      <c r="P442">
        <v>0</v>
      </c>
      <c r="Q442" s="8">
        <v>164.35</v>
      </c>
      <c r="R442" s="8">
        <v>164.35</v>
      </c>
      <c r="S442" s="10" t="s">
        <v>131</v>
      </c>
    </row>
    <row r="443" spans="1:19" hidden="1" x14ac:dyDescent="0.25">
      <c r="A443" t="s">
        <v>123</v>
      </c>
      <c r="B443" t="s">
        <v>75</v>
      </c>
      <c r="C443" t="s">
        <v>126</v>
      </c>
      <c r="D443" t="s">
        <v>585</v>
      </c>
      <c r="E443" t="s">
        <v>94</v>
      </c>
      <c r="F443" t="s">
        <v>94</v>
      </c>
      <c r="G443">
        <v>0</v>
      </c>
      <c r="H443">
        <v>12</v>
      </c>
      <c r="I443">
        <v>12</v>
      </c>
      <c r="J443">
        <v>12</v>
      </c>
      <c r="K443" s="6">
        <v>100</v>
      </c>
      <c r="L443" s="6">
        <v>0</v>
      </c>
      <c r="M443" s="6">
        <v>100</v>
      </c>
      <c r="N443">
        <v>0</v>
      </c>
      <c r="O443" s="6">
        <v>0</v>
      </c>
      <c r="P443">
        <v>0</v>
      </c>
      <c r="Q443" s="8">
        <v>158.53</v>
      </c>
      <c r="R443" s="8">
        <v>158.53</v>
      </c>
      <c r="S443" s="9" t="s">
        <v>586</v>
      </c>
    </row>
    <row r="444" spans="1:19" hidden="1" x14ac:dyDescent="0.25">
      <c r="A444" t="s">
        <v>123</v>
      </c>
      <c r="B444" t="s">
        <v>75</v>
      </c>
      <c r="C444" t="s">
        <v>126</v>
      </c>
      <c r="D444" t="s">
        <v>585</v>
      </c>
      <c r="E444" t="s">
        <v>94</v>
      </c>
      <c r="F444" t="s">
        <v>96</v>
      </c>
      <c r="G444">
        <v>4</v>
      </c>
      <c r="H444">
        <v>12</v>
      </c>
      <c r="I444">
        <v>12</v>
      </c>
      <c r="J444">
        <v>12</v>
      </c>
      <c r="K444" s="6">
        <v>100</v>
      </c>
      <c r="L444" s="6">
        <v>0</v>
      </c>
      <c r="M444" s="6">
        <v>100</v>
      </c>
      <c r="N444">
        <v>0</v>
      </c>
      <c r="O444" s="6">
        <v>0</v>
      </c>
      <c r="P444">
        <v>0</v>
      </c>
      <c r="Q444" s="8">
        <v>158.53</v>
      </c>
      <c r="R444" s="8">
        <v>158.53</v>
      </c>
      <c r="S444" s="10" t="s">
        <v>587</v>
      </c>
    </row>
    <row r="445" spans="1:19" hidden="1" x14ac:dyDescent="0.25">
      <c r="A445" t="s">
        <v>123</v>
      </c>
      <c r="B445" t="s">
        <v>75</v>
      </c>
      <c r="C445" t="s">
        <v>126</v>
      </c>
      <c r="D445" t="s">
        <v>585</v>
      </c>
      <c r="E445" t="s">
        <v>94</v>
      </c>
      <c r="F445" t="s">
        <v>6</v>
      </c>
      <c r="G445">
        <v>11</v>
      </c>
      <c r="H445">
        <v>12</v>
      </c>
      <c r="I445">
        <v>12</v>
      </c>
      <c r="J445">
        <v>12</v>
      </c>
      <c r="K445" s="6">
        <v>100</v>
      </c>
      <c r="L445" s="6">
        <v>0</v>
      </c>
      <c r="M445" s="6">
        <v>100</v>
      </c>
      <c r="N445">
        <v>0</v>
      </c>
      <c r="O445" s="6">
        <v>0</v>
      </c>
      <c r="P445">
        <v>0</v>
      </c>
      <c r="Q445" s="8">
        <v>158.53</v>
      </c>
      <c r="R445" s="8">
        <v>158.53</v>
      </c>
      <c r="S445" s="10" t="s">
        <v>587</v>
      </c>
    </row>
    <row r="446" spans="1:19" hidden="1" x14ac:dyDescent="0.25">
      <c r="A446" t="s">
        <v>123</v>
      </c>
      <c r="B446" t="s">
        <v>75</v>
      </c>
      <c r="C446" t="s">
        <v>126</v>
      </c>
      <c r="D446" t="s">
        <v>588</v>
      </c>
      <c r="E446" t="s">
        <v>94</v>
      </c>
      <c r="F446" t="s">
        <v>94</v>
      </c>
      <c r="G446">
        <v>0</v>
      </c>
      <c r="H446">
        <v>11</v>
      </c>
      <c r="I446">
        <v>11</v>
      </c>
      <c r="J446">
        <v>11</v>
      </c>
      <c r="K446" s="6">
        <v>100</v>
      </c>
      <c r="L446" s="6">
        <v>0</v>
      </c>
      <c r="M446" s="6">
        <v>100</v>
      </c>
      <c r="N446">
        <v>0</v>
      </c>
      <c r="O446" s="6">
        <v>0</v>
      </c>
      <c r="P446">
        <v>0</v>
      </c>
      <c r="Q446" s="8">
        <v>117.47</v>
      </c>
      <c r="R446" s="8">
        <v>117.47</v>
      </c>
      <c r="S446" s="9" t="s">
        <v>528</v>
      </c>
    </row>
    <row r="447" spans="1:19" hidden="1" x14ac:dyDescent="0.25">
      <c r="A447" t="s">
        <v>123</v>
      </c>
      <c r="B447" t="s">
        <v>75</v>
      </c>
      <c r="C447" t="s">
        <v>126</v>
      </c>
      <c r="D447" t="s">
        <v>588</v>
      </c>
      <c r="E447" t="s">
        <v>94</v>
      </c>
      <c r="F447" t="s">
        <v>96</v>
      </c>
      <c r="G447">
        <v>4</v>
      </c>
      <c r="H447">
        <v>11</v>
      </c>
      <c r="I447">
        <v>11</v>
      </c>
      <c r="J447">
        <v>11</v>
      </c>
      <c r="K447" s="6">
        <v>100</v>
      </c>
      <c r="L447" s="6">
        <v>0</v>
      </c>
      <c r="M447" s="6">
        <v>100</v>
      </c>
      <c r="N447">
        <v>0</v>
      </c>
      <c r="O447" s="6">
        <v>0</v>
      </c>
      <c r="P447">
        <v>0</v>
      </c>
      <c r="Q447" s="8">
        <v>117.47</v>
      </c>
      <c r="R447" s="8">
        <v>117.47</v>
      </c>
      <c r="S447" s="10" t="s">
        <v>529</v>
      </c>
    </row>
    <row r="448" spans="1:19" hidden="1" x14ac:dyDescent="0.25">
      <c r="A448" t="s">
        <v>123</v>
      </c>
      <c r="B448" t="s">
        <v>75</v>
      </c>
      <c r="C448" t="s">
        <v>126</v>
      </c>
      <c r="D448" t="s">
        <v>588</v>
      </c>
      <c r="E448" t="s">
        <v>94</v>
      </c>
      <c r="F448" t="s">
        <v>6</v>
      </c>
      <c r="G448">
        <v>11</v>
      </c>
      <c r="H448">
        <v>11</v>
      </c>
      <c r="I448">
        <v>11</v>
      </c>
      <c r="J448">
        <v>11</v>
      </c>
      <c r="K448" s="6">
        <v>100</v>
      </c>
      <c r="L448" s="6">
        <v>0</v>
      </c>
      <c r="M448" s="6">
        <v>100</v>
      </c>
      <c r="N448">
        <v>0</v>
      </c>
      <c r="O448" s="6">
        <v>0</v>
      </c>
      <c r="P448">
        <v>0</v>
      </c>
      <c r="Q448" s="8">
        <v>117.47</v>
      </c>
      <c r="R448" s="8">
        <v>117.47</v>
      </c>
      <c r="S448" s="10" t="s">
        <v>529</v>
      </c>
    </row>
    <row r="449" spans="1:19" hidden="1" x14ac:dyDescent="0.25">
      <c r="A449" t="s">
        <v>123</v>
      </c>
      <c r="B449" t="s">
        <v>75</v>
      </c>
      <c r="C449" t="s">
        <v>126</v>
      </c>
      <c r="D449" t="s">
        <v>589</v>
      </c>
      <c r="E449" t="s">
        <v>94</v>
      </c>
      <c r="F449" t="s">
        <v>94</v>
      </c>
      <c r="G449">
        <v>0</v>
      </c>
      <c r="H449">
        <v>6</v>
      </c>
      <c r="I449">
        <v>6</v>
      </c>
      <c r="J449">
        <v>6</v>
      </c>
      <c r="K449" s="6">
        <v>100</v>
      </c>
      <c r="L449" s="6">
        <v>0</v>
      </c>
      <c r="M449" s="6">
        <v>100</v>
      </c>
      <c r="N449">
        <v>0</v>
      </c>
      <c r="O449" s="6">
        <v>0</v>
      </c>
      <c r="P449">
        <v>0</v>
      </c>
      <c r="Q449" s="8">
        <v>117.39</v>
      </c>
      <c r="R449" s="8">
        <v>117.39</v>
      </c>
      <c r="S449" s="9" t="s">
        <v>534</v>
      </c>
    </row>
    <row r="450" spans="1:19" hidden="1" x14ac:dyDescent="0.25">
      <c r="A450" t="s">
        <v>123</v>
      </c>
      <c r="B450" t="s">
        <v>75</v>
      </c>
      <c r="C450" t="s">
        <v>126</v>
      </c>
      <c r="D450" t="s">
        <v>589</v>
      </c>
      <c r="E450" t="s">
        <v>94</v>
      </c>
      <c r="F450" t="s">
        <v>96</v>
      </c>
      <c r="G450">
        <v>4</v>
      </c>
      <c r="H450">
        <v>6</v>
      </c>
      <c r="I450">
        <v>6</v>
      </c>
      <c r="J450">
        <v>6</v>
      </c>
      <c r="K450" s="6">
        <v>90.06</v>
      </c>
      <c r="L450" s="6">
        <v>0</v>
      </c>
      <c r="M450" s="6">
        <v>90.06</v>
      </c>
      <c r="N450">
        <v>0</v>
      </c>
      <c r="O450" s="6">
        <v>0</v>
      </c>
      <c r="P450">
        <v>0</v>
      </c>
      <c r="Q450" s="8">
        <v>117.39</v>
      </c>
      <c r="R450" s="8">
        <v>105.73</v>
      </c>
      <c r="S450" s="9" t="s">
        <v>535</v>
      </c>
    </row>
    <row r="451" spans="1:19" hidden="1" x14ac:dyDescent="0.25">
      <c r="A451" t="s">
        <v>123</v>
      </c>
      <c r="B451" t="s">
        <v>75</v>
      </c>
      <c r="C451" t="s">
        <v>126</v>
      </c>
      <c r="D451" t="s">
        <v>589</v>
      </c>
      <c r="E451" t="s">
        <v>94</v>
      </c>
      <c r="F451" t="s">
        <v>6</v>
      </c>
      <c r="G451">
        <v>11</v>
      </c>
      <c r="H451">
        <v>6</v>
      </c>
      <c r="I451">
        <v>6</v>
      </c>
      <c r="J451">
        <v>6</v>
      </c>
      <c r="K451" s="6">
        <v>90.06</v>
      </c>
      <c r="L451" s="6">
        <v>0</v>
      </c>
      <c r="M451" s="6">
        <v>90.06</v>
      </c>
      <c r="N451">
        <v>0</v>
      </c>
      <c r="O451" s="6">
        <v>0</v>
      </c>
      <c r="P451">
        <v>0</v>
      </c>
      <c r="Q451" s="8">
        <v>117.39</v>
      </c>
      <c r="R451" s="8">
        <v>105.73</v>
      </c>
      <c r="S451" s="9" t="s">
        <v>535</v>
      </c>
    </row>
    <row r="452" spans="1:19" hidden="1" x14ac:dyDescent="0.25">
      <c r="A452" t="s">
        <v>123</v>
      </c>
      <c r="B452" t="s">
        <v>75</v>
      </c>
      <c r="C452" t="s">
        <v>126</v>
      </c>
      <c r="D452" t="s">
        <v>590</v>
      </c>
      <c r="E452" t="s">
        <v>94</v>
      </c>
      <c r="F452" t="s">
        <v>94</v>
      </c>
      <c r="G452">
        <v>0</v>
      </c>
      <c r="H452">
        <v>5</v>
      </c>
      <c r="I452">
        <v>5</v>
      </c>
      <c r="J452">
        <v>5</v>
      </c>
      <c r="K452" s="6">
        <v>100</v>
      </c>
      <c r="L452" s="6">
        <v>0</v>
      </c>
      <c r="M452" s="6">
        <v>100</v>
      </c>
      <c r="N452">
        <v>0</v>
      </c>
      <c r="O452" s="6">
        <v>0</v>
      </c>
      <c r="P452">
        <v>0</v>
      </c>
      <c r="Q452" s="8">
        <v>108.13</v>
      </c>
      <c r="R452" s="8">
        <v>108.13</v>
      </c>
      <c r="S452" s="9" t="s">
        <v>538</v>
      </c>
    </row>
    <row r="453" spans="1:19" hidden="1" x14ac:dyDescent="0.25">
      <c r="A453" t="s">
        <v>123</v>
      </c>
      <c r="B453" t="s">
        <v>75</v>
      </c>
      <c r="C453" t="s">
        <v>126</v>
      </c>
      <c r="D453" t="s">
        <v>590</v>
      </c>
      <c r="E453" t="s">
        <v>94</v>
      </c>
      <c r="F453" t="s">
        <v>96</v>
      </c>
      <c r="G453">
        <v>4</v>
      </c>
      <c r="H453">
        <v>5</v>
      </c>
      <c r="I453">
        <v>5</v>
      </c>
      <c r="J453">
        <v>5</v>
      </c>
      <c r="K453" s="6">
        <v>98.77</v>
      </c>
      <c r="L453" s="6">
        <v>0</v>
      </c>
      <c r="M453" s="6">
        <v>98.77</v>
      </c>
      <c r="N453">
        <v>0</v>
      </c>
      <c r="O453" s="6">
        <v>0</v>
      </c>
      <c r="P453">
        <v>0</v>
      </c>
      <c r="Q453" s="8">
        <v>108.13</v>
      </c>
      <c r="R453" s="8">
        <v>106.8</v>
      </c>
      <c r="S453" s="9" t="s">
        <v>133</v>
      </c>
    </row>
    <row r="454" spans="1:19" hidden="1" x14ac:dyDescent="0.25">
      <c r="A454" t="s">
        <v>123</v>
      </c>
      <c r="B454" t="s">
        <v>75</v>
      </c>
      <c r="C454" t="s">
        <v>126</v>
      </c>
      <c r="D454" t="s">
        <v>590</v>
      </c>
      <c r="E454" t="s">
        <v>94</v>
      </c>
      <c r="F454" t="s">
        <v>6</v>
      </c>
      <c r="G454">
        <v>11</v>
      </c>
      <c r="H454">
        <v>5</v>
      </c>
      <c r="I454">
        <v>5</v>
      </c>
      <c r="J454">
        <v>5</v>
      </c>
      <c r="K454" s="6">
        <v>98.77</v>
      </c>
      <c r="L454" s="6">
        <v>0</v>
      </c>
      <c r="M454" s="6">
        <v>98.77</v>
      </c>
      <c r="N454">
        <v>0</v>
      </c>
      <c r="O454" s="6">
        <v>0</v>
      </c>
      <c r="P454">
        <v>0</v>
      </c>
      <c r="Q454" s="8">
        <v>108.13</v>
      </c>
      <c r="R454" s="8">
        <v>106.8</v>
      </c>
      <c r="S454" s="9" t="s">
        <v>133</v>
      </c>
    </row>
    <row r="455" spans="1:19" hidden="1" x14ac:dyDescent="0.25">
      <c r="A455" t="s">
        <v>123</v>
      </c>
      <c r="B455" t="s">
        <v>75</v>
      </c>
      <c r="C455" t="s">
        <v>127</v>
      </c>
      <c r="D455" t="s">
        <v>539</v>
      </c>
      <c r="E455" t="s">
        <v>91</v>
      </c>
      <c r="F455" t="s">
        <v>91</v>
      </c>
      <c r="G455">
        <v>0</v>
      </c>
      <c r="H455">
        <v>72</v>
      </c>
      <c r="I455">
        <v>72</v>
      </c>
      <c r="J455">
        <v>72</v>
      </c>
      <c r="K455" s="6">
        <v>100</v>
      </c>
      <c r="L455" s="6">
        <v>0</v>
      </c>
      <c r="M455" s="6">
        <v>100</v>
      </c>
      <c r="N455">
        <v>0</v>
      </c>
      <c r="O455" s="6">
        <v>0</v>
      </c>
      <c r="P455">
        <v>0</v>
      </c>
      <c r="Q455" s="8">
        <v>117.32</v>
      </c>
      <c r="R455" s="8">
        <v>117.32</v>
      </c>
      <c r="S455" s="9" t="s">
        <v>594</v>
      </c>
    </row>
    <row r="456" spans="1:19" hidden="1" x14ac:dyDescent="0.25">
      <c r="A456" t="s">
        <v>123</v>
      </c>
      <c r="B456" t="s">
        <v>75</v>
      </c>
      <c r="C456" t="s">
        <v>127</v>
      </c>
      <c r="D456" t="s">
        <v>539</v>
      </c>
      <c r="E456" t="s">
        <v>91</v>
      </c>
      <c r="F456" t="s">
        <v>94</v>
      </c>
      <c r="G456">
        <v>1</v>
      </c>
      <c r="H456">
        <v>72</v>
      </c>
      <c r="I456">
        <v>65</v>
      </c>
      <c r="J456">
        <v>61</v>
      </c>
      <c r="K456" s="6">
        <v>103.42</v>
      </c>
      <c r="L456" s="6">
        <v>0</v>
      </c>
      <c r="M456" s="6">
        <v>104</v>
      </c>
      <c r="N456">
        <v>0.57999999999999996</v>
      </c>
      <c r="O456" s="6">
        <v>15.3</v>
      </c>
      <c r="P456">
        <v>4</v>
      </c>
      <c r="Q456" s="8">
        <v>116.41</v>
      </c>
      <c r="R456" s="8">
        <v>120.39</v>
      </c>
      <c r="S456" t="s">
        <v>32</v>
      </c>
    </row>
    <row r="457" spans="1:19" hidden="1" x14ac:dyDescent="0.25">
      <c r="A457" t="s">
        <v>123</v>
      </c>
      <c r="B457" t="s">
        <v>75</v>
      </c>
      <c r="C457" t="s">
        <v>127</v>
      </c>
      <c r="D457" t="s">
        <v>539</v>
      </c>
      <c r="E457" t="s">
        <v>91</v>
      </c>
      <c r="F457" t="s">
        <v>96</v>
      </c>
      <c r="G457">
        <v>5</v>
      </c>
      <c r="H457">
        <v>72</v>
      </c>
      <c r="I457">
        <v>59</v>
      </c>
      <c r="J457">
        <v>54</v>
      </c>
      <c r="K457" s="6">
        <v>103.38</v>
      </c>
      <c r="L457" s="6">
        <v>0</v>
      </c>
      <c r="M457" s="6">
        <v>106.67</v>
      </c>
      <c r="N457">
        <v>3.29</v>
      </c>
      <c r="O457" s="6">
        <v>25</v>
      </c>
      <c r="P457">
        <v>5</v>
      </c>
      <c r="Q457" s="8">
        <v>117.53</v>
      </c>
      <c r="R457" s="8">
        <v>121.5</v>
      </c>
      <c r="S457" t="s">
        <v>32</v>
      </c>
    </row>
    <row r="458" spans="1:19" hidden="1" x14ac:dyDescent="0.25">
      <c r="A458" t="s">
        <v>123</v>
      </c>
      <c r="B458" t="s">
        <v>75</v>
      </c>
      <c r="C458" t="s">
        <v>127</v>
      </c>
      <c r="D458" t="s">
        <v>539</v>
      </c>
      <c r="E458" t="s">
        <v>91</v>
      </c>
      <c r="F458" t="s">
        <v>6</v>
      </c>
      <c r="G458">
        <v>12</v>
      </c>
      <c r="H458">
        <v>72</v>
      </c>
      <c r="I458">
        <v>43</v>
      </c>
      <c r="J458">
        <v>40</v>
      </c>
      <c r="K458" s="6">
        <v>99.84</v>
      </c>
      <c r="L458" s="6">
        <v>-2.42</v>
      </c>
      <c r="M458" s="6">
        <v>97.34</v>
      </c>
      <c r="N458">
        <v>-2.5</v>
      </c>
      <c r="O458" s="6">
        <v>44.4</v>
      </c>
      <c r="P458">
        <v>3</v>
      </c>
      <c r="Q458" s="8">
        <v>112.15</v>
      </c>
      <c r="R458" s="8">
        <v>111.97</v>
      </c>
      <c r="S458" t="s">
        <v>32</v>
      </c>
    </row>
    <row r="459" spans="1:19" hidden="1" x14ac:dyDescent="0.25">
      <c r="A459" t="s">
        <v>123</v>
      </c>
      <c r="B459" t="s">
        <v>75</v>
      </c>
      <c r="C459" t="s">
        <v>127</v>
      </c>
      <c r="D459" t="s">
        <v>552</v>
      </c>
      <c r="E459" t="s">
        <v>91</v>
      </c>
      <c r="F459" t="s">
        <v>91</v>
      </c>
      <c r="G459">
        <v>0</v>
      </c>
      <c r="H459">
        <v>101</v>
      </c>
      <c r="I459">
        <v>101</v>
      </c>
      <c r="J459">
        <v>101</v>
      </c>
      <c r="K459" s="6">
        <v>100</v>
      </c>
      <c r="L459" s="6">
        <v>0</v>
      </c>
      <c r="M459" s="6">
        <v>100</v>
      </c>
      <c r="N459">
        <v>0</v>
      </c>
      <c r="O459" s="6">
        <v>0</v>
      </c>
      <c r="P459">
        <v>0</v>
      </c>
      <c r="Q459" s="8">
        <v>116.79</v>
      </c>
      <c r="R459" s="8">
        <v>116.79</v>
      </c>
      <c r="S459" s="9" t="s">
        <v>595</v>
      </c>
    </row>
    <row r="460" spans="1:19" hidden="1" x14ac:dyDescent="0.25">
      <c r="A460" t="s">
        <v>123</v>
      </c>
      <c r="B460" t="s">
        <v>75</v>
      </c>
      <c r="C460" t="s">
        <v>127</v>
      </c>
      <c r="D460" t="s">
        <v>552</v>
      </c>
      <c r="E460" t="s">
        <v>91</v>
      </c>
      <c r="F460" t="s">
        <v>94</v>
      </c>
      <c r="G460">
        <v>1</v>
      </c>
      <c r="H460">
        <v>101</v>
      </c>
      <c r="I460">
        <v>103</v>
      </c>
      <c r="J460">
        <v>100</v>
      </c>
      <c r="K460" s="6">
        <v>100.07</v>
      </c>
      <c r="L460" s="6">
        <v>0</v>
      </c>
      <c r="M460" s="6">
        <v>99.96</v>
      </c>
      <c r="N460">
        <v>-0.11</v>
      </c>
      <c r="O460" s="6">
        <v>1</v>
      </c>
      <c r="P460">
        <v>3</v>
      </c>
      <c r="Q460" s="8">
        <v>116.65</v>
      </c>
      <c r="R460" s="8">
        <v>116.73</v>
      </c>
      <c r="S460" t="s">
        <v>32</v>
      </c>
    </row>
    <row r="461" spans="1:19" hidden="1" x14ac:dyDescent="0.25">
      <c r="A461" t="s">
        <v>123</v>
      </c>
      <c r="B461" t="s">
        <v>75</v>
      </c>
      <c r="C461" t="s">
        <v>127</v>
      </c>
      <c r="D461" t="s">
        <v>552</v>
      </c>
      <c r="E461" t="s">
        <v>91</v>
      </c>
      <c r="F461" t="s">
        <v>96</v>
      </c>
      <c r="G461">
        <v>5</v>
      </c>
      <c r="H461">
        <v>101</v>
      </c>
      <c r="I461">
        <v>104</v>
      </c>
      <c r="J461">
        <v>100</v>
      </c>
      <c r="K461" s="6">
        <v>99.99</v>
      </c>
      <c r="L461" s="6">
        <v>0</v>
      </c>
      <c r="M461" s="6">
        <v>100.88</v>
      </c>
      <c r="N461">
        <v>0.89</v>
      </c>
      <c r="O461" s="6">
        <v>1</v>
      </c>
      <c r="P461">
        <v>4</v>
      </c>
      <c r="Q461" s="8">
        <v>116.83</v>
      </c>
      <c r="R461" s="8">
        <v>116.82</v>
      </c>
      <c r="S461" t="s">
        <v>32</v>
      </c>
    </row>
    <row r="462" spans="1:19" hidden="1" x14ac:dyDescent="0.25">
      <c r="A462" t="s">
        <v>123</v>
      </c>
      <c r="B462" t="s">
        <v>75</v>
      </c>
      <c r="C462" t="s">
        <v>127</v>
      </c>
      <c r="D462" t="s">
        <v>552</v>
      </c>
      <c r="E462" t="s">
        <v>91</v>
      </c>
      <c r="F462" t="s">
        <v>6</v>
      </c>
      <c r="G462">
        <v>12</v>
      </c>
      <c r="H462">
        <v>101</v>
      </c>
      <c r="I462">
        <v>98</v>
      </c>
      <c r="J462">
        <v>96</v>
      </c>
      <c r="K462" s="6">
        <v>98.65</v>
      </c>
      <c r="L462" s="6">
        <v>-2.69</v>
      </c>
      <c r="M462" s="6">
        <v>98.56</v>
      </c>
      <c r="N462">
        <v>-0.09</v>
      </c>
      <c r="O462" s="6">
        <v>5</v>
      </c>
      <c r="P462">
        <v>2</v>
      </c>
      <c r="Q462" s="8">
        <v>115.94</v>
      </c>
      <c r="R462" s="8">
        <v>114.38</v>
      </c>
      <c r="S462" t="s">
        <v>32</v>
      </c>
    </row>
    <row r="463" spans="1:19" hidden="1" x14ac:dyDescent="0.25">
      <c r="A463" t="s">
        <v>123</v>
      </c>
      <c r="B463" t="s">
        <v>75</v>
      </c>
      <c r="C463" t="s">
        <v>127</v>
      </c>
      <c r="D463" t="s">
        <v>554</v>
      </c>
      <c r="E463" t="s">
        <v>91</v>
      </c>
      <c r="F463" t="s">
        <v>91</v>
      </c>
      <c r="G463">
        <v>0</v>
      </c>
      <c r="H463">
        <v>102</v>
      </c>
      <c r="I463">
        <v>102</v>
      </c>
      <c r="J463">
        <v>102</v>
      </c>
      <c r="K463" s="6">
        <v>100</v>
      </c>
      <c r="L463" s="6">
        <v>0</v>
      </c>
      <c r="M463" s="6">
        <v>100</v>
      </c>
      <c r="N463">
        <v>0</v>
      </c>
      <c r="O463" s="6">
        <v>0</v>
      </c>
      <c r="P463">
        <v>0</v>
      </c>
      <c r="Q463" s="8">
        <v>148.87</v>
      </c>
      <c r="R463" s="8">
        <v>148.87</v>
      </c>
      <c r="S463" s="9" t="s">
        <v>596</v>
      </c>
    </row>
    <row r="464" spans="1:19" hidden="1" x14ac:dyDescent="0.25">
      <c r="A464" t="s">
        <v>123</v>
      </c>
      <c r="B464" t="s">
        <v>75</v>
      </c>
      <c r="C464" t="s">
        <v>127</v>
      </c>
      <c r="D464" t="s">
        <v>554</v>
      </c>
      <c r="E464" t="s">
        <v>91</v>
      </c>
      <c r="F464" t="s">
        <v>94</v>
      </c>
      <c r="G464">
        <v>1</v>
      </c>
      <c r="H464">
        <v>102</v>
      </c>
      <c r="I464">
        <v>104</v>
      </c>
      <c r="J464">
        <v>101</v>
      </c>
      <c r="K464" s="6">
        <v>100.06</v>
      </c>
      <c r="L464" s="6">
        <v>0</v>
      </c>
      <c r="M464" s="6">
        <v>100.08</v>
      </c>
      <c r="N464">
        <v>0.02</v>
      </c>
      <c r="O464" s="6">
        <v>1</v>
      </c>
      <c r="P464">
        <v>3</v>
      </c>
      <c r="Q464" s="8">
        <v>148.65</v>
      </c>
      <c r="R464" s="8">
        <v>148.72999999999999</v>
      </c>
      <c r="S464" t="s">
        <v>32</v>
      </c>
    </row>
    <row r="465" spans="1:19" hidden="1" x14ac:dyDescent="0.25">
      <c r="A465" t="s">
        <v>123</v>
      </c>
      <c r="B465" t="s">
        <v>75</v>
      </c>
      <c r="C465" t="s">
        <v>127</v>
      </c>
      <c r="D465" t="s">
        <v>554</v>
      </c>
      <c r="E465" t="s">
        <v>91</v>
      </c>
      <c r="F465" t="s">
        <v>96</v>
      </c>
      <c r="G465">
        <v>5</v>
      </c>
      <c r="H465">
        <v>102</v>
      </c>
      <c r="I465">
        <v>104</v>
      </c>
      <c r="J465">
        <v>100</v>
      </c>
      <c r="K465" s="6">
        <v>100.53</v>
      </c>
      <c r="L465" s="6">
        <v>0</v>
      </c>
      <c r="M465" s="6">
        <v>100.46</v>
      </c>
      <c r="N465">
        <v>-7.0000000000000007E-2</v>
      </c>
      <c r="O465" s="6">
        <v>2</v>
      </c>
      <c r="P465">
        <v>4</v>
      </c>
      <c r="Q465" s="8">
        <v>149.13</v>
      </c>
      <c r="R465" s="8">
        <v>149.91999999999999</v>
      </c>
      <c r="S465" t="s">
        <v>32</v>
      </c>
    </row>
    <row r="466" spans="1:19" hidden="1" x14ac:dyDescent="0.25">
      <c r="A466" t="s">
        <v>123</v>
      </c>
      <c r="B466" t="s">
        <v>75</v>
      </c>
      <c r="C466" t="s">
        <v>127</v>
      </c>
      <c r="D466" t="s">
        <v>554</v>
      </c>
      <c r="E466" t="s">
        <v>91</v>
      </c>
      <c r="F466" t="s">
        <v>6</v>
      </c>
      <c r="G466">
        <v>12</v>
      </c>
      <c r="H466">
        <v>102</v>
      </c>
      <c r="I466">
        <v>104</v>
      </c>
      <c r="J466">
        <v>100</v>
      </c>
      <c r="K466" s="6">
        <v>98.79</v>
      </c>
      <c r="L466" s="6">
        <v>-1.58</v>
      </c>
      <c r="M466" s="6">
        <v>98.5</v>
      </c>
      <c r="N466">
        <v>-0.28999999999999998</v>
      </c>
      <c r="O466" s="6">
        <v>2</v>
      </c>
      <c r="P466">
        <v>4</v>
      </c>
      <c r="Q466" s="8">
        <v>148.44999999999999</v>
      </c>
      <c r="R466" s="8">
        <v>146.66</v>
      </c>
      <c r="S466" t="s">
        <v>32</v>
      </c>
    </row>
    <row r="467" spans="1:19" hidden="1" x14ac:dyDescent="0.25">
      <c r="A467" t="s">
        <v>123</v>
      </c>
      <c r="B467" t="s">
        <v>75</v>
      </c>
      <c r="C467" t="s">
        <v>127</v>
      </c>
      <c r="D467" t="s">
        <v>555</v>
      </c>
      <c r="E467" t="s">
        <v>90</v>
      </c>
      <c r="F467" t="s">
        <v>90</v>
      </c>
      <c r="G467">
        <v>0</v>
      </c>
      <c r="H467">
        <v>28</v>
      </c>
      <c r="I467">
        <v>28</v>
      </c>
      <c r="J467">
        <v>28</v>
      </c>
      <c r="K467" s="6">
        <v>100</v>
      </c>
      <c r="L467" s="6">
        <v>0</v>
      </c>
      <c r="M467" s="6">
        <v>100</v>
      </c>
      <c r="N467">
        <v>0</v>
      </c>
      <c r="O467" s="6">
        <v>0</v>
      </c>
      <c r="P467">
        <v>0</v>
      </c>
      <c r="Q467" s="8">
        <v>95.19</v>
      </c>
      <c r="R467" s="8">
        <v>95.19</v>
      </c>
      <c r="S467" s="9" t="s">
        <v>556</v>
      </c>
    </row>
    <row r="468" spans="1:19" hidden="1" x14ac:dyDescent="0.25">
      <c r="A468" t="s">
        <v>123</v>
      </c>
      <c r="B468" t="s">
        <v>75</v>
      </c>
      <c r="C468" t="s">
        <v>127</v>
      </c>
      <c r="D468" t="s">
        <v>555</v>
      </c>
      <c r="E468" t="s">
        <v>90</v>
      </c>
      <c r="F468" t="s">
        <v>91</v>
      </c>
      <c r="G468">
        <v>1</v>
      </c>
      <c r="H468">
        <v>28</v>
      </c>
      <c r="I468">
        <v>96</v>
      </c>
      <c r="J468">
        <v>28</v>
      </c>
      <c r="K468" s="6">
        <v>99.92</v>
      </c>
      <c r="L468" s="6">
        <v>0</v>
      </c>
      <c r="M468" s="6">
        <v>104.38</v>
      </c>
      <c r="N468">
        <v>4.46</v>
      </c>
      <c r="O468" s="6">
        <v>0</v>
      </c>
      <c r="P468">
        <v>68</v>
      </c>
      <c r="Q468" s="8">
        <v>95.19</v>
      </c>
      <c r="R468" s="8">
        <v>95.12</v>
      </c>
      <c r="S468" s="10" t="s">
        <v>483</v>
      </c>
    </row>
    <row r="469" spans="1:19" hidden="1" x14ac:dyDescent="0.25">
      <c r="A469" t="s">
        <v>123</v>
      </c>
      <c r="B469" t="s">
        <v>75</v>
      </c>
      <c r="C469" t="s">
        <v>127</v>
      </c>
      <c r="D469" t="s">
        <v>555</v>
      </c>
      <c r="E469" t="s">
        <v>90</v>
      </c>
      <c r="F469" t="s">
        <v>94</v>
      </c>
      <c r="G469">
        <v>2</v>
      </c>
      <c r="H469">
        <v>28</v>
      </c>
      <c r="I469">
        <v>96</v>
      </c>
      <c r="J469">
        <v>28</v>
      </c>
      <c r="K469" s="6">
        <v>100.11</v>
      </c>
      <c r="L469" s="6">
        <v>0</v>
      </c>
      <c r="M469" s="6">
        <v>104.63</v>
      </c>
      <c r="N469">
        <v>4.5199999999999996</v>
      </c>
      <c r="O469" s="6">
        <v>0</v>
      </c>
      <c r="P469">
        <v>68</v>
      </c>
      <c r="Q469" s="8">
        <v>95.19</v>
      </c>
      <c r="R469" s="8">
        <v>95.29</v>
      </c>
      <c r="S469" s="10" t="s">
        <v>483</v>
      </c>
    </row>
    <row r="470" spans="1:19" hidden="1" x14ac:dyDescent="0.25">
      <c r="A470" t="s">
        <v>123</v>
      </c>
      <c r="B470" t="s">
        <v>75</v>
      </c>
      <c r="C470" t="s">
        <v>127</v>
      </c>
      <c r="D470" t="s">
        <v>555</v>
      </c>
      <c r="E470" t="s">
        <v>90</v>
      </c>
      <c r="F470" t="s">
        <v>96</v>
      </c>
      <c r="G470">
        <v>6</v>
      </c>
      <c r="H470">
        <v>28</v>
      </c>
      <c r="I470">
        <v>96</v>
      </c>
      <c r="J470">
        <v>28</v>
      </c>
      <c r="K470" s="6">
        <v>100.2</v>
      </c>
      <c r="L470" s="6">
        <v>0</v>
      </c>
      <c r="M470" s="6">
        <v>104.7</v>
      </c>
      <c r="N470">
        <v>4.5</v>
      </c>
      <c r="O470" s="6">
        <v>0</v>
      </c>
      <c r="P470">
        <v>68</v>
      </c>
      <c r="Q470" s="8">
        <v>95.19</v>
      </c>
      <c r="R470" s="8">
        <v>95.38</v>
      </c>
      <c r="S470" s="10" t="s">
        <v>483</v>
      </c>
    </row>
    <row r="471" spans="1:19" hidden="1" x14ac:dyDescent="0.25">
      <c r="A471" t="s">
        <v>123</v>
      </c>
      <c r="B471" t="s">
        <v>75</v>
      </c>
      <c r="C471" t="s">
        <v>127</v>
      </c>
      <c r="D471" t="s">
        <v>555</v>
      </c>
      <c r="E471" t="s">
        <v>90</v>
      </c>
      <c r="F471" t="s">
        <v>6</v>
      </c>
      <c r="G471">
        <v>13</v>
      </c>
      <c r="H471">
        <v>28</v>
      </c>
      <c r="I471">
        <v>96</v>
      </c>
      <c r="J471">
        <v>28</v>
      </c>
      <c r="K471" s="6">
        <v>98.3</v>
      </c>
      <c r="L471" s="6">
        <v>-1.93</v>
      </c>
      <c r="M471" s="6">
        <v>102.65</v>
      </c>
      <c r="N471">
        <v>4.3499999999999996</v>
      </c>
      <c r="O471" s="6">
        <v>0</v>
      </c>
      <c r="P471">
        <v>68</v>
      </c>
      <c r="Q471" s="8">
        <v>95.19</v>
      </c>
      <c r="R471" s="8">
        <v>93.58</v>
      </c>
      <c r="S471" s="10" t="s">
        <v>483</v>
      </c>
    </row>
    <row r="472" spans="1:19" hidden="1" x14ac:dyDescent="0.25">
      <c r="A472" t="s">
        <v>123</v>
      </c>
      <c r="B472" t="s">
        <v>75</v>
      </c>
      <c r="C472" t="s">
        <v>127</v>
      </c>
      <c r="D472" t="s">
        <v>557</v>
      </c>
      <c r="E472" t="s">
        <v>90</v>
      </c>
      <c r="F472" t="s">
        <v>90</v>
      </c>
      <c r="G472">
        <v>0</v>
      </c>
      <c r="H472">
        <v>27</v>
      </c>
      <c r="I472">
        <v>27</v>
      </c>
      <c r="J472">
        <v>27</v>
      </c>
      <c r="K472" s="6">
        <v>100</v>
      </c>
      <c r="L472" s="6">
        <v>0</v>
      </c>
      <c r="M472" s="6">
        <v>100</v>
      </c>
      <c r="N472">
        <v>0</v>
      </c>
      <c r="O472" s="6">
        <v>0</v>
      </c>
      <c r="P472">
        <v>0</v>
      </c>
      <c r="Q472" s="8">
        <v>108.39</v>
      </c>
      <c r="R472" s="8">
        <v>108.39</v>
      </c>
      <c r="S472" s="9" t="s">
        <v>558</v>
      </c>
    </row>
    <row r="473" spans="1:19" hidden="1" x14ac:dyDescent="0.25">
      <c r="A473" t="s">
        <v>123</v>
      </c>
      <c r="B473" t="s">
        <v>75</v>
      </c>
      <c r="C473" t="s">
        <v>127</v>
      </c>
      <c r="D473" t="s">
        <v>557</v>
      </c>
      <c r="E473" t="s">
        <v>90</v>
      </c>
      <c r="F473" t="s">
        <v>91</v>
      </c>
      <c r="G473">
        <v>1</v>
      </c>
      <c r="H473">
        <v>27</v>
      </c>
      <c r="I473">
        <v>99</v>
      </c>
      <c r="J473">
        <v>27</v>
      </c>
      <c r="K473" s="6">
        <v>100.07</v>
      </c>
      <c r="L473" s="6">
        <v>0</v>
      </c>
      <c r="M473" s="6">
        <v>101.88</v>
      </c>
      <c r="N473">
        <v>1.81</v>
      </c>
      <c r="O473" s="6">
        <v>0</v>
      </c>
      <c r="P473">
        <v>72</v>
      </c>
      <c r="Q473" s="8">
        <v>108.39</v>
      </c>
      <c r="R473" s="8">
        <v>108.47</v>
      </c>
      <c r="S473" s="10" t="s">
        <v>559</v>
      </c>
    </row>
    <row r="474" spans="1:19" hidden="1" x14ac:dyDescent="0.25">
      <c r="A474" t="s">
        <v>123</v>
      </c>
      <c r="B474" t="s">
        <v>75</v>
      </c>
      <c r="C474" t="s">
        <v>127</v>
      </c>
      <c r="D474" t="s">
        <v>557</v>
      </c>
      <c r="E474" t="s">
        <v>90</v>
      </c>
      <c r="F474" t="s">
        <v>94</v>
      </c>
      <c r="G474">
        <v>2</v>
      </c>
      <c r="H474">
        <v>27</v>
      </c>
      <c r="I474">
        <v>99</v>
      </c>
      <c r="J474">
        <v>27</v>
      </c>
      <c r="K474" s="6">
        <v>100.09</v>
      </c>
      <c r="L474" s="6">
        <v>0</v>
      </c>
      <c r="M474" s="6">
        <v>101.98</v>
      </c>
      <c r="N474">
        <v>1.89</v>
      </c>
      <c r="O474" s="6">
        <v>0</v>
      </c>
      <c r="P474">
        <v>72</v>
      </c>
      <c r="Q474" s="8">
        <v>108.39</v>
      </c>
      <c r="R474" s="8">
        <v>108.48</v>
      </c>
      <c r="S474" s="10" t="s">
        <v>559</v>
      </c>
    </row>
    <row r="475" spans="1:19" hidden="1" x14ac:dyDescent="0.25">
      <c r="A475" t="s">
        <v>123</v>
      </c>
      <c r="B475" t="s">
        <v>75</v>
      </c>
      <c r="C475" t="s">
        <v>127</v>
      </c>
      <c r="D475" t="s">
        <v>557</v>
      </c>
      <c r="E475" t="s">
        <v>90</v>
      </c>
      <c r="F475" t="s">
        <v>96</v>
      </c>
      <c r="G475">
        <v>6</v>
      </c>
      <c r="H475">
        <v>27</v>
      </c>
      <c r="I475">
        <v>99</v>
      </c>
      <c r="J475">
        <v>27</v>
      </c>
      <c r="K475" s="6">
        <v>100.47</v>
      </c>
      <c r="L475" s="6">
        <v>0</v>
      </c>
      <c r="M475" s="6">
        <v>102.24</v>
      </c>
      <c r="N475">
        <v>1.77</v>
      </c>
      <c r="O475" s="6">
        <v>0</v>
      </c>
      <c r="P475">
        <v>72</v>
      </c>
      <c r="Q475" s="8">
        <v>108.39</v>
      </c>
      <c r="R475" s="8">
        <v>108.9</v>
      </c>
      <c r="S475" s="10" t="s">
        <v>559</v>
      </c>
    </row>
    <row r="476" spans="1:19" hidden="1" x14ac:dyDescent="0.25">
      <c r="A476" t="s">
        <v>123</v>
      </c>
      <c r="B476" t="s">
        <v>75</v>
      </c>
      <c r="C476" t="s">
        <v>127</v>
      </c>
      <c r="D476" t="s">
        <v>557</v>
      </c>
      <c r="E476" t="s">
        <v>90</v>
      </c>
      <c r="F476" t="s">
        <v>6</v>
      </c>
      <c r="G476">
        <v>13</v>
      </c>
      <c r="H476">
        <v>27</v>
      </c>
      <c r="I476">
        <v>99</v>
      </c>
      <c r="J476">
        <v>27</v>
      </c>
      <c r="K476" s="6">
        <v>99.29</v>
      </c>
      <c r="L476" s="6">
        <v>-2.0499999999999998</v>
      </c>
      <c r="M476" s="6">
        <v>101.04</v>
      </c>
      <c r="N476">
        <v>1.75</v>
      </c>
      <c r="O476" s="6">
        <v>0</v>
      </c>
      <c r="P476">
        <v>72</v>
      </c>
      <c r="Q476" s="8">
        <v>108.39</v>
      </c>
      <c r="R476" s="8">
        <v>107.62</v>
      </c>
      <c r="S476" s="10" t="s">
        <v>559</v>
      </c>
    </row>
    <row r="477" spans="1:19" hidden="1" x14ac:dyDescent="0.25">
      <c r="A477" t="s">
        <v>123</v>
      </c>
      <c r="B477" t="s">
        <v>75</v>
      </c>
      <c r="C477" t="s">
        <v>127</v>
      </c>
      <c r="D477" t="s">
        <v>560</v>
      </c>
      <c r="E477" t="s">
        <v>90</v>
      </c>
      <c r="F477" t="s">
        <v>90</v>
      </c>
      <c r="G477">
        <v>0</v>
      </c>
      <c r="H477">
        <v>33</v>
      </c>
      <c r="I477">
        <v>33</v>
      </c>
      <c r="J477">
        <v>33</v>
      </c>
      <c r="K477" s="6">
        <v>100</v>
      </c>
      <c r="L477" s="6">
        <v>0</v>
      </c>
      <c r="M477" s="6">
        <v>100</v>
      </c>
      <c r="N477">
        <v>0</v>
      </c>
      <c r="O477" s="6">
        <v>0</v>
      </c>
      <c r="P477">
        <v>0</v>
      </c>
      <c r="Q477" s="8">
        <v>132.38</v>
      </c>
      <c r="R477" s="8">
        <v>132.38</v>
      </c>
      <c r="S477" s="9" t="s">
        <v>561</v>
      </c>
    </row>
    <row r="478" spans="1:19" hidden="1" x14ac:dyDescent="0.25">
      <c r="A478" t="s">
        <v>123</v>
      </c>
      <c r="B478" t="s">
        <v>75</v>
      </c>
      <c r="C478" t="s">
        <v>127</v>
      </c>
      <c r="D478" t="s">
        <v>560</v>
      </c>
      <c r="E478" t="s">
        <v>90</v>
      </c>
      <c r="F478" t="s">
        <v>91</v>
      </c>
      <c r="G478">
        <v>1</v>
      </c>
      <c r="H478">
        <v>33</v>
      </c>
      <c r="I478">
        <v>112</v>
      </c>
      <c r="J478">
        <v>33</v>
      </c>
      <c r="K478" s="6">
        <v>99.91</v>
      </c>
      <c r="L478" s="6">
        <v>0</v>
      </c>
      <c r="M478" s="6">
        <v>102.67</v>
      </c>
      <c r="N478">
        <v>2.76</v>
      </c>
      <c r="O478" s="6">
        <v>0</v>
      </c>
      <c r="P478">
        <v>79</v>
      </c>
      <c r="Q478" s="8">
        <v>132.38</v>
      </c>
      <c r="R478" s="8">
        <v>132.26</v>
      </c>
      <c r="S478" t="s">
        <v>32</v>
      </c>
    </row>
    <row r="479" spans="1:19" hidden="1" x14ac:dyDescent="0.25">
      <c r="A479" t="s">
        <v>123</v>
      </c>
      <c r="B479" t="s">
        <v>75</v>
      </c>
      <c r="C479" t="s">
        <v>127</v>
      </c>
      <c r="D479" t="s">
        <v>560</v>
      </c>
      <c r="E479" t="s">
        <v>90</v>
      </c>
      <c r="F479" t="s">
        <v>94</v>
      </c>
      <c r="G479">
        <v>2</v>
      </c>
      <c r="H479">
        <v>33</v>
      </c>
      <c r="I479">
        <v>112</v>
      </c>
      <c r="J479">
        <v>33</v>
      </c>
      <c r="K479" s="6">
        <v>100.24</v>
      </c>
      <c r="L479" s="6">
        <v>0</v>
      </c>
      <c r="M479" s="6">
        <v>102.92</v>
      </c>
      <c r="N479">
        <v>2.68</v>
      </c>
      <c r="O479" s="6">
        <v>0</v>
      </c>
      <c r="P479">
        <v>79</v>
      </c>
      <c r="Q479" s="8">
        <v>132.38</v>
      </c>
      <c r="R479" s="8">
        <v>132.71</v>
      </c>
      <c r="S479" t="s">
        <v>32</v>
      </c>
    </row>
    <row r="480" spans="1:19" hidden="1" x14ac:dyDescent="0.25">
      <c r="A480" t="s">
        <v>123</v>
      </c>
      <c r="B480" t="s">
        <v>75</v>
      </c>
      <c r="C480" t="s">
        <v>127</v>
      </c>
      <c r="D480" t="s">
        <v>560</v>
      </c>
      <c r="E480" t="s">
        <v>90</v>
      </c>
      <c r="F480" t="s">
        <v>96</v>
      </c>
      <c r="G480">
        <v>6</v>
      </c>
      <c r="H480">
        <v>33</v>
      </c>
      <c r="I480">
        <v>112</v>
      </c>
      <c r="J480">
        <v>33</v>
      </c>
      <c r="K480" s="6">
        <v>100.04</v>
      </c>
      <c r="L480" s="6">
        <v>0</v>
      </c>
      <c r="M480" s="6">
        <v>102.79</v>
      </c>
      <c r="N480">
        <v>2.75</v>
      </c>
      <c r="O480" s="6">
        <v>0</v>
      </c>
      <c r="P480">
        <v>79</v>
      </c>
      <c r="Q480" s="8">
        <v>132.38</v>
      </c>
      <c r="R480" s="8">
        <v>132.43</v>
      </c>
      <c r="S480" t="s">
        <v>32</v>
      </c>
    </row>
    <row r="481" spans="1:19" hidden="1" x14ac:dyDescent="0.25">
      <c r="A481" t="s">
        <v>123</v>
      </c>
      <c r="B481" t="s">
        <v>75</v>
      </c>
      <c r="C481" t="s">
        <v>127</v>
      </c>
      <c r="D481" t="s">
        <v>560</v>
      </c>
      <c r="E481" t="s">
        <v>90</v>
      </c>
      <c r="F481" t="s">
        <v>6</v>
      </c>
      <c r="G481">
        <v>13</v>
      </c>
      <c r="H481">
        <v>33</v>
      </c>
      <c r="I481">
        <v>111</v>
      </c>
      <c r="J481">
        <v>33</v>
      </c>
      <c r="K481" s="6">
        <v>98.96</v>
      </c>
      <c r="L481" s="6">
        <v>-1.56</v>
      </c>
      <c r="M481" s="6">
        <v>101.41</v>
      </c>
      <c r="N481">
        <v>2.4500000000000002</v>
      </c>
      <c r="O481" s="6">
        <v>0</v>
      </c>
      <c r="P481">
        <v>78</v>
      </c>
      <c r="Q481" s="8">
        <v>132.38</v>
      </c>
      <c r="R481" s="8">
        <v>131.01</v>
      </c>
      <c r="S481" t="s">
        <v>32</v>
      </c>
    </row>
    <row r="482" spans="1:19" hidden="1" x14ac:dyDescent="0.25">
      <c r="A482" t="s">
        <v>123</v>
      </c>
      <c r="B482" t="s">
        <v>75</v>
      </c>
      <c r="C482" t="s">
        <v>127</v>
      </c>
      <c r="D482" t="s">
        <v>524</v>
      </c>
      <c r="E482" t="s">
        <v>90</v>
      </c>
      <c r="F482" t="s">
        <v>90</v>
      </c>
      <c r="G482">
        <v>0</v>
      </c>
      <c r="H482">
        <v>31</v>
      </c>
      <c r="I482">
        <v>31</v>
      </c>
      <c r="J482">
        <v>31</v>
      </c>
      <c r="K482" s="6">
        <v>100</v>
      </c>
      <c r="L482" s="6">
        <v>0</v>
      </c>
      <c r="M482" s="6">
        <v>100</v>
      </c>
      <c r="N482">
        <v>0</v>
      </c>
      <c r="O482" s="6">
        <v>0</v>
      </c>
      <c r="P482">
        <v>0</v>
      </c>
      <c r="Q482" s="8">
        <v>116.8</v>
      </c>
      <c r="R482" s="8">
        <v>116.8</v>
      </c>
      <c r="S482" s="9" t="s">
        <v>562</v>
      </c>
    </row>
    <row r="483" spans="1:19" hidden="1" x14ac:dyDescent="0.25">
      <c r="A483" t="s">
        <v>123</v>
      </c>
      <c r="B483" t="s">
        <v>75</v>
      </c>
      <c r="C483" t="s">
        <v>127</v>
      </c>
      <c r="D483" t="s">
        <v>524</v>
      </c>
      <c r="E483" t="s">
        <v>90</v>
      </c>
      <c r="F483" t="s">
        <v>91</v>
      </c>
      <c r="G483">
        <v>1</v>
      </c>
      <c r="H483">
        <v>31</v>
      </c>
      <c r="I483">
        <v>96</v>
      </c>
      <c r="J483">
        <v>31</v>
      </c>
      <c r="K483" s="6">
        <v>100</v>
      </c>
      <c r="L483" s="6">
        <v>0</v>
      </c>
      <c r="M483" s="6">
        <v>102.74</v>
      </c>
      <c r="N483">
        <v>2.74</v>
      </c>
      <c r="O483" s="6">
        <v>0</v>
      </c>
      <c r="P483">
        <v>65</v>
      </c>
      <c r="Q483" s="8">
        <v>116.8</v>
      </c>
      <c r="R483" s="8">
        <v>116.8</v>
      </c>
      <c r="S483" t="s">
        <v>32</v>
      </c>
    </row>
    <row r="484" spans="1:19" hidden="1" x14ac:dyDescent="0.25">
      <c r="A484" t="s">
        <v>123</v>
      </c>
      <c r="B484" t="s">
        <v>75</v>
      </c>
      <c r="C484" t="s">
        <v>127</v>
      </c>
      <c r="D484" t="s">
        <v>524</v>
      </c>
      <c r="E484" t="s">
        <v>90</v>
      </c>
      <c r="F484" t="s">
        <v>94</v>
      </c>
      <c r="G484">
        <v>2</v>
      </c>
      <c r="H484">
        <v>31</v>
      </c>
      <c r="I484">
        <v>96</v>
      </c>
      <c r="J484">
        <v>31</v>
      </c>
      <c r="K484" s="6">
        <v>100.39</v>
      </c>
      <c r="L484" s="6">
        <v>0</v>
      </c>
      <c r="M484" s="6">
        <v>102.83</v>
      </c>
      <c r="N484">
        <v>2.44</v>
      </c>
      <c r="O484" s="6">
        <v>0</v>
      </c>
      <c r="P484">
        <v>65</v>
      </c>
      <c r="Q484" s="8">
        <v>116.8</v>
      </c>
      <c r="R484" s="8">
        <v>117.26</v>
      </c>
      <c r="S484" t="s">
        <v>32</v>
      </c>
    </row>
    <row r="485" spans="1:19" hidden="1" x14ac:dyDescent="0.25">
      <c r="A485" t="s">
        <v>123</v>
      </c>
      <c r="B485" t="s">
        <v>75</v>
      </c>
      <c r="C485" t="s">
        <v>127</v>
      </c>
      <c r="D485" t="s">
        <v>524</v>
      </c>
      <c r="E485" t="s">
        <v>90</v>
      </c>
      <c r="F485" t="s">
        <v>96</v>
      </c>
      <c r="G485">
        <v>6</v>
      </c>
      <c r="H485">
        <v>31</v>
      </c>
      <c r="I485">
        <v>96</v>
      </c>
      <c r="J485">
        <v>31</v>
      </c>
      <c r="K485" s="6">
        <v>100.16</v>
      </c>
      <c r="L485" s="6">
        <v>0</v>
      </c>
      <c r="M485" s="6">
        <v>102.92</v>
      </c>
      <c r="N485">
        <v>2.76</v>
      </c>
      <c r="O485" s="6">
        <v>0</v>
      </c>
      <c r="P485">
        <v>65</v>
      </c>
      <c r="Q485" s="8">
        <v>116.8</v>
      </c>
      <c r="R485" s="8">
        <v>116.99</v>
      </c>
      <c r="S485" t="s">
        <v>32</v>
      </c>
    </row>
    <row r="486" spans="1:19" hidden="1" x14ac:dyDescent="0.25">
      <c r="A486" t="s">
        <v>123</v>
      </c>
      <c r="B486" t="s">
        <v>75</v>
      </c>
      <c r="C486" t="s">
        <v>127</v>
      </c>
      <c r="D486" t="s">
        <v>524</v>
      </c>
      <c r="E486" t="s">
        <v>90</v>
      </c>
      <c r="F486" t="s">
        <v>6</v>
      </c>
      <c r="G486">
        <v>13</v>
      </c>
      <c r="H486">
        <v>31</v>
      </c>
      <c r="I486">
        <v>96</v>
      </c>
      <c r="J486">
        <v>31</v>
      </c>
      <c r="K486" s="6">
        <v>98.6</v>
      </c>
      <c r="L486" s="6">
        <v>-1.65</v>
      </c>
      <c r="M486" s="6">
        <v>101.2</v>
      </c>
      <c r="N486">
        <v>2.6</v>
      </c>
      <c r="O486" s="6">
        <v>0</v>
      </c>
      <c r="P486">
        <v>65</v>
      </c>
      <c r="Q486" s="8">
        <v>116.8</v>
      </c>
      <c r="R486" s="8">
        <v>115.17</v>
      </c>
      <c r="S486" t="s">
        <v>32</v>
      </c>
    </row>
    <row r="487" spans="1:19" hidden="1" x14ac:dyDescent="0.25">
      <c r="A487" t="s">
        <v>123</v>
      </c>
      <c r="B487" t="s">
        <v>75</v>
      </c>
      <c r="C487" t="s">
        <v>127</v>
      </c>
      <c r="D487" t="s">
        <v>527</v>
      </c>
      <c r="E487" t="s">
        <v>90</v>
      </c>
      <c r="F487" t="s">
        <v>90</v>
      </c>
      <c r="G487">
        <v>0</v>
      </c>
      <c r="H487">
        <v>30</v>
      </c>
      <c r="I487">
        <v>30</v>
      </c>
      <c r="J487">
        <v>30</v>
      </c>
      <c r="K487" s="6">
        <v>100</v>
      </c>
      <c r="L487" s="6">
        <v>0</v>
      </c>
      <c r="M487" s="6">
        <v>100</v>
      </c>
      <c r="N487">
        <v>0</v>
      </c>
      <c r="O487" s="6">
        <v>0</v>
      </c>
      <c r="P487">
        <v>0</v>
      </c>
      <c r="Q487" s="8">
        <v>133.5</v>
      </c>
      <c r="R487" s="8">
        <v>133.5</v>
      </c>
      <c r="S487" s="9" t="s">
        <v>563</v>
      </c>
    </row>
    <row r="488" spans="1:19" hidden="1" x14ac:dyDescent="0.25">
      <c r="A488" t="s">
        <v>123</v>
      </c>
      <c r="B488" t="s">
        <v>75</v>
      </c>
      <c r="C488" t="s">
        <v>127</v>
      </c>
      <c r="D488" t="s">
        <v>527</v>
      </c>
      <c r="E488" t="s">
        <v>90</v>
      </c>
      <c r="F488" t="s">
        <v>91</v>
      </c>
      <c r="G488">
        <v>1</v>
      </c>
      <c r="H488">
        <v>30</v>
      </c>
      <c r="I488">
        <v>105</v>
      </c>
      <c r="J488">
        <v>30</v>
      </c>
      <c r="K488" s="6">
        <v>100</v>
      </c>
      <c r="L488" s="6">
        <v>0</v>
      </c>
      <c r="M488" s="6">
        <v>105.29</v>
      </c>
      <c r="N488">
        <v>5.29</v>
      </c>
      <c r="O488" s="6">
        <v>0</v>
      </c>
      <c r="P488">
        <v>75</v>
      </c>
      <c r="Q488" s="8">
        <v>133.5</v>
      </c>
      <c r="R488" s="8">
        <v>133.5</v>
      </c>
      <c r="S488" t="s">
        <v>32</v>
      </c>
    </row>
    <row r="489" spans="1:19" hidden="1" x14ac:dyDescent="0.25">
      <c r="A489" t="s">
        <v>123</v>
      </c>
      <c r="B489" t="s">
        <v>75</v>
      </c>
      <c r="C489" t="s">
        <v>127</v>
      </c>
      <c r="D489" t="s">
        <v>527</v>
      </c>
      <c r="E489" t="s">
        <v>90</v>
      </c>
      <c r="F489" t="s">
        <v>94</v>
      </c>
      <c r="G489">
        <v>2</v>
      </c>
      <c r="H489">
        <v>30</v>
      </c>
      <c r="I489">
        <v>105</v>
      </c>
      <c r="J489">
        <v>30</v>
      </c>
      <c r="K489" s="6">
        <v>99.79</v>
      </c>
      <c r="L489" s="6">
        <v>0</v>
      </c>
      <c r="M489" s="6">
        <v>105.17</v>
      </c>
      <c r="N489">
        <v>5.38</v>
      </c>
      <c r="O489" s="6">
        <v>0</v>
      </c>
      <c r="P489">
        <v>75</v>
      </c>
      <c r="Q489" s="8">
        <v>133.5</v>
      </c>
      <c r="R489" s="8">
        <v>133.22</v>
      </c>
      <c r="S489" t="s">
        <v>32</v>
      </c>
    </row>
    <row r="490" spans="1:19" hidden="1" x14ac:dyDescent="0.25">
      <c r="A490" t="s">
        <v>123</v>
      </c>
      <c r="B490" t="s">
        <v>75</v>
      </c>
      <c r="C490" t="s">
        <v>127</v>
      </c>
      <c r="D490" t="s">
        <v>527</v>
      </c>
      <c r="E490" t="s">
        <v>90</v>
      </c>
      <c r="F490" t="s">
        <v>96</v>
      </c>
      <c r="G490">
        <v>6</v>
      </c>
      <c r="H490">
        <v>30</v>
      </c>
      <c r="I490">
        <v>104</v>
      </c>
      <c r="J490">
        <v>30</v>
      </c>
      <c r="K490" s="6">
        <v>99.82</v>
      </c>
      <c r="L490" s="6">
        <v>0</v>
      </c>
      <c r="M490" s="6">
        <v>105.68</v>
      </c>
      <c r="N490">
        <v>5.86</v>
      </c>
      <c r="O490" s="6">
        <v>0</v>
      </c>
      <c r="P490">
        <v>74</v>
      </c>
      <c r="Q490" s="8">
        <v>133.5</v>
      </c>
      <c r="R490" s="8">
        <v>133.25</v>
      </c>
      <c r="S490" t="s">
        <v>32</v>
      </c>
    </row>
    <row r="491" spans="1:19" hidden="1" x14ac:dyDescent="0.25">
      <c r="A491" t="s">
        <v>123</v>
      </c>
      <c r="B491" t="s">
        <v>75</v>
      </c>
      <c r="C491" t="s">
        <v>127</v>
      </c>
      <c r="D491" t="s">
        <v>527</v>
      </c>
      <c r="E491" t="s">
        <v>90</v>
      </c>
      <c r="F491" t="s">
        <v>6</v>
      </c>
      <c r="G491">
        <v>13</v>
      </c>
      <c r="H491">
        <v>30</v>
      </c>
      <c r="I491">
        <v>105</v>
      </c>
      <c r="J491">
        <v>30</v>
      </c>
      <c r="K491" s="6">
        <v>98.88</v>
      </c>
      <c r="L491" s="6">
        <v>-0.24</v>
      </c>
      <c r="M491" s="6">
        <v>104.22</v>
      </c>
      <c r="N491">
        <v>5.34</v>
      </c>
      <c r="O491" s="6">
        <v>0</v>
      </c>
      <c r="P491">
        <v>75</v>
      </c>
      <c r="Q491" s="8">
        <v>133.5</v>
      </c>
      <c r="R491" s="8">
        <v>132.01</v>
      </c>
      <c r="S491" t="s">
        <v>32</v>
      </c>
    </row>
    <row r="492" spans="1:19" hidden="1" x14ac:dyDescent="0.25">
      <c r="A492" t="s">
        <v>123</v>
      </c>
      <c r="B492" t="s">
        <v>75</v>
      </c>
      <c r="C492" t="s">
        <v>127</v>
      </c>
      <c r="D492" t="s">
        <v>530</v>
      </c>
      <c r="E492" t="s">
        <v>90</v>
      </c>
      <c r="F492" t="s">
        <v>90</v>
      </c>
      <c r="G492">
        <v>0</v>
      </c>
      <c r="H492">
        <v>30</v>
      </c>
      <c r="I492">
        <v>30</v>
      </c>
      <c r="J492">
        <v>30</v>
      </c>
      <c r="K492" s="6">
        <v>100</v>
      </c>
      <c r="L492" s="6">
        <v>0</v>
      </c>
      <c r="M492" s="6">
        <v>100</v>
      </c>
      <c r="N492">
        <v>0</v>
      </c>
      <c r="O492" s="6">
        <v>0</v>
      </c>
      <c r="P492">
        <v>0</v>
      </c>
      <c r="Q492" s="8">
        <v>175.2</v>
      </c>
      <c r="R492" s="8">
        <v>175.2</v>
      </c>
      <c r="S492" s="9" t="s">
        <v>563</v>
      </c>
    </row>
    <row r="493" spans="1:19" hidden="1" x14ac:dyDescent="0.25">
      <c r="A493" t="s">
        <v>123</v>
      </c>
      <c r="B493" t="s">
        <v>75</v>
      </c>
      <c r="C493" t="s">
        <v>127</v>
      </c>
      <c r="D493" t="s">
        <v>530</v>
      </c>
      <c r="E493" t="s">
        <v>90</v>
      </c>
      <c r="F493" t="s">
        <v>91</v>
      </c>
      <c r="G493">
        <v>1</v>
      </c>
      <c r="H493">
        <v>30</v>
      </c>
      <c r="I493">
        <v>94</v>
      </c>
      <c r="J493">
        <v>30</v>
      </c>
      <c r="K493" s="6">
        <v>100</v>
      </c>
      <c r="L493" s="6">
        <v>0</v>
      </c>
      <c r="M493" s="6">
        <v>101.92</v>
      </c>
      <c r="N493">
        <v>1.92</v>
      </c>
      <c r="O493" s="6">
        <v>0</v>
      </c>
      <c r="P493">
        <v>64</v>
      </c>
      <c r="Q493" s="8">
        <v>175.2</v>
      </c>
      <c r="R493" s="8">
        <v>175.2</v>
      </c>
      <c r="S493" t="s">
        <v>32</v>
      </c>
    </row>
    <row r="494" spans="1:19" hidden="1" x14ac:dyDescent="0.25">
      <c r="A494" t="s">
        <v>123</v>
      </c>
      <c r="B494" t="s">
        <v>75</v>
      </c>
      <c r="C494" t="s">
        <v>127</v>
      </c>
      <c r="D494" t="s">
        <v>530</v>
      </c>
      <c r="E494" t="s">
        <v>90</v>
      </c>
      <c r="F494" t="s">
        <v>94</v>
      </c>
      <c r="G494">
        <v>2</v>
      </c>
      <c r="H494">
        <v>30</v>
      </c>
      <c r="I494">
        <v>94</v>
      </c>
      <c r="J494">
        <v>30</v>
      </c>
      <c r="K494" s="6">
        <v>100.08</v>
      </c>
      <c r="L494" s="6">
        <v>0</v>
      </c>
      <c r="M494" s="6">
        <v>101.98</v>
      </c>
      <c r="N494">
        <v>1.9</v>
      </c>
      <c r="O494" s="6">
        <v>0</v>
      </c>
      <c r="P494">
        <v>64</v>
      </c>
      <c r="Q494" s="8">
        <v>175.2</v>
      </c>
      <c r="R494" s="8">
        <v>175.33</v>
      </c>
      <c r="S494" t="s">
        <v>32</v>
      </c>
    </row>
    <row r="495" spans="1:19" hidden="1" x14ac:dyDescent="0.25">
      <c r="A495" t="s">
        <v>123</v>
      </c>
      <c r="B495" t="s">
        <v>75</v>
      </c>
      <c r="C495" t="s">
        <v>127</v>
      </c>
      <c r="D495" t="s">
        <v>530</v>
      </c>
      <c r="E495" t="s">
        <v>90</v>
      </c>
      <c r="F495" t="s">
        <v>96</v>
      </c>
      <c r="G495">
        <v>6</v>
      </c>
      <c r="H495">
        <v>30</v>
      </c>
      <c r="I495">
        <v>94</v>
      </c>
      <c r="J495">
        <v>30</v>
      </c>
      <c r="K495" s="6">
        <v>100.08</v>
      </c>
      <c r="L495" s="6">
        <v>0</v>
      </c>
      <c r="M495" s="6">
        <v>102.05</v>
      </c>
      <c r="N495">
        <v>1.97</v>
      </c>
      <c r="O495" s="6">
        <v>0</v>
      </c>
      <c r="P495">
        <v>64</v>
      </c>
      <c r="Q495" s="8">
        <v>175.2</v>
      </c>
      <c r="R495" s="8">
        <v>175.33</v>
      </c>
      <c r="S495" t="s">
        <v>32</v>
      </c>
    </row>
    <row r="496" spans="1:19" hidden="1" x14ac:dyDescent="0.25">
      <c r="A496" t="s">
        <v>123</v>
      </c>
      <c r="B496" t="s">
        <v>75</v>
      </c>
      <c r="C496" t="s">
        <v>127</v>
      </c>
      <c r="D496" t="s">
        <v>530</v>
      </c>
      <c r="E496" t="s">
        <v>90</v>
      </c>
      <c r="F496" t="s">
        <v>6</v>
      </c>
      <c r="G496">
        <v>13</v>
      </c>
      <c r="H496">
        <v>30</v>
      </c>
      <c r="I496">
        <v>94</v>
      </c>
      <c r="J496">
        <v>30</v>
      </c>
      <c r="K496" s="6">
        <v>100.15</v>
      </c>
      <c r="L496" s="6">
        <v>0</v>
      </c>
      <c r="M496" s="6">
        <v>101.6</v>
      </c>
      <c r="N496">
        <v>1.45</v>
      </c>
      <c r="O496" s="6">
        <v>0</v>
      </c>
      <c r="P496">
        <v>64</v>
      </c>
      <c r="Q496" s="8">
        <v>175.2</v>
      </c>
      <c r="R496" s="8">
        <v>175.47</v>
      </c>
      <c r="S496" t="s">
        <v>32</v>
      </c>
    </row>
    <row r="497" spans="1:19" hidden="1" x14ac:dyDescent="0.25">
      <c r="A497" t="s">
        <v>123</v>
      </c>
      <c r="B497" t="s">
        <v>75</v>
      </c>
      <c r="C497" t="s">
        <v>127</v>
      </c>
      <c r="D497" t="s">
        <v>531</v>
      </c>
      <c r="E497" t="s">
        <v>90</v>
      </c>
      <c r="F497" t="s">
        <v>90</v>
      </c>
      <c r="G497">
        <v>0</v>
      </c>
      <c r="H497">
        <v>35</v>
      </c>
      <c r="I497">
        <v>35</v>
      </c>
      <c r="J497">
        <v>35</v>
      </c>
      <c r="K497" s="6">
        <v>100</v>
      </c>
      <c r="L497" s="6">
        <v>0</v>
      </c>
      <c r="M497" s="6">
        <v>100</v>
      </c>
      <c r="N497">
        <v>0</v>
      </c>
      <c r="O497" s="6">
        <v>0</v>
      </c>
      <c r="P497">
        <v>0</v>
      </c>
      <c r="Q497" s="8">
        <v>173.07</v>
      </c>
      <c r="R497" s="8">
        <v>173.07</v>
      </c>
      <c r="S497" s="9" t="s">
        <v>566</v>
      </c>
    </row>
    <row r="498" spans="1:19" hidden="1" x14ac:dyDescent="0.25">
      <c r="A498" t="s">
        <v>123</v>
      </c>
      <c r="B498" t="s">
        <v>75</v>
      </c>
      <c r="C498" t="s">
        <v>127</v>
      </c>
      <c r="D498" t="s">
        <v>531</v>
      </c>
      <c r="E498" t="s">
        <v>90</v>
      </c>
      <c r="F498" t="s">
        <v>91</v>
      </c>
      <c r="G498">
        <v>1</v>
      </c>
      <c r="H498">
        <v>35</v>
      </c>
      <c r="I498">
        <v>105</v>
      </c>
      <c r="J498">
        <v>35</v>
      </c>
      <c r="K498" s="6">
        <v>100</v>
      </c>
      <c r="L498" s="6">
        <v>0</v>
      </c>
      <c r="M498" s="6">
        <v>102.2</v>
      </c>
      <c r="N498">
        <v>2.2000000000000002</v>
      </c>
      <c r="O498" s="6">
        <v>0</v>
      </c>
      <c r="P498">
        <v>70</v>
      </c>
      <c r="Q498" s="8">
        <v>173.07</v>
      </c>
      <c r="R498" s="8">
        <v>173.07</v>
      </c>
      <c r="S498" t="s">
        <v>32</v>
      </c>
    </row>
    <row r="499" spans="1:19" hidden="1" x14ac:dyDescent="0.25">
      <c r="A499" t="s">
        <v>123</v>
      </c>
      <c r="B499" t="s">
        <v>75</v>
      </c>
      <c r="C499" t="s">
        <v>127</v>
      </c>
      <c r="D499" t="s">
        <v>531</v>
      </c>
      <c r="E499" t="s">
        <v>90</v>
      </c>
      <c r="F499" t="s">
        <v>94</v>
      </c>
      <c r="G499">
        <v>2</v>
      </c>
      <c r="H499">
        <v>35</v>
      </c>
      <c r="I499">
        <v>105</v>
      </c>
      <c r="J499">
        <v>35</v>
      </c>
      <c r="K499" s="6">
        <v>100</v>
      </c>
      <c r="L499" s="6">
        <v>0</v>
      </c>
      <c r="M499" s="6">
        <v>102.22</v>
      </c>
      <c r="N499">
        <v>2.2200000000000002</v>
      </c>
      <c r="O499" s="6">
        <v>0</v>
      </c>
      <c r="P499">
        <v>70</v>
      </c>
      <c r="Q499" s="8">
        <v>173.07</v>
      </c>
      <c r="R499" s="8">
        <v>173.07</v>
      </c>
      <c r="S499" t="s">
        <v>32</v>
      </c>
    </row>
    <row r="500" spans="1:19" hidden="1" x14ac:dyDescent="0.25">
      <c r="A500" t="s">
        <v>123</v>
      </c>
      <c r="B500" t="s">
        <v>75</v>
      </c>
      <c r="C500" t="s">
        <v>127</v>
      </c>
      <c r="D500" t="s">
        <v>531</v>
      </c>
      <c r="E500" t="s">
        <v>90</v>
      </c>
      <c r="F500" t="s">
        <v>96</v>
      </c>
      <c r="G500">
        <v>6</v>
      </c>
      <c r="H500">
        <v>35</v>
      </c>
      <c r="I500">
        <v>105</v>
      </c>
      <c r="J500">
        <v>35</v>
      </c>
      <c r="K500" s="6">
        <v>100.08</v>
      </c>
      <c r="L500" s="6">
        <v>0</v>
      </c>
      <c r="M500" s="6">
        <v>102.28</v>
      </c>
      <c r="N500">
        <v>2.2000000000000002</v>
      </c>
      <c r="O500" s="6">
        <v>0</v>
      </c>
      <c r="P500">
        <v>70</v>
      </c>
      <c r="Q500" s="8">
        <v>173.07</v>
      </c>
      <c r="R500" s="8">
        <v>173.22</v>
      </c>
      <c r="S500" t="s">
        <v>32</v>
      </c>
    </row>
    <row r="501" spans="1:19" hidden="1" x14ac:dyDescent="0.25">
      <c r="A501" t="s">
        <v>123</v>
      </c>
      <c r="B501" t="s">
        <v>75</v>
      </c>
      <c r="C501" t="s">
        <v>127</v>
      </c>
      <c r="D501" t="s">
        <v>531</v>
      </c>
      <c r="E501" t="s">
        <v>90</v>
      </c>
      <c r="F501" t="s">
        <v>6</v>
      </c>
      <c r="G501">
        <v>13</v>
      </c>
      <c r="H501">
        <v>35</v>
      </c>
      <c r="I501">
        <v>105</v>
      </c>
      <c r="J501">
        <v>35</v>
      </c>
      <c r="K501" s="6">
        <v>99.9</v>
      </c>
      <c r="L501" s="6">
        <v>0</v>
      </c>
      <c r="M501" s="6">
        <v>101.89</v>
      </c>
      <c r="N501">
        <v>1.99</v>
      </c>
      <c r="O501" s="6">
        <v>0</v>
      </c>
      <c r="P501">
        <v>70</v>
      </c>
      <c r="Q501" s="8">
        <v>173.07</v>
      </c>
      <c r="R501" s="8">
        <v>172.9</v>
      </c>
      <c r="S501" t="s">
        <v>32</v>
      </c>
    </row>
    <row r="502" spans="1:19" hidden="1" x14ac:dyDescent="0.25">
      <c r="A502" t="s">
        <v>123</v>
      </c>
      <c r="B502" t="s">
        <v>75</v>
      </c>
      <c r="C502" t="s">
        <v>127</v>
      </c>
      <c r="D502" t="s">
        <v>532</v>
      </c>
      <c r="E502" t="s">
        <v>90</v>
      </c>
      <c r="F502" t="s">
        <v>90</v>
      </c>
      <c r="G502">
        <v>0</v>
      </c>
      <c r="H502">
        <v>32</v>
      </c>
      <c r="I502">
        <v>32</v>
      </c>
      <c r="J502">
        <v>32</v>
      </c>
      <c r="K502" s="6">
        <v>100</v>
      </c>
      <c r="L502" s="6">
        <v>0</v>
      </c>
      <c r="M502" s="6">
        <v>100</v>
      </c>
      <c r="N502">
        <v>0</v>
      </c>
      <c r="O502" s="6">
        <v>0</v>
      </c>
      <c r="P502">
        <v>0</v>
      </c>
      <c r="Q502" s="8">
        <v>122.64</v>
      </c>
      <c r="R502" s="8">
        <v>122.64</v>
      </c>
      <c r="S502" s="9" t="s">
        <v>567</v>
      </c>
    </row>
    <row r="503" spans="1:19" hidden="1" x14ac:dyDescent="0.25">
      <c r="A503" t="s">
        <v>123</v>
      </c>
      <c r="B503" t="s">
        <v>75</v>
      </c>
      <c r="C503" t="s">
        <v>127</v>
      </c>
      <c r="D503" t="s">
        <v>532</v>
      </c>
      <c r="E503" t="s">
        <v>90</v>
      </c>
      <c r="F503" t="s">
        <v>91</v>
      </c>
      <c r="G503">
        <v>1</v>
      </c>
      <c r="H503">
        <v>32</v>
      </c>
      <c r="I503">
        <v>100</v>
      </c>
      <c r="J503">
        <v>32</v>
      </c>
      <c r="K503" s="6">
        <v>100</v>
      </c>
      <c r="L503" s="6">
        <v>0</v>
      </c>
      <c r="M503" s="6">
        <v>106.4</v>
      </c>
      <c r="N503">
        <v>6.4</v>
      </c>
      <c r="O503" s="6">
        <v>0</v>
      </c>
      <c r="P503">
        <v>68</v>
      </c>
      <c r="Q503" s="8">
        <v>122.64</v>
      </c>
      <c r="R503" s="8">
        <v>122.64</v>
      </c>
      <c r="S503" t="s">
        <v>32</v>
      </c>
    </row>
    <row r="504" spans="1:19" hidden="1" x14ac:dyDescent="0.25">
      <c r="A504" t="s">
        <v>123</v>
      </c>
      <c r="B504" t="s">
        <v>75</v>
      </c>
      <c r="C504" t="s">
        <v>127</v>
      </c>
      <c r="D504" t="s">
        <v>532</v>
      </c>
      <c r="E504" t="s">
        <v>90</v>
      </c>
      <c r="F504" t="s">
        <v>94</v>
      </c>
      <c r="G504">
        <v>2</v>
      </c>
      <c r="H504">
        <v>32</v>
      </c>
      <c r="I504">
        <v>100</v>
      </c>
      <c r="J504">
        <v>32</v>
      </c>
      <c r="K504" s="6">
        <v>99.96</v>
      </c>
      <c r="L504" s="6">
        <v>0</v>
      </c>
      <c r="M504" s="6">
        <v>106.39</v>
      </c>
      <c r="N504">
        <v>6.43</v>
      </c>
      <c r="O504" s="6">
        <v>0</v>
      </c>
      <c r="P504">
        <v>68</v>
      </c>
      <c r="Q504" s="8">
        <v>122.64</v>
      </c>
      <c r="R504" s="8">
        <v>122.58</v>
      </c>
      <c r="S504" t="s">
        <v>32</v>
      </c>
    </row>
    <row r="505" spans="1:19" hidden="1" x14ac:dyDescent="0.25">
      <c r="A505" t="s">
        <v>123</v>
      </c>
      <c r="B505" t="s">
        <v>75</v>
      </c>
      <c r="C505" t="s">
        <v>127</v>
      </c>
      <c r="D505" t="s">
        <v>532</v>
      </c>
      <c r="E505" t="s">
        <v>90</v>
      </c>
      <c r="F505" t="s">
        <v>96</v>
      </c>
      <c r="G505">
        <v>6</v>
      </c>
      <c r="H505">
        <v>32</v>
      </c>
      <c r="I505">
        <v>100</v>
      </c>
      <c r="J505">
        <v>32</v>
      </c>
      <c r="K505" s="6">
        <v>99.96</v>
      </c>
      <c r="L505" s="6">
        <v>0</v>
      </c>
      <c r="M505" s="6">
        <v>106.41</v>
      </c>
      <c r="N505">
        <v>6.45</v>
      </c>
      <c r="O505" s="6">
        <v>0</v>
      </c>
      <c r="P505">
        <v>68</v>
      </c>
      <c r="Q505" s="8">
        <v>122.64</v>
      </c>
      <c r="R505" s="8">
        <v>122.58</v>
      </c>
      <c r="S505" t="s">
        <v>32</v>
      </c>
    </row>
    <row r="506" spans="1:19" hidden="1" x14ac:dyDescent="0.25">
      <c r="A506" t="s">
        <v>123</v>
      </c>
      <c r="B506" t="s">
        <v>75</v>
      </c>
      <c r="C506" t="s">
        <v>127</v>
      </c>
      <c r="D506" t="s">
        <v>532</v>
      </c>
      <c r="E506" t="s">
        <v>90</v>
      </c>
      <c r="F506" t="s">
        <v>6</v>
      </c>
      <c r="G506">
        <v>13</v>
      </c>
      <c r="H506">
        <v>32</v>
      </c>
      <c r="I506">
        <v>100</v>
      </c>
      <c r="J506">
        <v>32</v>
      </c>
      <c r="K506" s="6">
        <v>99.72</v>
      </c>
      <c r="L506" s="6">
        <v>0</v>
      </c>
      <c r="M506" s="6">
        <v>105.65</v>
      </c>
      <c r="N506">
        <v>5.93</v>
      </c>
      <c r="O506" s="6">
        <v>0</v>
      </c>
      <c r="P506">
        <v>68</v>
      </c>
      <c r="Q506" s="8">
        <v>122.64</v>
      </c>
      <c r="R506" s="8">
        <v>122.29</v>
      </c>
      <c r="S506" t="s">
        <v>32</v>
      </c>
    </row>
    <row r="507" spans="1:19" hidden="1" x14ac:dyDescent="0.25">
      <c r="A507" t="s">
        <v>123</v>
      </c>
      <c r="B507" t="s">
        <v>75</v>
      </c>
      <c r="C507" t="s">
        <v>127</v>
      </c>
      <c r="D507" t="s">
        <v>533</v>
      </c>
      <c r="E507" t="s">
        <v>94</v>
      </c>
      <c r="F507" t="s">
        <v>94</v>
      </c>
      <c r="G507">
        <v>0</v>
      </c>
      <c r="H507">
        <v>83</v>
      </c>
      <c r="I507">
        <v>83</v>
      </c>
      <c r="J507">
        <v>83</v>
      </c>
      <c r="K507" s="6">
        <v>100</v>
      </c>
      <c r="L507" s="6">
        <v>0</v>
      </c>
      <c r="M507" s="6">
        <v>100</v>
      </c>
      <c r="N507">
        <v>0</v>
      </c>
      <c r="O507" s="6">
        <v>0</v>
      </c>
      <c r="P507">
        <v>0</v>
      </c>
      <c r="Q507" s="8">
        <v>111.58</v>
      </c>
      <c r="R507" s="8">
        <v>111.58</v>
      </c>
      <c r="S507" s="9" t="s">
        <v>568</v>
      </c>
    </row>
    <row r="508" spans="1:19" hidden="1" x14ac:dyDescent="0.25">
      <c r="A508" t="s">
        <v>123</v>
      </c>
      <c r="B508" t="s">
        <v>75</v>
      </c>
      <c r="C508" t="s">
        <v>127</v>
      </c>
      <c r="D508" t="s">
        <v>533</v>
      </c>
      <c r="E508" t="s">
        <v>94</v>
      </c>
      <c r="F508" t="s">
        <v>96</v>
      </c>
      <c r="G508">
        <v>4</v>
      </c>
      <c r="H508">
        <v>83</v>
      </c>
      <c r="I508">
        <v>83</v>
      </c>
      <c r="J508">
        <v>83</v>
      </c>
      <c r="K508" s="6">
        <v>100.01</v>
      </c>
      <c r="L508" s="6">
        <v>0</v>
      </c>
      <c r="M508" s="6">
        <v>100.01</v>
      </c>
      <c r="N508">
        <v>0</v>
      </c>
      <c r="O508" s="6">
        <v>0</v>
      </c>
      <c r="P508">
        <v>0</v>
      </c>
      <c r="Q508" s="8">
        <v>111.58</v>
      </c>
      <c r="R508" s="8">
        <v>111.59</v>
      </c>
      <c r="S508" t="s">
        <v>32</v>
      </c>
    </row>
    <row r="509" spans="1:19" hidden="1" x14ac:dyDescent="0.25">
      <c r="A509" t="s">
        <v>123</v>
      </c>
      <c r="B509" t="s">
        <v>75</v>
      </c>
      <c r="C509" t="s">
        <v>127</v>
      </c>
      <c r="D509" t="s">
        <v>533</v>
      </c>
      <c r="E509" t="s">
        <v>94</v>
      </c>
      <c r="F509" t="s">
        <v>6</v>
      </c>
      <c r="G509">
        <v>11</v>
      </c>
      <c r="H509">
        <v>83</v>
      </c>
      <c r="I509">
        <v>83</v>
      </c>
      <c r="J509">
        <v>83</v>
      </c>
      <c r="K509" s="6">
        <v>99.12</v>
      </c>
      <c r="L509" s="6">
        <v>0</v>
      </c>
      <c r="M509" s="6">
        <v>99.12</v>
      </c>
      <c r="N509">
        <v>0</v>
      </c>
      <c r="O509" s="6">
        <v>0</v>
      </c>
      <c r="P509">
        <v>0</v>
      </c>
      <c r="Q509" s="8">
        <v>111.58</v>
      </c>
      <c r="R509" s="8">
        <v>110.6</v>
      </c>
      <c r="S509" t="s">
        <v>32</v>
      </c>
    </row>
    <row r="510" spans="1:19" hidden="1" x14ac:dyDescent="0.25">
      <c r="A510" t="s">
        <v>123</v>
      </c>
      <c r="B510" t="s">
        <v>75</v>
      </c>
      <c r="C510" t="s">
        <v>127</v>
      </c>
      <c r="D510" t="s">
        <v>545</v>
      </c>
      <c r="E510" t="s">
        <v>94</v>
      </c>
      <c r="F510" t="s">
        <v>94</v>
      </c>
      <c r="G510">
        <v>0</v>
      </c>
      <c r="H510">
        <v>97</v>
      </c>
      <c r="I510">
        <v>97</v>
      </c>
      <c r="J510">
        <v>97</v>
      </c>
      <c r="K510" s="6">
        <v>100</v>
      </c>
      <c r="L510" s="6">
        <v>0</v>
      </c>
      <c r="M510" s="6">
        <v>100</v>
      </c>
      <c r="N510">
        <v>0</v>
      </c>
      <c r="O510" s="6">
        <v>0</v>
      </c>
      <c r="P510">
        <v>0</v>
      </c>
      <c r="Q510" s="8">
        <v>113.46</v>
      </c>
      <c r="R510" s="8">
        <v>113.46</v>
      </c>
      <c r="S510" s="9" t="s">
        <v>569</v>
      </c>
    </row>
    <row r="511" spans="1:19" hidden="1" x14ac:dyDescent="0.25">
      <c r="A511" t="s">
        <v>123</v>
      </c>
      <c r="B511" t="s">
        <v>75</v>
      </c>
      <c r="C511" t="s">
        <v>127</v>
      </c>
      <c r="D511" t="s">
        <v>545</v>
      </c>
      <c r="E511" t="s">
        <v>94</v>
      </c>
      <c r="F511" t="s">
        <v>96</v>
      </c>
      <c r="G511">
        <v>4</v>
      </c>
      <c r="H511">
        <v>97</v>
      </c>
      <c r="I511">
        <v>97</v>
      </c>
      <c r="J511">
        <v>97</v>
      </c>
      <c r="K511" s="6">
        <v>100.01</v>
      </c>
      <c r="L511" s="6">
        <v>0</v>
      </c>
      <c r="M511" s="6">
        <v>100.01</v>
      </c>
      <c r="N511">
        <v>0</v>
      </c>
      <c r="O511" s="6">
        <v>0</v>
      </c>
      <c r="P511">
        <v>0</v>
      </c>
      <c r="Q511" s="8">
        <v>113.46</v>
      </c>
      <c r="R511" s="8">
        <v>113.47</v>
      </c>
      <c r="S511" t="s">
        <v>32</v>
      </c>
    </row>
    <row r="512" spans="1:19" hidden="1" x14ac:dyDescent="0.25">
      <c r="A512" t="s">
        <v>123</v>
      </c>
      <c r="B512" t="s">
        <v>75</v>
      </c>
      <c r="C512" t="s">
        <v>127</v>
      </c>
      <c r="D512" t="s">
        <v>545</v>
      </c>
      <c r="E512" t="s">
        <v>94</v>
      </c>
      <c r="F512" t="s">
        <v>6</v>
      </c>
      <c r="G512">
        <v>11</v>
      </c>
      <c r="H512">
        <v>97</v>
      </c>
      <c r="I512">
        <v>96</v>
      </c>
      <c r="J512">
        <v>96</v>
      </c>
      <c r="K512" s="6">
        <v>99.17</v>
      </c>
      <c r="L512" s="6">
        <v>0</v>
      </c>
      <c r="M512" s="6">
        <v>98.5</v>
      </c>
      <c r="N512">
        <v>-0.67</v>
      </c>
      <c r="O512" s="6">
        <v>1</v>
      </c>
      <c r="P512">
        <v>0</v>
      </c>
      <c r="Q512" s="8">
        <v>112.69</v>
      </c>
      <c r="R512" s="8">
        <v>111.75</v>
      </c>
      <c r="S512" t="s">
        <v>32</v>
      </c>
    </row>
    <row r="513" spans="1:19" hidden="1" x14ac:dyDescent="0.25">
      <c r="A513" t="s">
        <v>123</v>
      </c>
      <c r="B513" t="s">
        <v>75</v>
      </c>
      <c r="C513" t="s">
        <v>127</v>
      </c>
      <c r="D513" t="s">
        <v>570</v>
      </c>
      <c r="E513" t="s">
        <v>94</v>
      </c>
      <c r="F513" t="s">
        <v>94</v>
      </c>
      <c r="G513">
        <v>0</v>
      </c>
      <c r="H513">
        <v>104</v>
      </c>
      <c r="I513">
        <v>104</v>
      </c>
      <c r="J513">
        <v>104</v>
      </c>
      <c r="K513" s="6">
        <v>100</v>
      </c>
      <c r="L513" s="6">
        <v>0</v>
      </c>
      <c r="M513" s="6">
        <v>100</v>
      </c>
      <c r="N513">
        <v>0</v>
      </c>
      <c r="O513" s="6">
        <v>0</v>
      </c>
      <c r="P513">
        <v>0</v>
      </c>
      <c r="Q513" s="8">
        <v>120.63</v>
      </c>
      <c r="R513" s="8">
        <v>120.63</v>
      </c>
      <c r="S513" s="9" t="s">
        <v>571</v>
      </c>
    </row>
    <row r="514" spans="1:19" hidden="1" x14ac:dyDescent="0.25">
      <c r="A514" t="s">
        <v>123</v>
      </c>
      <c r="B514" t="s">
        <v>75</v>
      </c>
      <c r="C514" t="s">
        <v>127</v>
      </c>
      <c r="D514" t="s">
        <v>570</v>
      </c>
      <c r="E514" t="s">
        <v>94</v>
      </c>
      <c r="F514" t="s">
        <v>96</v>
      </c>
      <c r="G514">
        <v>4</v>
      </c>
      <c r="H514">
        <v>104</v>
      </c>
      <c r="I514">
        <v>104</v>
      </c>
      <c r="J514">
        <v>104</v>
      </c>
      <c r="K514" s="6">
        <v>100</v>
      </c>
      <c r="L514" s="6">
        <v>0</v>
      </c>
      <c r="M514" s="6">
        <v>100</v>
      </c>
      <c r="N514">
        <v>0</v>
      </c>
      <c r="O514" s="6">
        <v>0</v>
      </c>
      <c r="P514">
        <v>0</v>
      </c>
      <c r="Q514" s="8">
        <v>120.63</v>
      </c>
      <c r="R514" s="8">
        <v>120.63</v>
      </c>
      <c r="S514" t="s">
        <v>32</v>
      </c>
    </row>
    <row r="515" spans="1:19" hidden="1" x14ac:dyDescent="0.25">
      <c r="A515" t="s">
        <v>123</v>
      </c>
      <c r="B515" t="s">
        <v>75</v>
      </c>
      <c r="C515" t="s">
        <v>127</v>
      </c>
      <c r="D515" t="s">
        <v>570</v>
      </c>
      <c r="E515" t="s">
        <v>94</v>
      </c>
      <c r="F515" t="s">
        <v>6</v>
      </c>
      <c r="G515">
        <v>11</v>
      </c>
      <c r="H515">
        <v>104</v>
      </c>
      <c r="I515">
        <v>104</v>
      </c>
      <c r="J515">
        <v>104</v>
      </c>
      <c r="K515" s="6">
        <v>99.55</v>
      </c>
      <c r="L515" s="6">
        <v>0</v>
      </c>
      <c r="M515" s="6">
        <v>99.55</v>
      </c>
      <c r="N515">
        <v>0</v>
      </c>
      <c r="O515" s="6">
        <v>0</v>
      </c>
      <c r="P515">
        <v>0</v>
      </c>
      <c r="Q515" s="8">
        <v>120.63</v>
      </c>
      <c r="R515" s="8">
        <v>120.09</v>
      </c>
      <c r="S515" t="s">
        <v>32</v>
      </c>
    </row>
    <row r="516" spans="1:19" hidden="1" x14ac:dyDescent="0.25">
      <c r="A516" t="s">
        <v>123</v>
      </c>
      <c r="B516" t="s">
        <v>75</v>
      </c>
      <c r="C516" t="s">
        <v>127</v>
      </c>
      <c r="D516" t="s">
        <v>572</v>
      </c>
      <c r="E516" t="s">
        <v>94</v>
      </c>
      <c r="F516" t="s">
        <v>94</v>
      </c>
      <c r="G516">
        <v>0</v>
      </c>
      <c r="H516">
        <v>110</v>
      </c>
      <c r="I516">
        <v>110</v>
      </c>
      <c r="J516">
        <v>110</v>
      </c>
      <c r="K516" s="6">
        <v>100</v>
      </c>
      <c r="L516" s="6">
        <v>0</v>
      </c>
      <c r="M516" s="6">
        <v>100</v>
      </c>
      <c r="N516">
        <v>0</v>
      </c>
      <c r="O516" s="6">
        <v>0</v>
      </c>
      <c r="P516">
        <v>0</v>
      </c>
      <c r="Q516" s="8">
        <v>155.13</v>
      </c>
      <c r="R516" s="8">
        <v>155.13</v>
      </c>
      <c r="S516" s="9" t="s">
        <v>573</v>
      </c>
    </row>
    <row r="517" spans="1:19" hidden="1" x14ac:dyDescent="0.25">
      <c r="A517" t="s">
        <v>123</v>
      </c>
      <c r="B517" t="s">
        <v>75</v>
      </c>
      <c r="C517" t="s">
        <v>127</v>
      </c>
      <c r="D517" t="s">
        <v>572</v>
      </c>
      <c r="E517" t="s">
        <v>94</v>
      </c>
      <c r="F517" t="s">
        <v>96</v>
      </c>
      <c r="G517">
        <v>4</v>
      </c>
      <c r="H517">
        <v>110</v>
      </c>
      <c r="I517">
        <v>110</v>
      </c>
      <c r="J517">
        <v>110</v>
      </c>
      <c r="K517" s="6">
        <v>100</v>
      </c>
      <c r="L517" s="6">
        <v>0</v>
      </c>
      <c r="M517" s="6">
        <v>100</v>
      </c>
      <c r="N517">
        <v>0</v>
      </c>
      <c r="O517" s="6">
        <v>0</v>
      </c>
      <c r="P517">
        <v>0</v>
      </c>
      <c r="Q517" s="8">
        <v>155.13</v>
      </c>
      <c r="R517" s="8">
        <v>155.13999999999999</v>
      </c>
      <c r="S517" t="s">
        <v>32</v>
      </c>
    </row>
    <row r="518" spans="1:19" hidden="1" x14ac:dyDescent="0.25">
      <c r="A518" t="s">
        <v>123</v>
      </c>
      <c r="B518" t="s">
        <v>75</v>
      </c>
      <c r="C518" t="s">
        <v>127</v>
      </c>
      <c r="D518" t="s">
        <v>572</v>
      </c>
      <c r="E518" t="s">
        <v>94</v>
      </c>
      <c r="F518" t="s">
        <v>6</v>
      </c>
      <c r="G518">
        <v>11</v>
      </c>
      <c r="H518">
        <v>110</v>
      </c>
      <c r="I518">
        <v>110</v>
      </c>
      <c r="J518">
        <v>110</v>
      </c>
      <c r="K518" s="6">
        <v>99.81</v>
      </c>
      <c r="L518" s="6">
        <v>0</v>
      </c>
      <c r="M518" s="6">
        <v>99.81</v>
      </c>
      <c r="N518">
        <v>0</v>
      </c>
      <c r="O518" s="6">
        <v>0</v>
      </c>
      <c r="P518">
        <v>0</v>
      </c>
      <c r="Q518" s="8">
        <v>155.13</v>
      </c>
      <c r="R518" s="8">
        <v>154.84</v>
      </c>
      <c r="S518" t="s">
        <v>32</v>
      </c>
    </row>
    <row r="519" spans="1:19" hidden="1" x14ac:dyDescent="0.25">
      <c r="A519" t="s">
        <v>123</v>
      </c>
      <c r="B519" t="s">
        <v>75</v>
      </c>
      <c r="C519" t="s">
        <v>127</v>
      </c>
      <c r="D519" t="s">
        <v>574</v>
      </c>
      <c r="E519" t="s">
        <v>94</v>
      </c>
      <c r="F519" t="s">
        <v>94</v>
      </c>
      <c r="G519">
        <v>0</v>
      </c>
      <c r="H519">
        <v>106</v>
      </c>
      <c r="I519">
        <v>106</v>
      </c>
      <c r="J519">
        <v>106</v>
      </c>
      <c r="K519" s="6">
        <v>100</v>
      </c>
      <c r="L519" s="6">
        <v>0</v>
      </c>
      <c r="M519" s="6">
        <v>100</v>
      </c>
      <c r="N519">
        <v>0</v>
      </c>
      <c r="O519" s="6">
        <v>0</v>
      </c>
      <c r="P519">
        <v>0</v>
      </c>
      <c r="Q519" s="8">
        <v>111.46</v>
      </c>
      <c r="R519" s="8">
        <v>111.46</v>
      </c>
      <c r="S519" s="9" t="s">
        <v>575</v>
      </c>
    </row>
    <row r="520" spans="1:19" hidden="1" x14ac:dyDescent="0.25">
      <c r="A520" t="s">
        <v>123</v>
      </c>
      <c r="B520" t="s">
        <v>75</v>
      </c>
      <c r="C520" t="s">
        <v>127</v>
      </c>
      <c r="D520" t="s">
        <v>574</v>
      </c>
      <c r="E520" t="s">
        <v>94</v>
      </c>
      <c r="F520" t="s">
        <v>96</v>
      </c>
      <c r="G520">
        <v>4</v>
      </c>
      <c r="H520">
        <v>106</v>
      </c>
      <c r="I520">
        <v>106</v>
      </c>
      <c r="J520">
        <v>106</v>
      </c>
      <c r="K520" s="6">
        <v>100.01</v>
      </c>
      <c r="L520" s="6">
        <v>0</v>
      </c>
      <c r="M520" s="6">
        <v>100.01</v>
      </c>
      <c r="N520">
        <v>0</v>
      </c>
      <c r="O520" s="6">
        <v>0</v>
      </c>
      <c r="P520">
        <v>0</v>
      </c>
      <c r="Q520" s="8">
        <v>111.46</v>
      </c>
      <c r="R520" s="8">
        <v>111.47</v>
      </c>
      <c r="S520" t="s">
        <v>32</v>
      </c>
    </row>
    <row r="521" spans="1:19" hidden="1" x14ac:dyDescent="0.25">
      <c r="A521" t="s">
        <v>123</v>
      </c>
      <c r="B521" t="s">
        <v>75</v>
      </c>
      <c r="C521" t="s">
        <v>127</v>
      </c>
      <c r="D521" t="s">
        <v>574</v>
      </c>
      <c r="E521" t="s">
        <v>94</v>
      </c>
      <c r="F521" t="s">
        <v>6</v>
      </c>
      <c r="G521">
        <v>11</v>
      </c>
      <c r="H521">
        <v>106</v>
      </c>
      <c r="I521">
        <v>106</v>
      </c>
      <c r="J521">
        <v>106</v>
      </c>
      <c r="K521" s="6">
        <v>99.42</v>
      </c>
      <c r="L521" s="6">
        <v>0</v>
      </c>
      <c r="M521" s="6">
        <v>99.42</v>
      </c>
      <c r="N521">
        <v>0</v>
      </c>
      <c r="O521" s="6">
        <v>0</v>
      </c>
      <c r="P521">
        <v>0</v>
      </c>
      <c r="Q521" s="8">
        <v>111.46</v>
      </c>
      <c r="R521" s="8">
        <v>110.81</v>
      </c>
      <c r="S521" t="s">
        <v>32</v>
      </c>
    </row>
    <row r="522" spans="1:19" hidden="1" x14ac:dyDescent="0.25">
      <c r="A522" t="s">
        <v>123</v>
      </c>
      <c r="B522" t="s">
        <v>75</v>
      </c>
      <c r="C522" t="s">
        <v>127</v>
      </c>
      <c r="D522" t="s">
        <v>576</v>
      </c>
      <c r="E522" t="s">
        <v>94</v>
      </c>
      <c r="F522" t="s">
        <v>94</v>
      </c>
      <c r="G522">
        <v>0</v>
      </c>
      <c r="H522">
        <v>100</v>
      </c>
      <c r="I522">
        <v>100</v>
      </c>
      <c r="J522">
        <v>100</v>
      </c>
      <c r="K522" s="6">
        <v>100</v>
      </c>
      <c r="L522" s="6">
        <v>0</v>
      </c>
      <c r="M522" s="6">
        <v>100</v>
      </c>
      <c r="N522">
        <v>0</v>
      </c>
      <c r="O522" s="6">
        <v>0</v>
      </c>
      <c r="P522">
        <v>0</v>
      </c>
      <c r="Q522" s="8">
        <v>115.92</v>
      </c>
      <c r="R522" s="8">
        <v>115.92</v>
      </c>
      <c r="S522" s="9" t="s">
        <v>577</v>
      </c>
    </row>
    <row r="523" spans="1:19" hidden="1" x14ac:dyDescent="0.25">
      <c r="A523" t="s">
        <v>123</v>
      </c>
      <c r="B523" t="s">
        <v>75</v>
      </c>
      <c r="C523" t="s">
        <v>127</v>
      </c>
      <c r="D523" t="s">
        <v>576</v>
      </c>
      <c r="E523" t="s">
        <v>94</v>
      </c>
      <c r="F523" t="s">
        <v>96</v>
      </c>
      <c r="G523">
        <v>4</v>
      </c>
      <c r="H523">
        <v>100</v>
      </c>
      <c r="I523">
        <v>100</v>
      </c>
      <c r="J523">
        <v>100</v>
      </c>
      <c r="K523" s="6">
        <v>100</v>
      </c>
      <c r="L523" s="6">
        <v>0</v>
      </c>
      <c r="M523" s="6">
        <v>100</v>
      </c>
      <c r="N523">
        <v>0</v>
      </c>
      <c r="O523" s="6">
        <v>0</v>
      </c>
      <c r="P523">
        <v>0</v>
      </c>
      <c r="Q523" s="8">
        <v>115.92</v>
      </c>
      <c r="R523" s="8">
        <v>115.92</v>
      </c>
      <c r="S523" t="s">
        <v>32</v>
      </c>
    </row>
    <row r="524" spans="1:19" hidden="1" x14ac:dyDescent="0.25">
      <c r="A524" t="s">
        <v>123</v>
      </c>
      <c r="B524" t="s">
        <v>75</v>
      </c>
      <c r="C524" t="s">
        <v>127</v>
      </c>
      <c r="D524" t="s">
        <v>576</v>
      </c>
      <c r="E524" t="s">
        <v>94</v>
      </c>
      <c r="F524" t="s">
        <v>6</v>
      </c>
      <c r="G524">
        <v>11</v>
      </c>
      <c r="H524">
        <v>100</v>
      </c>
      <c r="I524">
        <v>100</v>
      </c>
      <c r="J524">
        <v>100</v>
      </c>
      <c r="K524" s="6">
        <v>99.81</v>
      </c>
      <c r="L524" s="6">
        <v>0</v>
      </c>
      <c r="M524" s="6">
        <v>99.81</v>
      </c>
      <c r="N524">
        <v>0</v>
      </c>
      <c r="O524" s="6">
        <v>0</v>
      </c>
      <c r="P524">
        <v>0</v>
      </c>
      <c r="Q524" s="8">
        <v>115.92</v>
      </c>
      <c r="R524" s="8">
        <v>115.7</v>
      </c>
      <c r="S524" t="s">
        <v>32</v>
      </c>
    </row>
    <row r="525" spans="1:19" hidden="1" x14ac:dyDescent="0.25">
      <c r="A525" t="s">
        <v>123</v>
      </c>
      <c r="B525" t="s">
        <v>75</v>
      </c>
      <c r="C525" t="s">
        <v>127</v>
      </c>
      <c r="D525" t="s">
        <v>578</v>
      </c>
      <c r="E525" t="s">
        <v>94</v>
      </c>
      <c r="F525" t="s">
        <v>94</v>
      </c>
      <c r="G525">
        <v>0</v>
      </c>
      <c r="H525">
        <v>114</v>
      </c>
      <c r="I525">
        <v>114</v>
      </c>
      <c r="J525">
        <v>114</v>
      </c>
      <c r="K525" s="6">
        <v>100</v>
      </c>
      <c r="L525" s="6">
        <v>0</v>
      </c>
      <c r="M525" s="6">
        <v>100</v>
      </c>
      <c r="N525">
        <v>0</v>
      </c>
      <c r="O525" s="6">
        <v>0</v>
      </c>
      <c r="P525">
        <v>0</v>
      </c>
      <c r="Q525" s="8">
        <v>136.76</v>
      </c>
      <c r="R525" s="8">
        <v>136.76</v>
      </c>
      <c r="S525" s="9" t="s">
        <v>579</v>
      </c>
    </row>
    <row r="526" spans="1:19" hidden="1" x14ac:dyDescent="0.25">
      <c r="A526" t="s">
        <v>123</v>
      </c>
      <c r="B526" t="s">
        <v>75</v>
      </c>
      <c r="C526" t="s">
        <v>127</v>
      </c>
      <c r="D526" t="s">
        <v>578</v>
      </c>
      <c r="E526" t="s">
        <v>94</v>
      </c>
      <c r="F526" t="s">
        <v>96</v>
      </c>
      <c r="G526">
        <v>4</v>
      </c>
      <c r="H526">
        <v>114</v>
      </c>
      <c r="I526">
        <v>114</v>
      </c>
      <c r="J526">
        <v>114</v>
      </c>
      <c r="K526" s="6">
        <v>100</v>
      </c>
      <c r="L526" s="6">
        <v>0</v>
      </c>
      <c r="M526" s="6">
        <v>100</v>
      </c>
      <c r="N526">
        <v>0</v>
      </c>
      <c r="O526" s="6">
        <v>0</v>
      </c>
      <c r="P526">
        <v>0</v>
      </c>
      <c r="Q526" s="8">
        <v>136.76</v>
      </c>
      <c r="R526" s="8">
        <v>136.76</v>
      </c>
      <c r="S526" t="s">
        <v>32</v>
      </c>
    </row>
    <row r="527" spans="1:19" hidden="1" x14ac:dyDescent="0.25">
      <c r="A527" t="s">
        <v>123</v>
      </c>
      <c r="B527" t="s">
        <v>75</v>
      </c>
      <c r="C527" t="s">
        <v>127</v>
      </c>
      <c r="D527" t="s">
        <v>578</v>
      </c>
      <c r="E527" t="s">
        <v>94</v>
      </c>
      <c r="F527" t="s">
        <v>6</v>
      </c>
      <c r="G527">
        <v>11</v>
      </c>
      <c r="H527">
        <v>114</v>
      </c>
      <c r="I527">
        <v>114</v>
      </c>
      <c r="J527">
        <v>114</v>
      </c>
      <c r="K527" s="6">
        <v>99.68</v>
      </c>
      <c r="L527" s="6">
        <v>0</v>
      </c>
      <c r="M527" s="6">
        <v>99.68</v>
      </c>
      <c r="N527">
        <v>0</v>
      </c>
      <c r="O527" s="6">
        <v>0</v>
      </c>
      <c r="P527">
        <v>0</v>
      </c>
      <c r="Q527" s="8">
        <v>136.76</v>
      </c>
      <c r="R527" s="8">
        <v>136.32</v>
      </c>
      <c r="S527" t="s">
        <v>32</v>
      </c>
    </row>
    <row r="528" spans="1:19" hidden="1" x14ac:dyDescent="0.25">
      <c r="A528" t="s">
        <v>123</v>
      </c>
      <c r="B528" t="s">
        <v>75</v>
      </c>
      <c r="C528" t="s">
        <v>127</v>
      </c>
      <c r="D528" t="s">
        <v>580</v>
      </c>
      <c r="E528" t="s">
        <v>94</v>
      </c>
      <c r="F528" t="s">
        <v>94</v>
      </c>
      <c r="G528">
        <v>0</v>
      </c>
      <c r="H528">
        <v>76</v>
      </c>
      <c r="I528">
        <v>76</v>
      </c>
      <c r="J528">
        <v>76</v>
      </c>
      <c r="K528" s="6">
        <v>100</v>
      </c>
      <c r="L528" s="6">
        <v>0</v>
      </c>
      <c r="M528" s="6">
        <v>100</v>
      </c>
      <c r="N528">
        <v>0</v>
      </c>
      <c r="O528" s="6">
        <v>0</v>
      </c>
      <c r="P528">
        <v>0</v>
      </c>
      <c r="Q528" s="8">
        <v>141.24</v>
      </c>
      <c r="R528" s="8">
        <v>141.24</v>
      </c>
      <c r="S528" s="9" t="s">
        <v>581</v>
      </c>
    </row>
    <row r="529" spans="1:19" hidden="1" x14ac:dyDescent="0.25">
      <c r="A529" t="s">
        <v>123</v>
      </c>
      <c r="B529" t="s">
        <v>75</v>
      </c>
      <c r="C529" t="s">
        <v>127</v>
      </c>
      <c r="D529" t="s">
        <v>580</v>
      </c>
      <c r="E529" t="s">
        <v>94</v>
      </c>
      <c r="F529" t="s">
        <v>96</v>
      </c>
      <c r="G529">
        <v>4</v>
      </c>
      <c r="H529">
        <v>76</v>
      </c>
      <c r="I529">
        <v>76</v>
      </c>
      <c r="J529">
        <v>76</v>
      </c>
      <c r="K529" s="6">
        <v>99.95</v>
      </c>
      <c r="L529" s="6">
        <v>0</v>
      </c>
      <c r="M529" s="6">
        <v>99.95</v>
      </c>
      <c r="N529">
        <v>0</v>
      </c>
      <c r="O529" s="6">
        <v>0</v>
      </c>
      <c r="P529">
        <v>0</v>
      </c>
      <c r="Q529" s="8">
        <v>141.24</v>
      </c>
      <c r="R529" s="8">
        <v>141.16999999999999</v>
      </c>
      <c r="S529" t="s">
        <v>32</v>
      </c>
    </row>
    <row r="530" spans="1:19" hidden="1" x14ac:dyDescent="0.25">
      <c r="A530" t="s">
        <v>123</v>
      </c>
      <c r="B530" t="s">
        <v>75</v>
      </c>
      <c r="C530" t="s">
        <v>127</v>
      </c>
      <c r="D530" t="s">
        <v>580</v>
      </c>
      <c r="E530" t="s">
        <v>94</v>
      </c>
      <c r="F530" t="s">
        <v>6</v>
      </c>
      <c r="G530">
        <v>11</v>
      </c>
      <c r="H530">
        <v>76</v>
      </c>
      <c r="I530">
        <v>76</v>
      </c>
      <c r="J530">
        <v>76</v>
      </c>
      <c r="K530" s="6">
        <v>99.48</v>
      </c>
      <c r="L530" s="6">
        <v>0</v>
      </c>
      <c r="M530" s="6">
        <v>99.48</v>
      </c>
      <c r="N530">
        <v>0</v>
      </c>
      <c r="O530" s="6">
        <v>0</v>
      </c>
      <c r="P530">
        <v>0</v>
      </c>
      <c r="Q530" s="8">
        <v>141.24</v>
      </c>
      <c r="R530" s="8">
        <v>140.51</v>
      </c>
      <c r="S530" t="s">
        <v>32</v>
      </c>
    </row>
    <row r="531" spans="1:19" hidden="1" x14ac:dyDescent="0.25">
      <c r="A531" t="s">
        <v>123</v>
      </c>
      <c r="B531" t="s">
        <v>75</v>
      </c>
      <c r="C531" t="s">
        <v>127</v>
      </c>
      <c r="D531" t="s">
        <v>582</v>
      </c>
      <c r="E531" t="s">
        <v>94</v>
      </c>
      <c r="F531" t="s">
        <v>94</v>
      </c>
      <c r="G531">
        <v>0</v>
      </c>
      <c r="H531">
        <v>11</v>
      </c>
      <c r="I531">
        <v>11</v>
      </c>
      <c r="J531">
        <v>11</v>
      </c>
      <c r="K531" s="6">
        <v>100</v>
      </c>
      <c r="L531" s="6">
        <v>0</v>
      </c>
      <c r="M531" s="6">
        <v>100</v>
      </c>
      <c r="N531">
        <v>0</v>
      </c>
      <c r="O531" s="6">
        <v>0</v>
      </c>
      <c r="P531">
        <v>0</v>
      </c>
      <c r="Q531" s="8">
        <v>166.72</v>
      </c>
      <c r="R531" s="8">
        <v>166.72</v>
      </c>
      <c r="S531" s="9" t="s">
        <v>528</v>
      </c>
    </row>
    <row r="532" spans="1:19" hidden="1" x14ac:dyDescent="0.25">
      <c r="A532" t="s">
        <v>123</v>
      </c>
      <c r="B532" t="s">
        <v>75</v>
      </c>
      <c r="C532" t="s">
        <v>127</v>
      </c>
      <c r="D532" t="s">
        <v>582</v>
      </c>
      <c r="E532" t="s">
        <v>94</v>
      </c>
      <c r="F532" t="s">
        <v>96</v>
      </c>
      <c r="G532">
        <v>4</v>
      </c>
      <c r="H532">
        <v>11</v>
      </c>
      <c r="I532">
        <v>11</v>
      </c>
      <c r="J532">
        <v>11</v>
      </c>
      <c r="K532" s="6">
        <v>100</v>
      </c>
      <c r="L532" s="6">
        <v>0</v>
      </c>
      <c r="M532" s="6">
        <v>100</v>
      </c>
      <c r="N532">
        <v>0</v>
      </c>
      <c r="O532" s="6">
        <v>0</v>
      </c>
      <c r="P532">
        <v>0</v>
      </c>
      <c r="Q532" s="8">
        <v>166.72</v>
      </c>
      <c r="R532" s="8">
        <v>166.72</v>
      </c>
      <c r="S532" s="10" t="s">
        <v>529</v>
      </c>
    </row>
    <row r="533" spans="1:19" hidden="1" x14ac:dyDescent="0.25">
      <c r="A533" t="s">
        <v>123</v>
      </c>
      <c r="B533" t="s">
        <v>75</v>
      </c>
      <c r="C533" t="s">
        <v>127</v>
      </c>
      <c r="D533" t="s">
        <v>582</v>
      </c>
      <c r="E533" t="s">
        <v>94</v>
      </c>
      <c r="F533" t="s">
        <v>6</v>
      </c>
      <c r="G533">
        <v>11</v>
      </c>
      <c r="H533">
        <v>11</v>
      </c>
      <c r="I533">
        <v>11</v>
      </c>
      <c r="J533">
        <v>11</v>
      </c>
      <c r="K533" s="6">
        <v>100</v>
      </c>
      <c r="L533" s="6">
        <v>0</v>
      </c>
      <c r="M533" s="6">
        <v>100</v>
      </c>
      <c r="N533">
        <v>0</v>
      </c>
      <c r="O533" s="6">
        <v>0</v>
      </c>
      <c r="P533">
        <v>0</v>
      </c>
      <c r="Q533" s="8">
        <v>166.72</v>
      </c>
      <c r="R533" s="8">
        <v>166.72</v>
      </c>
      <c r="S533" s="10" t="s">
        <v>529</v>
      </c>
    </row>
    <row r="534" spans="1:19" hidden="1" x14ac:dyDescent="0.25">
      <c r="A534" t="s">
        <v>123</v>
      </c>
      <c r="B534" t="s">
        <v>75</v>
      </c>
      <c r="C534" t="s">
        <v>127</v>
      </c>
      <c r="D534" t="s">
        <v>583</v>
      </c>
      <c r="E534" t="s">
        <v>94</v>
      </c>
      <c r="F534" t="s">
        <v>94</v>
      </c>
      <c r="G534">
        <v>0</v>
      </c>
      <c r="H534">
        <v>10</v>
      </c>
      <c r="I534">
        <v>10</v>
      </c>
      <c r="J534">
        <v>10</v>
      </c>
      <c r="K534" s="6">
        <v>100</v>
      </c>
      <c r="L534" s="6">
        <v>0</v>
      </c>
      <c r="M534" s="6">
        <v>100</v>
      </c>
      <c r="N534">
        <v>0</v>
      </c>
      <c r="O534" s="6">
        <v>0</v>
      </c>
      <c r="P534">
        <v>0</v>
      </c>
      <c r="Q534" s="8">
        <v>200.47</v>
      </c>
      <c r="R534" s="8">
        <v>200.47</v>
      </c>
      <c r="S534" s="9" t="s">
        <v>584</v>
      </c>
    </row>
    <row r="535" spans="1:19" hidden="1" x14ac:dyDescent="0.25">
      <c r="A535" t="s">
        <v>123</v>
      </c>
      <c r="B535" t="s">
        <v>75</v>
      </c>
      <c r="C535" t="s">
        <v>127</v>
      </c>
      <c r="D535" t="s">
        <v>583</v>
      </c>
      <c r="E535" t="s">
        <v>94</v>
      </c>
      <c r="F535" t="s">
        <v>96</v>
      </c>
      <c r="G535">
        <v>4</v>
      </c>
      <c r="H535">
        <v>10</v>
      </c>
      <c r="I535">
        <v>10</v>
      </c>
      <c r="J535">
        <v>10</v>
      </c>
      <c r="K535" s="6">
        <v>100</v>
      </c>
      <c r="L535" s="6">
        <v>0</v>
      </c>
      <c r="M535" s="6">
        <v>100</v>
      </c>
      <c r="N535">
        <v>0</v>
      </c>
      <c r="O535" s="6">
        <v>0</v>
      </c>
      <c r="P535">
        <v>0</v>
      </c>
      <c r="Q535" s="8">
        <v>200.47</v>
      </c>
      <c r="R535" s="8">
        <v>200.47</v>
      </c>
      <c r="S535" s="10" t="s">
        <v>131</v>
      </c>
    </row>
    <row r="536" spans="1:19" hidden="1" x14ac:dyDescent="0.25">
      <c r="A536" t="s">
        <v>123</v>
      </c>
      <c r="B536" t="s">
        <v>75</v>
      </c>
      <c r="C536" t="s">
        <v>127</v>
      </c>
      <c r="D536" t="s">
        <v>583</v>
      </c>
      <c r="E536" t="s">
        <v>94</v>
      </c>
      <c r="F536" t="s">
        <v>6</v>
      </c>
      <c r="G536">
        <v>11</v>
      </c>
      <c r="H536">
        <v>10</v>
      </c>
      <c r="I536">
        <v>10</v>
      </c>
      <c r="J536">
        <v>10</v>
      </c>
      <c r="K536" s="6">
        <v>100</v>
      </c>
      <c r="L536" s="6">
        <v>0</v>
      </c>
      <c r="M536" s="6">
        <v>100</v>
      </c>
      <c r="N536">
        <v>0</v>
      </c>
      <c r="O536" s="6">
        <v>0</v>
      </c>
      <c r="P536">
        <v>0</v>
      </c>
      <c r="Q536" s="8">
        <v>200.47</v>
      </c>
      <c r="R536" s="8">
        <v>200.47</v>
      </c>
      <c r="S536" s="10" t="s">
        <v>131</v>
      </c>
    </row>
    <row r="537" spans="1:19" hidden="1" x14ac:dyDescent="0.25">
      <c r="A537" t="s">
        <v>123</v>
      </c>
      <c r="B537" t="s">
        <v>75</v>
      </c>
      <c r="C537" t="s">
        <v>127</v>
      </c>
      <c r="D537" t="s">
        <v>585</v>
      </c>
      <c r="E537" t="s">
        <v>94</v>
      </c>
      <c r="F537" t="s">
        <v>94</v>
      </c>
      <c r="G537">
        <v>0</v>
      </c>
      <c r="H537">
        <v>12</v>
      </c>
      <c r="I537">
        <v>12</v>
      </c>
      <c r="J537">
        <v>12</v>
      </c>
      <c r="K537" s="6">
        <v>100</v>
      </c>
      <c r="L537" s="6">
        <v>0</v>
      </c>
      <c r="M537" s="6">
        <v>100</v>
      </c>
      <c r="N537">
        <v>0</v>
      </c>
      <c r="O537" s="6">
        <v>0</v>
      </c>
      <c r="P537">
        <v>0</v>
      </c>
      <c r="Q537" s="8">
        <v>194.02</v>
      </c>
      <c r="R537" s="8">
        <v>194.02</v>
      </c>
      <c r="S537" s="9" t="s">
        <v>586</v>
      </c>
    </row>
    <row r="538" spans="1:19" hidden="1" x14ac:dyDescent="0.25">
      <c r="A538" t="s">
        <v>123</v>
      </c>
      <c r="B538" t="s">
        <v>75</v>
      </c>
      <c r="C538" t="s">
        <v>127</v>
      </c>
      <c r="D538" t="s">
        <v>585</v>
      </c>
      <c r="E538" t="s">
        <v>94</v>
      </c>
      <c r="F538" t="s">
        <v>96</v>
      </c>
      <c r="G538">
        <v>4</v>
      </c>
      <c r="H538">
        <v>12</v>
      </c>
      <c r="I538">
        <v>12</v>
      </c>
      <c r="J538">
        <v>12</v>
      </c>
      <c r="K538" s="6">
        <v>100</v>
      </c>
      <c r="L538" s="6">
        <v>0</v>
      </c>
      <c r="M538" s="6">
        <v>100</v>
      </c>
      <c r="N538">
        <v>0</v>
      </c>
      <c r="O538" s="6">
        <v>0</v>
      </c>
      <c r="P538">
        <v>0</v>
      </c>
      <c r="Q538" s="8">
        <v>194.02</v>
      </c>
      <c r="R538" s="8">
        <v>194.02</v>
      </c>
      <c r="S538" s="10" t="s">
        <v>587</v>
      </c>
    </row>
    <row r="539" spans="1:19" hidden="1" x14ac:dyDescent="0.25">
      <c r="A539" t="s">
        <v>123</v>
      </c>
      <c r="B539" t="s">
        <v>75</v>
      </c>
      <c r="C539" t="s">
        <v>127</v>
      </c>
      <c r="D539" t="s">
        <v>585</v>
      </c>
      <c r="E539" t="s">
        <v>94</v>
      </c>
      <c r="F539" t="s">
        <v>6</v>
      </c>
      <c r="G539">
        <v>11</v>
      </c>
      <c r="H539">
        <v>12</v>
      </c>
      <c r="I539">
        <v>12</v>
      </c>
      <c r="J539">
        <v>12</v>
      </c>
      <c r="K539" s="6">
        <v>100</v>
      </c>
      <c r="L539" s="6">
        <v>0</v>
      </c>
      <c r="M539" s="6">
        <v>100</v>
      </c>
      <c r="N539">
        <v>0</v>
      </c>
      <c r="O539" s="6">
        <v>0</v>
      </c>
      <c r="P539">
        <v>0</v>
      </c>
      <c r="Q539" s="8">
        <v>194.02</v>
      </c>
      <c r="R539" s="8">
        <v>194.02</v>
      </c>
      <c r="S539" s="10" t="s">
        <v>587</v>
      </c>
    </row>
    <row r="540" spans="1:19" hidden="1" x14ac:dyDescent="0.25">
      <c r="A540" t="s">
        <v>123</v>
      </c>
      <c r="B540" t="s">
        <v>75</v>
      </c>
      <c r="C540" t="s">
        <v>127</v>
      </c>
      <c r="D540" t="s">
        <v>588</v>
      </c>
      <c r="E540" t="s">
        <v>94</v>
      </c>
      <c r="F540" t="s">
        <v>94</v>
      </c>
      <c r="G540">
        <v>0</v>
      </c>
      <c r="H540">
        <v>11</v>
      </c>
      <c r="I540">
        <v>11</v>
      </c>
      <c r="J540">
        <v>11</v>
      </c>
      <c r="K540" s="6">
        <v>100</v>
      </c>
      <c r="L540" s="6">
        <v>0</v>
      </c>
      <c r="M540" s="6">
        <v>100</v>
      </c>
      <c r="N540">
        <v>0</v>
      </c>
      <c r="O540" s="6">
        <v>0</v>
      </c>
      <c r="P540">
        <v>0</v>
      </c>
      <c r="Q540" s="8">
        <v>144.77000000000001</v>
      </c>
      <c r="R540" s="8">
        <v>144.77000000000001</v>
      </c>
      <c r="S540" s="9" t="s">
        <v>528</v>
      </c>
    </row>
    <row r="541" spans="1:19" hidden="1" x14ac:dyDescent="0.25">
      <c r="A541" t="s">
        <v>123</v>
      </c>
      <c r="B541" t="s">
        <v>75</v>
      </c>
      <c r="C541" t="s">
        <v>127</v>
      </c>
      <c r="D541" t="s">
        <v>588</v>
      </c>
      <c r="E541" t="s">
        <v>94</v>
      </c>
      <c r="F541" t="s">
        <v>96</v>
      </c>
      <c r="G541">
        <v>4</v>
      </c>
      <c r="H541">
        <v>11</v>
      </c>
      <c r="I541">
        <v>11</v>
      </c>
      <c r="J541">
        <v>11</v>
      </c>
      <c r="K541" s="6">
        <v>100</v>
      </c>
      <c r="L541" s="6">
        <v>0</v>
      </c>
      <c r="M541" s="6">
        <v>100</v>
      </c>
      <c r="N541">
        <v>0</v>
      </c>
      <c r="O541" s="6">
        <v>0</v>
      </c>
      <c r="P541">
        <v>0</v>
      </c>
      <c r="Q541" s="8">
        <v>144.77000000000001</v>
      </c>
      <c r="R541" s="8">
        <v>144.77000000000001</v>
      </c>
      <c r="S541" s="10" t="s">
        <v>529</v>
      </c>
    </row>
    <row r="542" spans="1:19" hidden="1" x14ac:dyDescent="0.25">
      <c r="A542" t="s">
        <v>123</v>
      </c>
      <c r="B542" t="s">
        <v>75</v>
      </c>
      <c r="C542" t="s">
        <v>127</v>
      </c>
      <c r="D542" t="s">
        <v>588</v>
      </c>
      <c r="E542" t="s">
        <v>94</v>
      </c>
      <c r="F542" t="s">
        <v>6</v>
      </c>
      <c r="G542">
        <v>11</v>
      </c>
      <c r="H542">
        <v>11</v>
      </c>
      <c r="I542">
        <v>11</v>
      </c>
      <c r="J542">
        <v>11</v>
      </c>
      <c r="K542" s="6">
        <v>100</v>
      </c>
      <c r="L542" s="6">
        <v>0</v>
      </c>
      <c r="M542" s="6">
        <v>100</v>
      </c>
      <c r="N542">
        <v>0</v>
      </c>
      <c r="O542" s="6">
        <v>0</v>
      </c>
      <c r="P542">
        <v>0</v>
      </c>
      <c r="Q542" s="8">
        <v>144.77000000000001</v>
      </c>
      <c r="R542" s="8">
        <v>144.77000000000001</v>
      </c>
      <c r="S542" s="10" t="s">
        <v>529</v>
      </c>
    </row>
    <row r="543" spans="1:19" hidden="1" x14ac:dyDescent="0.25">
      <c r="A543" t="s">
        <v>123</v>
      </c>
      <c r="B543" t="s">
        <v>75</v>
      </c>
      <c r="C543" t="s">
        <v>127</v>
      </c>
      <c r="D543" t="s">
        <v>589</v>
      </c>
      <c r="E543" t="s">
        <v>94</v>
      </c>
      <c r="F543" t="s">
        <v>94</v>
      </c>
      <c r="G543">
        <v>0</v>
      </c>
      <c r="H543">
        <v>6</v>
      </c>
      <c r="I543">
        <v>6</v>
      </c>
      <c r="J543">
        <v>6</v>
      </c>
      <c r="K543" s="6">
        <v>100</v>
      </c>
      <c r="L543" s="6">
        <v>0</v>
      </c>
      <c r="M543" s="6">
        <v>100</v>
      </c>
      <c r="N543">
        <v>0</v>
      </c>
      <c r="O543" s="6">
        <v>0</v>
      </c>
      <c r="P543">
        <v>0</v>
      </c>
      <c r="Q543" s="8">
        <v>143.81</v>
      </c>
      <c r="R543" s="8">
        <v>143.81</v>
      </c>
      <c r="S543" s="9" t="s">
        <v>534</v>
      </c>
    </row>
    <row r="544" spans="1:19" hidden="1" x14ac:dyDescent="0.25">
      <c r="A544" t="s">
        <v>123</v>
      </c>
      <c r="B544" t="s">
        <v>75</v>
      </c>
      <c r="C544" t="s">
        <v>127</v>
      </c>
      <c r="D544" t="s">
        <v>589</v>
      </c>
      <c r="E544" t="s">
        <v>94</v>
      </c>
      <c r="F544" t="s">
        <v>96</v>
      </c>
      <c r="G544">
        <v>4</v>
      </c>
      <c r="H544">
        <v>6</v>
      </c>
      <c r="I544">
        <v>6</v>
      </c>
      <c r="J544">
        <v>6</v>
      </c>
      <c r="K544" s="6">
        <v>91.89</v>
      </c>
      <c r="L544" s="6">
        <v>0</v>
      </c>
      <c r="M544" s="6">
        <v>91.89</v>
      </c>
      <c r="N544">
        <v>0</v>
      </c>
      <c r="O544" s="6">
        <v>0</v>
      </c>
      <c r="P544">
        <v>0</v>
      </c>
      <c r="Q544" s="8">
        <v>143.81</v>
      </c>
      <c r="R544" s="8">
        <v>132.13999999999999</v>
      </c>
      <c r="S544" s="9" t="s">
        <v>535</v>
      </c>
    </row>
    <row r="545" spans="1:19" hidden="1" x14ac:dyDescent="0.25">
      <c r="A545" t="s">
        <v>123</v>
      </c>
      <c r="B545" t="s">
        <v>75</v>
      </c>
      <c r="C545" t="s">
        <v>127</v>
      </c>
      <c r="D545" t="s">
        <v>589</v>
      </c>
      <c r="E545" t="s">
        <v>94</v>
      </c>
      <c r="F545" t="s">
        <v>6</v>
      </c>
      <c r="G545">
        <v>11</v>
      </c>
      <c r="H545">
        <v>6</v>
      </c>
      <c r="I545">
        <v>6</v>
      </c>
      <c r="J545">
        <v>6</v>
      </c>
      <c r="K545" s="6">
        <v>91.89</v>
      </c>
      <c r="L545" s="6">
        <v>0</v>
      </c>
      <c r="M545" s="6">
        <v>91.89</v>
      </c>
      <c r="N545">
        <v>0</v>
      </c>
      <c r="O545" s="6">
        <v>0</v>
      </c>
      <c r="P545">
        <v>0</v>
      </c>
      <c r="Q545" s="8">
        <v>143.81</v>
      </c>
      <c r="R545" s="8">
        <v>132.13999999999999</v>
      </c>
      <c r="S545" s="9" t="s">
        <v>535</v>
      </c>
    </row>
    <row r="546" spans="1:19" hidden="1" x14ac:dyDescent="0.25">
      <c r="A546" t="s">
        <v>123</v>
      </c>
      <c r="B546" t="s">
        <v>75</v>
      </c>
      <c r="C546" t="s">
        <v>127</v>
      </c>
      <c r="D546" t="s">
        <v>590</v>
      </c>
      <c r="E546" t="s">
        <v>94</v>
      </c>
      <c r="F546" t="s">
        <v>94</v>
      </c>
      <c r="G546">
        <v>0</v>
      </c>
      <c r="H546">
        <v>5</v>
      </c>
      <c r="I546">
        <v>5</v>
      </c>
      <c r="J546">
        <v>5</v>
      </c>
      <c r="K546" s="6">
        <v>100</v>
      </c>
      <c r="L546" s="6">
        <v>0</v>
      </c>
      <c r="M546" s="6">
        <v>100</v>
      </c>
      <c r="N546">
        <v>0</v>
      </c>
      <c r="O546" s="6">
        <v>0</v>
      </c>
      <c r="P546">
        <v>0</v>
      </c>
      <c r="Q546" s="8">
        <v>134.13</v>
      </c>
      <c r="R546" s="8">
        <v>134.13</v>
      </c>
      <c r="S546" s="9" t="s">
        <v>538</v>
      </c>
    </row>
    <row r="547" spans="1:19" hidden="1" x14ac:dyDescent="0.25">
      <c r="A547" t="s">
        <v>123</v>
      </c>
      <c r="B547" t="s">
        <v>75</v>
      </c>
      <c r="C547" t="s">
        <v>127</v>
      </c>
      <c r="D547" t="s">
        <v>590</v>
      </c>
      <c r="E547" t="s">
        <v>94</v>
      </c>
      <c r="F547" t="s">
        <v>96</v>
      </c>
      <c r="G547">
        <v>4</v>
      </c>
      <c r="H547">
        <v>5</v>
      </c>
      <c r="I547">
        <v>5</v>
      </c>
      <c r="J547">
        <v>5</v>
      </c>
      <c r="K547" s="6">
        <v>99.01</v>
      </c>
      <c r="L547" s="6">
        <v>0</v>
      </c>
      <c r="M547" s="6">
        <v>99.01</v>
      </c>
      <c r="N547">
        <v>0</v>
      </c>
      <c r="O547" s="6">
        <v>0</v>
      </c>
      <c r="P547">
        <v>0</v>
      </c>
      <c r="Q547" s="8">
        <v>134.13</v>
      </c>
      <c r="R547" s="8">
        <v>132.80000000000001</v>
      </c>
      <c r="S547" s="9" t="s">
        <v>133</v>
      </c>
    </row>
    <row r="548" spans="1:19" hidden="1" x14ac:dyDescent="0.25">
      <c r="A548" t="s">
        <v>123</v>
      </c>
      <c r="B548" t="s">
        <v>75</v>
      </c>
      <c r="C548" t="s">
        <v>127</v>
      </c>
      <c r="D548" t="s">
        <v>590</v>
      </c>
      <c r="E548" t="s">
        <v>94</v>
      </c>
      <c r="F548" t="s">
        <v>6</v>
      </c>
      <c r="G548">
        <v>11</v>
      </c>
      <c r="H548">
        <v>5</v>
      </c>
      <c r="I548">
        <v>5</v>
      </c>
      <c r="J548">
        <v>5</v>
      </c>
      <c r="K548" s="6">
        <v>99.01</v>
      </c>
      <c r="L548" s="6">
        <v>0</v>
      </c>
      <c r="M548" s="6">
        <v>99.01</v>
      </c>
      <c r="N548">
        <v>0</v>
      </c>
      <c r="O548" s="6">
        <v>0</v>
      </c>
      <c r="P548">
        <v>0</v>
      </c>
      <c r="Q548" s="8">
        <v>134.13</v>
      </c>
      <c r="R548" s="8">
        <v>132.80000000000001</v>
      </c>
      <c r="S548" s="9" t="s">
        <v>133</v>
      </c>
    </row>
    <row r="549" spans="1:19" hidden="1" x14ac:dyDescent="0.25">
      <c r="A549" t="s">
        <v>123</v>
      </c>
      <c r="B549" t="s">
        <v>75</v>
      </c>
      <c r="C549" t="s">
        <v>128</v>
      </c>
      <c r="D549" t="s">
        <v>539</v>
      </c>
      <c r="E549" t="s">
        <v>91</v>
      </c>
      <c r="F549" t="s">
        <v>91</v>
      </c>
      <c r="G549">
        <v>0</v>
      </c>
      <c r="H549">
        <v>55</v>
      </c>
      <c r="I549">
        <v>55</v>
      </c>
      <c r="J549">
        <v>55</v>
      </c>
      <c r="K549" s="6">
        <v>100</v>
      </c>
      <c r="L549" s="6">
        <v>0</v>
      </c>
      <c r="M549" s="6">
        <v>100</v>
      </c>
      <c r="N549">
        <v>0</v>
      </c>
      <c r="O549" s="6">
        <v>0</v>
      </c>
      <c r="P549">
        <v>0</v>
      </c>
      <c r="Q549" s="8">
        <v>264.52</v>
      </c>
      <c r="R549" s="8">
        <v>264.52</v>
      </c>
      <c r="S549" s="9" t="s">
        <v>597</v>
      </c>
    </row>
    <row r="550" spans="1:19" hidden="1" x14ac:dyDescent="0.25">
      <c r="A550" t="s">
        <v>123</v>
      </c>
      <c r="B550" t="s">
        <v>75</v>
      </c>
      <c r="C550" t="s">
        <v>128</v>
      </c>
      <c r="D550" t="s">
        <v>539</v>
      </c>
      <c r="E550" t="s">
        <v>91</v>
      </c>
      <c r="F550" t="s">
        <v>94</v>
      </c>
      <c r="G550">
        <v>1</v>
      </c>
      <c r="H550">
        <v>55</v>
      </c>
      <c r="I550">
        <v>53</v>
      </c>
      <c r="J550">
        <v>48</v>
      </c>
      <c r="K550" s="6">
        <v>99.88</v>
      </c>
      <c r="L550" s="6">
        <v>0</v>
      </c>
      <c r="M550" s="6">
        <v>101.33</v>
      </c>
      <c r="N550">
        <v>1.45</v>
      </c>
      <c r="O550" s="6">
        <v>12.7</v>
      </c>
      <c r="P550">
        <v>5</v>
      </c>
      <c r="Q550" s="8">
        <v>261.74</v>
      </c>
      <c r="R550" s="8">
        <v>261.41000000000003</v>
      </c>
      <c r="S550" t="s">
        <v>32</v>
      </c>
    </row>
    <row r="551" spans="1:19" hidden="1" x14ac:dyDescent="0.25">
      <c r="A551" t="s">
        <v>123</v>
      </c>
      <c r="B551" t="s">
        <v>75</v>
      </c>
      <c r="C551" t="s">
        <v>128</v>
      </c>
      <c r="D551" t="s">
        <v>539</v>
      </c>
      <c r="E551" t="s">
        <v>91</v>
      </c>
      <c r="F551" t="s">
        <v>96</v>
      </c>
      <c r="G551">
        <v>5</v>
      </c>
      <c r="H551">
        <v>55</v>
      </c>
      <c r="I551">
        <v>45</v>
      </c>
      <c r="J551">
        <v>38</v>
      </c>
      <c r="K551" s="6">
        <v>98.04</v>
      </c>
      <c r="L551" s="6">
        <v>0</v>
      </c>
      <c r="M551" s="6">
        <v>99.34</v>
      </c>
      <c r="N551">
        <v>1.3</v>
      </c>
      <c r="O551" s="6">
        <v>30.9</v>
      </c>
      <c r="P551">
        <v>7</v>
      </c>
      <c r="Q551" s="8">
        <v>260.48</v>
      </c>
      <c r="R551" s="8">
        <v>255.38</v>
      </c>
      <c r="S551" t="s">
        <v>32</v>
      </c>
    </row>
    <row r="552" spans="1:19" hidden="1" x14ac:dyDescent="0.25">
      <c r="A552" t="s">
        <v>123</v>
      </c>
      <c r="B552" t="s">
        <v>75</v>
      </c>
      <c r="C552" t="s">
        <v>128</v>
      </c>
      <c r="D552" t="s">
        <v>539</v>
      </c>
      <c r="E552" t="s">
        <v>91</v>
      </c>
      <c r="F552" t="s">
        <v>6</v>
      </c>
      <c r="G552">
        <v>12</v>
      </c>
      <c r="H552">
        <v>55</v>
      </c>
      <c r="I552">
        <v>32</v>
      </c>
      <c r="J552">
        <v>28</v>
      </c>
      <c r="K552" s="6">
        <v>102.79</v>
      </c>
      <c r="L552" s="6">
        <v>-0.06</v>
      </c>
      <c r="M552" s="6">
        <v>96.19</v>
      </c>
      <c r="N552">
        <v>-6.6</v>
      </c>
      <c r="O552" s="6">
        <v>49.1</v>
      </c>
      <c r="P552">
        <v>4</v>
      </c>
      <c r="Q552" s="8">
        <v>237.61</v>
      </c>
      <c r="R552" s="8">
        <v>244.24</v>
      </c>
      <c r="S552" s="10" t="s">
        <v>483</v>
      </c>
    </row>
    <row r="553" spans="1:19" hidden="1" x14ac:dyDescent="0.25">
      <c r="A553" t="s">
        <v>123</v>
      </c>
      <c r="B553" t="s">
        <v>75</v>
      </c>
      <c r="C553" t="s">
        <v>128</v>
      </c>
      <c r="D553" t="s">
        <v>552</v>
      </c>
      <c r="E553" t="s">
        <v>91</v>
      </c>
      <c r="F553" t="s">
        <v>91</v>
      </c>
      <c r="G553">
        <v>0</v>
      </c>
      <c r="H553">
        <v>92</v>
      </c>
      <c r="I553">
        <v>92</v>
      </c>
      <c r="J553">
        <v>92</v>
      </c>
      <c r="K553" s="6">
        <v>100</v>
      </c>
      <c r="L553" s="6">
        <v>0</v>
      </c>
      <c r="M553" s="6">
        <v>100</v>
      </c>
      <c r="N553">
        <v>0</v>
      </c>
      <c r="O553" s="6">
        <v>0</v>
      </c>
      <c r="P553">
        <v>0</v>
      </c>
      <c r="Q553" s="8">
        <v>253.98</v>
      </c>
      <c r="R553" s="8">
        <v>253.98</v>
      </c>
      <c r="S553" s="9" t="s">
        <v>598</v>
      </c>
    </row>
    <row r="554" spans="1:19" hidden="1" x14ac:dyDescent="0.25">
      <c r="A554" t="s">
        <v>123</v>
      </c>
      <c r="B554" t="s">
        <v>75</v>
      </c>
      <c r="C554" t="s">
        <v>128</v>
      </c>
      <c r="D554" t="s">
        <v>552</v>
      </c>
      <c r="E554" t="s">
        <v>91</v>
      </c>
      <c r="F554" t="s">
        <v>94</v>
      </c>
      <c r="G554">
        <v>1</v>
      </c>
      <c r="H554">
        <v>92</v>
      </c>
      <c r="I554">
        <v>94</v>
      </c>
      <c r="J554">
        <v>90</v>
      </c>
      <c r="K554" s="6">
        <v>100.41</v>
      </c>
      <c r="L554" s="6">
        <v>0</v>
      </c>
      <c r="M554" s="6">
        <v>101.02</v>
      </c>
      <c r="N554">
        <v>0.61</v>
      </c>
      <c r="O554" s="6">
        <v>2.2000000000000002</v>
      </c>
      <c r="P554">
        <v>4</v>
      </c>
      <c r="Q554" s="8">
        <v>252.8</v>
      </c>
      <c r="R554" s="8">
        <v>253.84</v>
      </c>
      <c r="S554" t="s">
        <v>32</v>
      </c>
    </row>
    <row r="555" spans="1:19" hidden="1" x14ac:dyDescent="0.25">
      <c r="A555" t="s">
        <v>123</v>
      </c>
      <c r="B555" t="s">
        <v>75</v>
      </c>
      <c r="C555" t="s">
        <v>128</v>
      </c>
      <c r="D555" t="s">
        <v>552</v>
      </c>
      <c r="E555" t="s">
        <v>91</v>
      </c>
      <c r="F555" t="s">
        <v>96</v>
      </c>
      <c r="G555">
        <v>5</v>
      </c>
      <c r="H555">
        <v>92</v>
      </c>
      <c r="I555">
        <v>93</v>
      </c>
      <c r="J555">
        <v>88</v>
      </c>
      <c r="K555" s="6">
        <v>100.1</v>
      </c>
      <c r="L555" s="6">
        <v>0</v>
      </c>
      <c r="M555" s="6">
        <v>101.39</v>
      </c>
      <c r="N555">
        <v>1.29</v>
      </c>
      <c r="O555" s="6">
        <v>4.3</v>
      </c>
      <c r="P555">
        <v>5</v>
      </c>
      <c r="Q555" s="8">
        <v>254.22</v>
      </c>
      <c r="R555" s="8">
        <v>254.48</v>
      </c>
      <c r="S555" t="s">
        <v>32</v>
      </c>
    </row>
    <row r="556" spans="1:19" hidden="1" x14ac:dyDescent="0.25">
      <c r="A556" t="s">
        <v>123</v>
      </c>
      <c r="B556" t="s">
        <v>75</v>
      </c>
      <c r="C556" t="s">
        <v>128</v>
      </c>
      <c r="D556" t="s">
        <v>552</v>
      </c>
      <c r="E556" t="s">
        <v>91</v>
      </c>
      <c r="F556" t="s">
        <v>6</v>
      </c>
      <c r="G556">
        <v>12</v>
      </c>
      <c r="H556">
        <v>92</v>
      </c>
      <c r="I556">
        <v>86</v>
      </c>
      <c r="J556">
        <v>83</v>
      </c>
      <c r="K556" s="6">
        <v>103.74</v>
      </c>
      <c r="L556" s="6">
        <v>-7.0000000000000007E-2</v>
      </c>
      <c r="M556" s="6">
        <v>103.46</v>
      </c>
      <c r="N556">
        <v>-0.28000000000000003</v>
      </c>
      <c r="O556" s="6">
        <v>9.8000000000000007</v>
      </c>
      <c r="P556">
        <v>3</v>
      </c>
      <c r="Q556" s="8">
        <v>253.58</v>
      </c>
      <c r="R556" s="8">
        <v>263.05</v>
      </c>
      <c r="S556" t="s">
        <v>32</v>
      </c>
    </row>
    <row r="557" spans="1:19" hidden="1" x14ac:dyDescent="0.25">
      <c r="A557" t="s">
        <v>123</v>
      </c>
      <c r="B557" t="s">
        <v>75</v>
      </c>
      <c r="C557" t="s">
        <v>128</v>
      </c>
      <c r="D557" t="s">
        <v>554</v>
      </c>
      <c r="E557" t="s">
        <v>91</v>
      </c>
      <c r="F557" t="s">
        <v>91</v>
      </c>
      <c r="G557">
        <v>0</v>
      </c>
      <c r="H557">
        <v>92</v>
      </c>
      <c r="I557">
        <v>92</v>
      </c>
      <c r="J557">
        <v>92</v>
      </c>
      <c r="K557" s="6">
        <v>100</v>
      </c>
      <c r="L557" s="6">
        <v>0</v>
      </c>
      <c r="M557" s="6">
        <v>100</v>
      </c>
      <c r="N557">
        <v>0</v>
      </c>
      <c r="O557" s="6">
        <v>0</v>
      </c>
      <c r="P557">
        <v>0</v>
      </c>
      <c r="Q557" s="8">
        <v>296.08</v>
      </c>
      <c r="R557" s="8">
        <v>296.08</v>
      </c>
      <c r="S557" s="9" t="s">
        <v>598</v>
      </c>
    </row>
    <row r="558" spans="1:19" hidden="1" x14ac:dyDescent="0.25">
      <c r="A558" t="s">
        <v>123</v>
      </c>
      <c r="B558" t="s">
        <v>75</v>
      </c>
      <c r="C558" t="s">
        <v>128</v>
      </c>
      <c r="D558" t="s">
        <v>554</v>
      </c>
      <c r="E558" t="s">
        <v>91</v>
      </c>
      <c r="F558" t="s">
        <v>94</v>
      </c>
      <c r="G558">
        <v>1</v>
      </c>
      <c r="H558">
        <v>92</v>
      </c>
      <c r="I558">
        <v>91</v>
      </c>
      <c r="J558">
        <v>89</v>
      </c>
      <c r="K558" s="6">
        <v>100.56</v>
      </c>
      <c r="L558" s="6">
        <v>0</v>
      </c>
      <c r="M558" s="6">
        <v>100.19</v>
      </c>
      <c r="N558">
        <v>-0.37</v>
      </c>
      <c r="O558" s="6">
        <v>3.3</v>
      </c>
      <c r="P558">
        <v>2</v>
      </c>
      <c r="Q558" s="8">
        <v>297.24</v>
      </c>
      <c r="R558" s="8">
        <v>298.91000000000003</v>
      </c>
      <c r="S558" t="s">
        <v>32</v>
      </c>
    </row>
    <row r="559" spans="1:19" hidden="1" x14ac:dyDescent="0.25">
      <c r="A559" t="s">
        <v>123</v>
      </c>
      <c r="B559" t="s">
        <v>75</v>
      </c>
      <c r="C559" t="s">
        <v>128</v>
      </c>
      <c r="D559" t="s">
        <v>554</v>
      </c>
      <c r="E559" t="s">
        <v>91</v>
      </c>
      <c r="F559" t="s">
        <v>96</v>
      </c>
      <c r="G559">
        <v>5</v>
      </c>
      <c r="H559">
        <v>92</v>
      </c>
      <c r="I559">
        <v>93</v>
      </c>
      <c r="J559">
        <v>89</v>
      </c>
      <c r="K559" s="6">
        <v>100.48</v>
      </c>
      <c r="L559" s="6">
        <v>0</v>
      </c>
      <c r="M559" s="6">
        <v>100.06</v>
      </c>
      <c r="N559">
        <v>-0.42</v>
      </c>
      <c r="O559" s="6">
        <v>3.3</v>
      </c>
      <c r="P559">
        <v>4</v>
      </c>
      <c r="Q559" s="8">
        <v>297.64999999999998</v>
      </c>
      <c r="R559" s="8">
        <v>299.07</v>
      </c>
      <c r="S559" t="s">
        <v>32</v>
      </c>
    </row>
    <row r="560" spans="1:19" hidden="1" x14ac:dyDescent="0.25">
      <c r="A560" t="s">
        <v>123</v>
      </c>
      <c r="B560" t="s">
        <v>75</v>
      </c>
      <c r="C560" t="s">
        <v>128</v>
      </c>
      <c r="D560" t="s">
        <v>554</v>
      </c>
      <c r="E560" t="s">
        <v>91</v>
      </c>
      <c r="F560" t="s">
        <v>6</v>
      </c>
      <c r="G560">
        <v>12</v>
      </c>
      <c r="H560">
        <v>92</v>
      </c>
      <c r="I560">
        <v>97</v>
      </c>
      <c r="J560">
        <v>87</v>
      </c>
      <c r="K560" s="6">
        <v>100.86</v>
      </c>
      <c r="L560" s="6">
        <v>-7.0000000000000007E-2</v>
      </c>
      <c r="M560" s="6">
        <v>103.08</v>
      </c>
      <c r="N560">
        <v>2.2200000000000002</v>
      </c>
      <c r="O560" s="6">
        <v>5.4</v>
      </c>
      <c r="P560">
        <v>10</v>
      </c>
      <c r="Q560" s="8">
        <v>294.37</v>
      </c>
      <c r="R560" s="8">
        <v>296.89</v>
      </c>
      <c r="S560" t="s">
        <v>32</v>
      </c>
    </row>
    <row r="561" spans="1:19" hidden="1" x14ac:dyDescent="0.25">
      <c r="A561" t="s">
        <v>123</v>
      </c>
      <c r="B561" t="s">
        <v>75</v>
      </c>
      <c r="C561" t="s">
        <v>128</v>
      </c>
      <c r="D561" t="s">
        <v>555</v>
      </c>
      <c r="E561" t="s">
        <v>90</v>
      </c>
      <c r="F561" t="s">
        <v>90</v>
      </c>
      <c r="G561">
        <v>0</v>
      </c>
      <c r="H561">
        <v>25</v>
      </c>
      <c r="I561">
        <v>25</v>
      </c>
      <c r="J561">
        <v>25</v>
      </c>
      <c r="K561" s="6">
        <v>100</v>
      </c>
      <c r="L561" s="6">
        <v>0</v>
      </c>
      <c r="M561" s="6">
        <v>100</v>
      </c>
      <c r="N561">
        <v>0</v>
      </c>
      <c r="O561" s="6">
        <v>0</v>
      </c>
      <c r="P561">
        <v>0</v>
      </c>
      <c r="Q561" s="8">
        <v>235.26</v>
      </c>
      <c r="R561" s="8">
        <v>235.26</v>
      </c>
      <c r="S561" s="9" t="s">
        <v>599</v>
      </c>
    </row>
    <row r="562" spans="1:19" hidden="1" x14ac:dyDescent="0.25">
      <c r="A562" t="s">
        <v>123</v>
      </c>
      <c r="B562" t="s">
        <v>75</v>
      </c>
      <c r="C562" t="s">
        <v>128</v>
      </c>
      <c r="D562" t="s">
        <v>555</v>
      </c>
      <c r="E562" t="s">
        <v>90</v>
      </c>
      <c r="F562" t="s">
        <v>91</v>
      </c>
      <c r="G562">
        <v>1</v>
      </c>
      <c r="H562">
        <v>25</v>
      </c>
      <c r="I562">
        <v>85</v>
      </c>
      <c r="J562">
        <v>25</v>
      </c>
      <c r="K562" s="6">
        <v>99.86</v>
      </c>
      <c r="L562" s="6">
        <v>0</v>
      </c>
      <c r="M562" s="6">
        <v>98.17</v>
      </c>
      <c r="N562">
        <v>-1.69</v>
      </c>
      <c r="O562" s="6">
        <v>0</v>
      </c>
      <c r="P562">
        <v>60</v>
      </c>
      <c r="Q562" s="8">
        <v>235.26</v>
      </c>
      <c r="R562" s="8">
        <v>234.92</v>
      </c>
      <c r="S562" s="10" t="s">
        <v>600</v>
      </c>
    </row>
    <row r="563" spans="1:19" hidden="1" x14ac:dyDescent="0.25">
      <c r="A563" t="s">
        <v>123</v>
      </c>
      <c r="B563" t="s">
        <v>75</v>
      </c>
      <c r="C563" t="s">
        <v>128</v>
      </c>
      <c r="D563" t="s">
        <v>555</v>
      </c>
      <c r="E563" t="s">
        <v>90</v>
      </c>
      <c r="F563" t="s">
        <v>94</v>
      </c>
      <c r="G563">
        <v>2</v>
      </c>
      <c r="H563">
        <v>25</v>
      </c>
      <c r="I563">
        <v>84</v>
      </c>
      <c r="J563">
        <v>25</v>
      </c>
      <c r="K563" s="6">
        <v>101.26</v>
      </c>
      <c r="L563" s="6">
        <v>0</v>
      </c>
      <c r="M563" s="6">
        <v>100.3</v>
      </c>
      <c r="N563">
        <v>-0.96</v>
      </c>
      <c r="O563" s="6">
        <v>0</v>
      </c>
      <c r="P563">
        <v>59</v>
      </c>
      <c r="Q563" s="8">
        <v>235.26</v>
      </c>
      <c r="R563" s="8">
        <v>238.22</v>
      </c>
      <c r="S563" s="10" t="s">
        <v>600</v>
      </c>
    </row>
    <row r="564" spans="1:19" hidden="1" x14ac:dyDescent="0.25">
      <c r="A564" t="s">
        <v>123</v>
      </c>
      <c r="B564" t="s">
        <v>75</v>
      </c>
      <c r="C564" t="s">
        <v>128</v>
      </c>
      <c r="D564" t="s">
        <v>555</v>
      </c>
      <c r="E564" t="s">
        <v>90</v>
      </c>
      <c r="F564" t="s">
        <v>96</v>
      </c>
      <c r="G564">
        <v>6</v>
      </c>
      <c r="H564">
        <v>25</v>
      </c>
      <c r="I564">
        <v>85</v>
      </c>
      <c r="J564">
        <v>25</v>
      </c>
      <c r="K564" s="6">
        <v>100.14</v>
      </c>
      <c r="L564" s="6">
        <v>0</v>
      </c>
      <c r="M564" s="6">
        <v>98.84</v>
      </c>
      <c r="N564">
        <v>-1.3</v>
      </c>
      <c r="O564" s="6">
        <v>0</v>
      </c>
      <c r="P564">
        <v>60</v>
      </c>
      <c r="Q564" s="8">
        <v>235.26</v>
      </c>
      <c r="R564" s="8">
        <v>235.58</v>
      </c>
      <c r="S564" s="10" t="s">
        <v>600</v>
      </c>
    </row>
    <row r="565" spans="1:19" hidden="1" x14ac:dyDescent="0.25">
      <c r="A565" t="s">
        <v>123</v>
      </c>
      <c r="B565" t="s">
        <v>75</v>
      </c>
      <c r="C565" t="s">
        <v>128</v>
      </c>
      <c r="D565" t="s">
        <v>555</v>
      </c>
      <c r="E565" t="s">
        <v>90</v>
      </c>
      <c r="F565" t="s">
        <v>6</v>
      </c>
      <c r="G565">
        <v>13</v>
      </c>
      <c r="H565">
        <v>25</v>
      </c>
      <c r="I565">
        <v>86</v>
      </c>
      <c r="J565">
        <v>25</v>
      </c>
      <c r="K565" s="6">
        <v>101.3</v>
      </c>
      <c r="L565" s="6">
        <v>-0.08</v>
      </c>
      <c r="M565" s="6">
        <v>99.62</v>
      </c>
      <c r="N565">
        <v>-1.68</v>
      </c>
      <c r="O565" s="6">
        <v>0</v>
      </c>
      <c r="P565">
        <v>61</v>
      </c>
      <c r="Q565" s="8">
        <v>235.26</v>
      </c>
      <c r="R565" s="8">
        <v>238.31</v>
      </c>
      <c r="S565" s="10" t="s">
        <v>600</v>
      </c>
    </row>
    <row r="566" spans="1:19" hidden="1" x14ac:dyDescent="0.25">
      <c r="A566" t="s">
        <v>123</v>
      </c>
      <c r="B566" t="s">
        <v>75</v>
      </c>
      <c r="C566" t="s">
        <v>128</v>
      </c>
      <c r="D566" t="s">
        <v>557</v>
      </c>
      <c r="E566" t="s">
        <v>90</v>
      </c>
      <c r="F566" t="s">
        <v>90</v>
      </c>
      <c r="G566">
        <v>0</v>
      </c>
      <c r="H566">
        <v>24</v>
      </c>
      <c r="I566">
        <v>24</v>
      </c>
      <c r="J566">
        <v>24</v>
      </c>
      <c r="K566" s="6">
        <v>100</v>
      </c>
      <c r="L566" s="6">
        <v>0</v>
      </c>
      <c r="M566" s="6">
        <v>100</v>
      </c>
      <c r="N566">
        <v>0</v>
      </c>
      <c r="O566" s="6">
        <v>0</v>
      </c>
      <c r="P566">
        <v>0</v>
      </c>
      <c r="Q566" s="8">
        <v>243.38</v>
      </c>
      <c r="R566" s="8">
        <v>243.38</v>
      </c>
      <c r="S566" s="9" t="s">
        <v>601</v>
      </c>
    </row>
    <row r="567" spans="1:19" hidden="1" x14ac:dyDescent="0.25">
      <c r="A567" t="s">
        <v>123</v>
      </c>
      <c r="B567" t="s">
        <v>75</v>
      </c>
      <c r="C567" t="s">
        <v>128</v>
      </c>
      <c r="D567" t="s">
        <v>557</v>
      </c>
      <c r="E567" t="s">
        <v>90</v>
      </c>
      <c r="F567" t="s">
        <v>91</v>
      </c>
      <c r="G567">
        <v>1</v>
      </c>
      <c r="H567">
        <v>24</v>
      </c>
      <c r="I567">
        <v>88</v>
      </c>
      <c r="J567">
        <v>23</v>
      </c>
      <c r="K567" s="6">
        <v>99.82</v>
      </c>
      <c r="L567" s="6">
        <v>0</v>
      </c>
      <c r="M567" s="6">
        <v>104.15</v>
      </c>
      <c r="N567">
        <v>4.33</v>
      </c>
      <c r="O567" s="6">
        <v>4.2</v>
      </c>
      <c r="P567">
        <v>65</v>
      </c>
      <c r="Q567" s="8">
        <v>243.63</v>
      </c>
      <c r="R567" s="8">
        <v>243.19</v>
      </c>
      <c r="S567" s="10" t="s">
        <v>132</v>
      </c>
    </row>
    <row r="568" spans="1:19" hidden="1" x14ac:dyDescent="0.25">
      <c r="A568" t="s">
        <v>123</v>
      </c>
      <c r="B568" t="s">
        <v>75</v>
      </c>
      <c r="C568" t="s">
        <v>128</v>
      </c>
      <c r="D568" t="s">
        <v>557</v>
      </c>
      <c r="E568" t="s">
        <v>90</v>
      </c>
      <c r="F568" t="s">
        <v>94</v>
      </c>
      <c r="G568">
        <v>2</v>
      </c>
      <c r="H568">
        <v>24</v>
      </c>
      <c r="I568">
        <v>87</v>
      </c>
      <c r="J568">
        <v>23</v>
      </c>
      <c r="K568" s="6">
        <v>99.05</v>
      </c>
      <c r="L568" s="6">
        <v>0</v>
      </c>
      <c r="M568" s="6">
        <v>104.21</v>
      </c>
      <c r="N568">
        <v>5.16</v>
      </c>
      <c r="O568" s="6">
        <v>4.2</v>
      </c>
      <c r="P568">
        <v>64</v>
      </c>
      <c r="Q568" s="8">
        <v>243.63</v>
      </c>
      <c r="R568" s="8">
        <v>241.32</v>
      </c>
      <c r="S568" s="10" t="s">
        <v>132</v>
      </c>
    </row>
    <row r="569" spans="1:19" hidden="1" x14ac:dyDescent="0.25">
      <c r="A569" t="s">
        <v>123</v>
      </c>
      <c r="B569" t="s">
        <v>75</v>
      </c>
      <c r="C569" t="s">
        <v>128</v>
      </c>
      <c r="D569" t="s">
        <v>557</v>
      </c>
      <c r="E569" t="s">
        <v>90</v>
      </c>
      <c r="F569" t="s">
        <v>96</v>
      </c>
      <c r="G569">
        <v>6</v>
      </c>
      <c r="H569">
        <v>24</v>
      </c>
      <c r="I569">
        <v>88</v>
      </c>
      <c r="J569">
        <v>24</v>
      </c>
      <c r="K569" s="6">
        <v>100.29</v>
      </c>
      <c r="L569" s="6">
        <v>0</v>
      </c>
      <c r="M569" s="6">
        <v>103.39</v>
      </c>
      <c r="N569">
        <v>3.1</v>
      </c>
      <c r="O569" s="6">
        <v>0</v>
      </c>
      <c r="P569">
        <v>64</v>
      </c>
      <c r="Q569" s="8">
        <v>243.38</v>
      </c>
      <c r="R569" s="8">
        <v>244.09</v>
      </c>
      <c r="S569" s="10" t="s">
        <v>602</v>
      </c>
    </row>
    <row r="570" spans="1:19" hidden="1" x14ac:dyDescent="0.25">
      <c r="A570" t="s">
        <v>123</v>
      </c>
      <c r="B570" t="s">
        <v>75</v>
      </c>
      <c r="C570" t="s">
        <v>128</v>
      </c>
      <c r="D570" t="s">
        <v>557</v>
      </c>
      <c r="E570" t="s">
        <v>90</v>
      </c>
      <c r="F570" t="s">
        <v>6</v>
      </c>
      <c r="G570">
        <v>13</v>
      </c>
      <c r="H570">
        <v>24</v>
      </c>
      <c r="I570">
        <v>87</v>
      </c>
      <c r="J570">
        <v>23</v>
      </c>
      <c r="K570" s="6">
        <v>105.2</v>
      </c>
      <c r="L570" s="6">
        <v>1.79</v>
      </c>
      <c r="M570" s="6">
        <v>106.15</v>
      </c>
      <c r="N570">
        <v>0.95</v>
      </c>
      <c r="O570" s="6">
        <v>4.2</v>
      </c>
      <c r="P570">
        <v>64</v>
      </c>
      <c r="Q570" s="8">
        <v>243.63</v>
      </c>
      <c r="R570" s="8">
        <v>256.31</v>
      </c>
      <c r="S570" s="10" t="s">
        <v>132</v>
      </c>
    </row>
    <row r="571" spans="1:19" hidden="1" x14ac:dyDescent="0.25">
      <c r="A571" t="s">
        <v>123</v>
      </c>
      <c r="B571" t="s">
        <v>75</v>
      </c>
      <c r="C571" t="s">
        <v>128</v>
      </c>
      <c r="D571" t="s">
        <v>560</v>
      </c>
      <c r="E571" t="s">
        <v>90</v>
      </c>
      <c r="F571" t="s">
        <v>90</v>
      </c>
      <c r="G571">
        <v>0</v>
      </c>
      <c r="H571">
        <v>33</v>
      </c>
      <c r="I571">
        <v>33</v>
      </c>
      <c r="J571">
        <v>33</v>
      </c>
      <c r="K571" s="6">
        <v>100</v>
      </c>
      <c r="L571" s="6">
        <v>0</v>
      </c>
      <c r="M571" s="6">
        <v>100</v>
      </c>
      <c r="N571">
        <v>0</v>
      </c>
      <c r="O571" s="6">
        <v>0</v>
      </c>
      <c r="P571">
        <v>0</v>
      </c>
      <c r="Q571" s="8">
        <v>253.78</v>
      </c>
      <c r="R571" s="8">
        <v>253.78</v>
      </c>
      <c r="S571" s="9" t="s">
        <v>561</v>
      </c>
    </row>
    <row r="572" spans="1:19" hidden="1" x14ac:dyDescent="0.25">
      <c r="A572" t="s">
        <v>123</v>
      </c>
      <c r="B572" t="s">
        <v>75</v>
      </c>
      <c r="C572" t="s">
        <v>128</v>
      </c>
      <c r="D572" t="s">
        <v>560</v>
      </c>
      <c r="E572" t="s">
        <v>90</v>
      </c>
      <c r="F572" t="s">
        <v>91</v>
      </c>
      <c r="G572">
        <v>1</v>
      </c>
      <c r="H572">
        <v>33</v>
      </c>
      <c r="I572">
        <v>103</v>
      </c>
      <c r="J572">
        <v>33</v>
      </c>
      <c r="K572" s="6">
        <v>100</v>
      </c>
      <c r="L572" s="6">
        <v>0</v>
      </c>
      <c r="M572" s="6">
        <v>107.49</v>
      </c>
      <c r="N572">
        <v>7.49</v>
      </c>
      <c r="O572" s="6">
        <v>0</v>
      </c>
      <c r="P572">
        <v>70</v>
      </c>
      <c r="Q572" s="8">
        <v>253.78</v>
      </c>
      <c r="R572" s="8">
        <v>253.78</v>
      </c>
      <c r="S572" t="s">
        <v>32</v>
      </c>
    </row>
    <row r="573" spans="1:19" hidden="1" x14ac:dyDescent="0.25">
      <c r="A573" t="s">
        <v>123</v>
      </c>
      <c r="B573" t="s">
        <v>75</v>
      </c>
      <c r="C573" t="s">
        <v>128</v>
      </c>
      <c r="D573" t="s">
        <v>560</v>
      </c>
      <c r="E573" t="s">
        <v>90</v>
      </c>
      <c r="F573" t="s">
        <v>94</v>
      </c>
      <c r="G573">
        <v>2</v>
      </c>
      <c r="H573">
        <v>33</v>
      </c>
      <c r="I573">
        <v>103</v>
      </c>
      <c r="J573">
        <v>33</v>
      </c>
      <c r="K573" s="6">
        <v>99.95</v>
      </c>
      <c r="L573" s="6">
        <v>0</v>
      </c>
      <c r="M573" s="6">
        <v>107.83</v>
      </c>
      <c r="N573">
        <v>7.88</v>
      </c>
      <c r="O573" s="6">
        <v>0</v>
      </c>
      <c r="P573">
        <v>70</v>
      </c>
      <c r="Q573" s="8">
        <v>253.78</v>
      </c>
      <c r="R573" s="8">
        <v>253.66</v>
      </c>
      <c r="S573" t="s">
        <v>32</v>
      </c>
    </row>
    <row r="574" spans="1:19" hidden="1" x14ac:dyDescent="0.25">
      <c r="A574" t="s">
        <v>123</v>
      </c>
      <c r="B574" t="s">
        <v>75</v>
      </c>
      <c r="C574" t="s">
        <v>128</v>
      </c>
      <c r="D574" t="s">
        <v>560</v>
      </c>
      <c r="E574" t="s">
        <v>90</v>
      </c>
      <c r="F574" t="s">
        <v>96</v>
      </c>
      <c r="G574">
        <v>6</v>
      </c>
      <c r="H574">
        <v>33</v>
      </c>
      <c r="I574">
        <v>105</v>
      </c>
      <c r="J574">
        <v>33</v>
      </c>
      <c r="K574" s="6">
        <v>100.07</v>
      </c>
      <c r="L574" s="6">
        <v>0</v>
      </c>
      <c r="M574" s="6">
        <v>109.04</v>
      </c>
      <c r="N574">
        <v>8.9700000000000006</v>
      </c>
      <c r="O574" s="6">
        <v>0</v>
      </c>
      <c r="P574">
        <v>72</v>
      </c>
      <c r="Q574" s="8">
        <v>253.78</v>
      </c>
      <c r="R574" s="8">
        <v>253.96</v>
      </c>
      <c r="S574" t="s">
        <v>32</v>
      </c>
    </row>
    <row r="575" spans="1:19" hidden="1" x14ac:dyDescent="0.25">
      <c r="A575" t="s">
        <v>123</v>
      </c>
      <c r="B575" t="s">
        <v>75</v>
      </c>
      <c r="C575" t="s">
        <v>128</v>
      </c>
      <c r="D575" t="s">
        <v>560</v>
      </c>
      <c r="E575" t="s">
        <v>90</v>
      </c>
      <c r="F575" t="s">
        <v>6</v>
      </c>
      <c r="G575">
        <v>13</v>
      </c>
      <c r="H575">
        <v>33</v>
      </c>
      <c r="I575">
        <v>103</v>
      </c>
      <c r="J575">
        <v>33</v>
      </c>
      <c r="K575" s="6">
        <v>100.87</v>
      </c>
      <c r="L575" s="6">
        <v>-0.08</v>
      </c>
      <c r="M575" s="6">
        <v>108.59</v>
      </c>
      <c r="N575">
        <v>7.72</v>
      </c>
      <c r="O575" s="6">
        <v>0</v>
      </c>
      <c r="P575">
        <v>70</v>
      </c>
      <c r="Q575" s="8">
        <v>253.78</v>
      </c>
      <c r="R575" s="8">
        <v>255.98</v>
      </c>
      <c r="S575" t="s">
        <v>32</v>
      </c>
    </row>
    <row r="576" spans="1:19" hidden="1" x14ac:dyDescent="0.25">
      <c r="A576" t="s">
        <v>123</v>
      </c>
      <c r="B576" t="s">
        <v>75</v>
      </c>
      <c r="C576" t="s">
        <v>128</v>
      </c>
      <c r="D576" t="s">
        <v>524</v>
      </c>
      <c r="E576" t="s">
        <v>90</v>
      </c>
      <c r="F576" t="s">
        <v>90</v>
      </c>
      <c r="G576">
        <v>0</v>
      </c>
      <c r="H576">
        <v>31</v>
      </c>
      <c r="I576">
        <v>31</v>
      </c>
      <c r="J576">
        <v>31</v>
      </c>
      <c r="K576" s="6">
        <v>100</v>
      </c>
      <c r="L576" s="6">
        <v>0</v>
      </c>
      <c r="M576" s="6">
        <v>100</v>
      </c>
      <c r="N576">
        <v>0</v>
      </c>
      <c r="O576" s="6">
        <v>0</v>
      </c>
      <c r="P576">
        <v>0</v>
      </c>
      <c r="Q576" s="8">
        <v>241.92</v>
      </c>
      <c r="R576" s="8">
        <v>241.92</v>
      </c>
      <c r="S576" s="9" t="s">
        <v>562</v>
      </c>
    </row>
    <row r="577" spans="1:19" hidden="1" x14ac:dyDescent="0.25">
      <c r="A577" t="s">
        <v>123</v>
      </c>
      <c r="B577" t="s">
        <v>75</v>
      </c>
      <c r="C577" t="s">
        <v>128</v>
      </c>
      <c r="D577" t="s">
        <v>524</v>
      </c>
      <c r="E577" t="s">
        <v>90</v>
      </c>
      <c r="F577" t="s">
        <v>91</v>
      </c>
      <c r="G577">
        <v>1</v>
      </c>
      <c r="H577">
        <v>31</v>
      </c>
      <c r="I577">
        <v>94</v>
      </c>
      <c r="J577">
        <v>31</v>
      </c>
      <c r="K577" s="6">
        <v>99.42</v>
      </c>
      <c r="L577" s="6">
        <v>0</v>
      </c>
      <c r="M577" s="6">
        <v>106.63</v>
      </c>
      <c r="N577">
        <v>7.21</v>
      </c>
      <c r="O577" s="6">
        <v>0</v>
      </c>
      <c r="P577">
        <v>63</v>
      </c>
      <c r="Q577" s="8">
        <v>241.92</v>
      </c>
      <c r="R577" s="8">
        <v>240.53</v>
      </c>
      <c r="S577" t="s">
        <v>32</v>
      </c>
    </row>
    <row r="578" spans="1:19" hidden="1" x14ac:dyDescent="0.25">
      <c r="A578" t="s">
        <v>123</v>
      </c>
      <c r="B578" t="s">
        <v>75</v>
      </c>
      <c r="C578" t="s">
        <v>128</v>
      </c>
      <c r="D578" t="s">
        <v>524</v>
      </c>
      <c r="E578" t="s">
        <v>90</v>
      </c>
      <c r="F578" t="s">
        <v>94</v>
      </c>
      <c r="G578">
        <v>2</v>
      </c>
      <c r="H578">
        <v>31</v>
      </c>
      <c r="I578">
        <v>94</v>
      </c>
      <c r="J578">
        <v>31</v>
      </c>
      <c r="K578" s="6">
        <v>99.42</v>
      </c>
      <c r="L578" s="6">
        <v>0</v>
      </c>
      <c r="M578" s="6">
        <v>106.99</v>
      </c>
      <c r="N578">
        <v>7.57</v>
      </c>
      <c r="O578" s="6">
        <v>0</v>
      </c>
      <c r="P578">
        <v>63</v>
      </c>
      <c r="Q578" s="8">
        <v>241.92</v>
      </c>
      <c r="R578" s="8">
        <v>240.53</v>
      </c>
      <c r="S578" t="s">
        <v>32</v>
      </c>
    </row>
    <row r="579" spans="1:19" hidden="1" x14ac:dyDescent="0.25">
      <c r="A579" t="s">
        <v>123</v>
      </c>
      <c r="B579" t="s">
        <v>75</v>
      </c>
      <c r="C579" t="s">
        <v>128</v>
      </c>
      <c r="D579" t="s">
        <v>524</v>
      </c>
      <c r="E579" t="s">
        <v>90</v>
      </c>
      <c r="F579" t="s">
        <v>96</v>
      </c>
      <c r="G579">
        <v>6</v>
      </c>
      <c r="H579">
        <v>31</v>
      </c>
      <c r="I579">
        <v>95</v>
      </c>
      <c r="J579">
        <v>31</v>
      </c>
      <c r="K579" s="6">
        <v>99.66</v>
      </c>
      <c r="L579" s="6">
        <v>0</v>
      </c>
      <c r="M579" s="6">
        <v>107.15</v>
      </c>
      <c r="N579">
        <v>7.49</v>
      </c>
      <c r="O579" s="6">
        <v>0</v>
      </c>
      <c r="P579">
        <v>64</v>
      </c>
      <c r="Q579" s="8">
        <v>241.92</v>
      </c>
      <c r="R579" s="8">
        <v>241.09</v>
      </c>
      <c r="S579" t="s">
        <v>32</v>
      </c>
    </row>
    <row r="580" spans="1:19" hidden="1" x14ac:dyDescent="0.25">
      <c r="A580" t="s">
        <v>123</v>
      </c>
      <c r="B580" t="s">
        <v>75</v>
      </c>
      <c r="C580" t="s">
        <v>128</v>
      </c>
      <c r="D580" t="s">
        <v>524</v>
      </c>
      <c r="E580" t="s">
        <v>90</v>
      </c>
      <c r="F580" t="s">
        <v>6</v>
      </c>
      <c r="G580">
        <v>13</v>
      </c>
      <c r="H580">
        <v>31</v>
      </c>
      <c r="I580">
        <v>94</v>
      </c>
      <c r="J580">
        <v>31</v>
      </c>
      <c r="K580" s="6">
        <v>100.24</v>
      </c>
      <c r="L580" s="6">
        <v>-0.08</v>
      </c>
      <c r="M580" s="6">
        <v>107.66</v>
      </c>
      <c r="N580">
        <v>7.42</v>
      </c>
      <c r="O580" s="6">
        <v>0</v>
      </c>
      <c r="P580">
        <v>63</v>
      </c>
      <c r="Q580" s="8">
        <v>241.92</v>
      </c>
      <c r="R580" s="8">
        <v>242.52</v>
      </c>
      <c r="S580" t="s">
        <v>32</v>
      </c>
    </row>
    <row r="581" spans="1:19" hidden="1" x14ac:dyDescent="0.25">
      <c r="A581" t="s">
        <v>123</v>
      </c>
      <c r="B581" t="s">
        <v>75</v>
      </c>
      <c r="C581" t="s">
        <v>128</v>
      </c>
      <c r="D581" t="s">
        <v>527</v>
      </c>
      <c r="E581" t="s">
        <v>90</v>
      </c>
      <c r="F581" t="s">
        <v>90</v>
      </c>
      <c r="G581">
        <v>0</v>
      </c>
      <c r="H581">
        <v>30</v>
      </c>
      <c r="I581">
        <v>30</v>
      </c>
      <c r="J581">
        <v>30</v>
      </c>
      <c r="K581" s="6">
        <v>100</v>
      </c>
      <c r="L581" s="6">
        <v>0</v>
      </c>
      <c r="M581" s="6">
        <v>100</v>
      </c>
      <c r="N581">
        <v>0</v>
      </c>
      <c r="O581" s="6">
        <v>0</v>
      </c>
      <c r="P581">
        <v>0</v>
      </c>
      <c r="Q581" s="8">
        <v>255.2</v>
      </c>
      <c r="R581" s="8">
        <v>255.2</v>
      </c>
      <c r="S581" s="9" t="s">
        <v>563</v>
      </c>
    </row>
    <row r="582" spans="1:19" hidden="1" x14ac:dyDescent="0.25">
      <c r="A582" t="s">
        <v>123</v>
      </c>
      <c r="B582" t="s">
        <v>75</v>
      </c>
      <c r="C582" t="s">
        <v>128</v>
      </c>
      <c r="D582" t="s">
        <v>527</v>
      </c>
      <c r="E582" t="s">
        <v>90</v>
      </c>
      <c r="F582" t="s">
        <v>91</v>
      </c>
      <c r="G582">
        <v>1</v>
      </c>
      <c r="H582">
        <v>30</v>
      </c>
      <c r="I582">
        <v>97</v>
      </c>
      <c r="J582">
        <v>30</v>
      </c>
      <c r="K582" s="6">
        <v>100.38</v>
      </c>
      <c r="L582" s="6">
        <v>0</v>
      </c>
      <c r="M582" s="6">
        <v>107.43</v>
      </c>
      <c r="N582">
        <v>7.05</v>
      </c>
      <c r="O582" s="6">
        <v>0</v>
      </c>
      <c r="P582">
        <v>67</v>
      </c>
      <c r="Q582" s="8">
        <v>255.2</v>
      </c>
      <c r="R582" s="8">
        <v>256.16000000000003</v>
      </c>
      <c r="S582" t="s">
        <v>32</v>
      </c>
    </row>
    <row r="583" spans="1:19" hidden="1" x14ac:dyDescent="0.25">
      <c r="A583" t="s">
        <v>123</v>
      </c>
      <c r="B583" t="s">
        <v>75</v>
      </c>
      <c r="C583" t="s">
        <v>128</v>
      </c>
      <c r="D583" t="s">
        <v>527</v>
      </c>
      <c r="E583" t="s">
        <v>90</v>
      </c>
      <c r="F583" t="s">
        <v>94</v>
      </c>
      <c r="G583">
        <v>2</v>
      </c>
      <c r="H583">
        <v>30</v>
      </c>
      <c r="I583">
        <v>97</v>
      </c>
      <c r="J583">
        <v>30</v>
      </c>
      <c r="K583" s="6">
        <v>100.39</v>
      </c>
      <c r="L583" s="6">
        <v>0</v>
      </c>
      <c r="M583" s="6">
        <v>107.41</v>
      </c>
      <c r="N583">
        <v>7.02</v>
      </c>
      <c r="O583" s="6">
        <v>0</v>
      </c>
      <c r="P583">
        <v>67</v>
      </c>
      <c r="Q583" s="8">
        <v>255.2</v>
      </c>
      <c r="R583" s="8">
        <v>256.2</v>
      </c>
      <c r="S583" t="s">
        <v>32</v>
      </c>
    </row>
    <row r="584" spans="1:19" hidden="1" x14ac:dyDescent="0.25">
      <c r="A584" t="s">
        <v>123</v>
      </c>
      <c r="B584" t="s">
        <v>75</v>
      </c>
      <c r="C584" t="s">
        <v>128</v>
      </c>
      <c r="D584" t="s">
        <v>527</v>
      </c>
      <c r="E584" t="s">
        <v>90</v>
      </c>
      <c r="F584" t="s">
        <v>96</v>
      </c>
      <c r="G584">
        <v>6</v>
      </c>
      <c r="H584">
        <v>30</v>
      </c>
      <c r="I584">
        <v>97</v>
      </c>
      <c r="J584">
        <v>30</v>
      </c>
      <c r="K584" s="6">
        <v>100.48</v>
      </c>
      <c r="L584" s="6">
        <v>0</v>
      </c>
      <c r="M584" s="6">
        <v>108.24</v>
      </c>
      <c r="N584">
        <v>7.76</v>
      </c>
      <c r="O584" s="6">
        <v>0</v>
      </c>
      <c r="P584">
        <v>67</v>
      </c>
      <c r="Q584" s="8">
        <v>255.2</v>
      </c>
      <c r="R584" s="8">
        <v>256.42</v>
      </c>
      <c r="S584" t="s">
        <v>32</v>
      </c>
    </row>
    <row r="585" spans="1:19" hidden="1" x14ac:dyDescent="0.25">
      <c r="A585" t="s">
        <v>123</v>
      </c>
      <c r="B585" t="s">
        <v>75</v>
      </c>
      <c r="C585" t="s">
        <v>128</v>
      </c>
      <c r="D585" t="s">
        <v>527</v>
      </c>
      <c r="E585" t="s">
        <v>90</v>
      </c>
      <c r="F585" t="s">
        <v>6</v>
      </c>
      <c r="G585">
        <v>13</v>
      </c>
      <c r="H585">
        <v>30</v>
      </c>
      <c r="I585">
        <v>98</v>
      </c>
      <c r="J585">
        <v>30</v>
      </c>
      <c r="K585" s="6">
        <v>100.43</v>
      </c>
      <c r="L585" s="6">
        <v>-0.09</v>
      </c>
      <c r="M585" s="6">
        <v>108.09</v>
      </c>
      <c r="N585">
        <v>7.66</v>
      </c>
      <c r="O585" s="6">
        <v>0</v>
      </c>
      <c r="P585">
        <v>68</v>
      </c>
      <c r="Q585" s="8">
        <v>255.2</v>
      </c>
      <c r="R585" s="8">
        <v>256.29000000000002</v>
      </c>
      <c r="S585" t="s">
        <v>32</v>
      </c>
    </row>
    <row r="586" spans="1:19" hidden="1" x14ac:dyDescent="0.25">
      <c r="A586" t="s">
        <v>123</v>
      </c>
      <c r="B586" t="s">
        <v>75</v>
      </c>
      <c r="C586" t="s">
        <v>128</v>
      </c>
      <c r="D586" t="s">
        <v>530</v>
      </c>
      <c r="E586" t="s">
        <v>90</v>
      </c>
      <c r="F586" t="s">
        <v>90</v>
      </c>
      <c r="G586">
        <v>0</v>
      </c>
      <c r="H586">
        <v>30</v>
      </c>
      <c r="I586">
        <v>30</v>
      </c>
      <c r="J586">
        <v>30</v>
      </c>
      <c r="K586" s="6">
        <v>100</v>
      </c>
      <c r="L586" s="6">
        <v>0</v>
      </c>
      <c r="M586" s="6">
        <v>100</v>
      </c>
      <c r="N586">
        <v>0</v>
      </c>
      <c r="O586" s="6">
        <v>0</v>
      </c>
      <c r="P586">
        <v>0</v>
      </c>
      <c r="Q586" s="8">
        <v>308.64</v>
      </c>
      <c r="R586" s="8">
        <v>308.64</v>
      </c>
      <c r="S586" s="9" t="s">
        <v>563</v>
      </c>
    </row>
    <row r="587" spans="1:19" hidden="1" x14ac:dyDescent="0.25">
      <c r="A587" t="s">
        <v>123</v>
      </c>
      <c r="B587" t="s">
        <v>75</v>
      </c>
      <c r="C587" t="s">
        <v>128</v>
      </c>
      <c r="D587" t="s">
        <v>530</v>
      </c>
      <c r="E587" t="s">
        <v>90</v>
      </c>
      <c r="F587" t="s">
        <v>91</v>
      </c>
      <c r="G587">
        <v>1</v>
      </c>
      <c r="H587">
        <v>30</v>
      </c>
      <c r="I587">
        <v>91</v>
      </c>
      <c r="J587">
        <v>30</v>
      </c>
      <c r="K587" s="6">
        <v>100</v>
      </c>
      <c r="L587" s="6">
        <v>0</v>
      </c>
      <c r="M587" s="6">
        <v>104.02</v>
      </c>
      <c r="N587">
        <v>4.0199999999999996</v>
      </c>
      <c r="O587" s="6">
        <v>0</v>
      </c>
      <c r="P587">
        <v>61</v>
      </c>
      <c r="Q587" s="8">
        <v>308.64</v>
      </c>
      <c r="R587" s="8">
        <v>308.64</v>
      </c>
      <c r="S587" t="s">
        <v>32</v>
      </c>
    </row>
    <row r="588" spans="1:19" hidden="1" x14ac:dyDescent="0.25">
      <c r="A588" t="s">
        <v>123</v>
      </c>
      <c r="B588" t="s">
        <v>75</v>
      </c>
      <c r="C588" t="s">
        <v>128</v>
      </c>
      <c r="D588" t="s">
        <v>530</v>
      </c>
      <c r="E588" t="s">
        <v>90</v>
      </c>
      <c r="F588" t="s">
        <v>94</v>
      </c>
      <c r="G588">
        <v>2</v>
      </c>
      <c r="H588">
        <v>30</v>
      </c>
      <c r="I588">
        <v>91</v>
      </c>
      <c r="J588">
        <v>30</v>
      </c>
      <c r="K588" s="6">
        <v>99.91</v>
      </c>
      <c r="L588" s="6">
        <v>0</v>
      </c>
      <c r="M588" s="6">
        <v>103.99</v>
      </c>
      <c r="N588">
        <v>4.08</v>
      </c>
      <c r="O588" s="6">
        <v>0</v>
      </c>
      <c r="P588">
        <v>61</v>
      </c>
      <c r="Q588" s="8">
        <v>308.64</v>
      </c>
      <c r="R588" s="8">
        <v>308.36</v>
      </c>
      <c r="S588" t="s">
        <v>32</v>
      </c>
    </row>
    <row r="589" spans="1:19" hidden="1" x14ac:dyDescent="0.25">
      <c r="A589" t="s">
        <v>123</v>
      </c>
      <c r="B589" t="s">
        <v>75</v>
      </c>
      <c r="C589" t="s">
        <v>128</v>
      </c>
      <c r="D589" t="s">
        <v>530</v>
      </c>
      <c r="E589" t="s">
        <v>90</v>
      </c>
      <c r="F589" t="s">
        <v>96</v>
      </c>
      <c r="G589">
        <v>6</v>
      </c>
      <c r="H589">
        <v>30</v>
      </c>
      <c r="I589">
        <v>91</v>
      </c>
      <c r="J589">
        <v>30</v>
      </c>
      <c r="K589" s="6">
        <v>99.91</v>
      </c>
      <c r="L589" s="6">
        <v>0</v>
      </c>
      <c r="M589" s="6">
        <v>104.05</v>
      </c>
      <c r="N589">
        <v>4.1399999999999997</v>
      </c>
      <c r="O589" s="6">
        <v>0</v>
      </c>
      <c r="P589">
        <v>61</v>
      </c>
      <c r="Q589" s="8">
        <v>308.64</v>
      </c>
      <c r="R589" s="8">
        <v>308.36</v>
      </c>
      <c r="S589" t="s">
        <v>32</v>
      </c>
    </row>
    <row r="590" spans="1:19" hidden="1" x14ac:dyDescent="0.25">
      <c r="A590" t="s">
        <v>123</v>
      </c>
      <c r="B590" t="s">
        <v>75</v>
      </c>
      <c r="C590" t="s">
        <v>128</v>
      </c>
      <c r="D590" t="s">
        <v>530</v>
      </c>
      <c r="E590" t="s">
        <v>90</v>
      </c>
      <c r="F590" t="s">
        <v>6</v>
      </c>
      <c r="G590">
        <v>13</v>
      </c>
      <c r="H590">
        <v>30</v>
      </c>
      <c r="I590">
        <v>91</v>
      </c>
      <c r="J590">
        <v>30</v>
      </c>
      <c r="K590" s="6">
        <v>100.28</v>
      </c>
      <c r="L590" s="6">
        <v>0</v>
      </c>
      <c r="M590" s="6">
        <v>103.88</v>
      </c>
      <c r="N590">
        <v>3.6</v>
      </c>
      <c r="O590" s="6">
        <v>0</v>
      </c>
      <c r="P590">
        <v>61</v>
      </c>
      <c r="Q590" s="8">
        <v>308.64</v>
      </c>
      <c r="R590" s="8">
        <v>309.52</v>
      </c>
      <c r="S590" t="s">
        <v>32</v>
      </c>
    </row>
    <row r="591" spans="1:19" hidden="1" x14ac:dyDescent="0.25">
      <c r="A591" t="s">
        <v>123</v>
      </c>
      <c r="B591" t="s">
        <v>75</v>
      </c>
      <c r="C591" t="s">
        <v>128</v>
      </c>
      <c r="D591" t="s">
        <v>531</v>
      </c>
      <c r="E591" t="s">
        <v>90</v>
      </c>
      <c r="F591" t="s">
        <v>90</v>
      </c>
      <c r="G591">
        <v>0</v>
      </c>
      <c r="H591">
        <v>35</v>
      </c>
      <c r="I591">
        <v>35</v>
      </c>
      <c r="J591">
        <v>35</v>
      </c>
      <c r="K591" s="6">
        <v>100</v>
      </c>
      <c r="L591" s="6">
        <v>0</v>
      </c>
      <c r="M591" s="6">
        <v>100</v>
      </c>
      <c r="N591">
        <v>0</v>
      </c>
      <c r="O591" s="6">
        <v>0</v>
      </c>
      <c r="P591">
        <v>0</v>
      </c>
      <c r="Q591" s="8">
        <v>307.14</v>
      </c>
      <c r="R591" s="8">
        <v>307.14</v>
      </c>
      <c r="S591" s="9" t="s">
        <v>566</v>
      </c>
    </row>
    <row r="592" spans="1:19" hidden="1" x14ac:dyDescent="0.25">
      <c r="A592" t="s">
        <v>123</v>
      </c>
      <c r="B592" t="s">
        <v>75</v>
      </c>
      <c r="C592" t="s">
        <v>128</v>
      </c>
      <c r="D592" t="s">
        <v>531</v>
      </c>
      <c r="E592" t="s">
        <v>90</v>
      </c>
      <c r="F592" t="s">
        <v>91</v>
      </c>
      <c r="G592">
        <v>1</v>
      </c>
      <c r="H592">
        <v>35</v>
      </c>
      <c r="I592">
        <v>104</v>
      </c>
      <c r="J592">
        <v>35</v>
      </c>
      <c r="K592" s="6">
        <v>100</v>
      </c>
      <c r="L592" s="6">
        <v>0</v>
      </c>
      <c r="M592" s="6">
        <v>102.55</v>
      </c>
      <c r="N592">
        <v>2.5499999999999998</v>
      </c>
      <c r="O592" s="6">
        <v>0</v>
      </c>
      <c r="P592">
        <v>69</v>
      </c>
      <c r="Q592" s="8">
        <v>307.14</v>
      </c>
      <c r="R592" s="8">
        <v>307.14</v>
      </c>
      <c r="S592" t="s">
        <v>32</v>
      </c>
    </row>
    <row r="593" spans="1:19" hidden="1" x14ac:dyDescent="0.25">
      <c r="A593" t="s">
        <v>123</v>
      </c>
      <c r="B593" t="s">
        <v>75</v>
      </c>
      <c r="C593" t="s">
        <v>128</v>
      </c>
      <c r="D593" t="s">
        <v>531</v>
      </c>
      <c r="E593" t="s">
        <v>90</v>
      </c>
      <c r="F593" t="s">
        <v>94</v>
      </c>
      <c r="G593">
        <v>2</v>
      </c>
      <c r="H593">
        <v>35</v>
      </c>
      <c r="I593">
        <v>104</v>
      </c>
      <c r="J593">
        <v>35</v>
      </c>
      <c r="K593" s="6">
        <v>100</v>
      </c>
      <c r="L593" s="6">
        <v>0</v>
      </c>
      <c r="M593" s="6">
        <v>102.57</v>
      </c>
      <c r="N593">
        <v>2.57</v>
      </c>
      <c r="O593" s="6">
        <v>0</v>
      </c>
      <c r="P593">
        <v>69</v>
      </c>
      <c r="Q593" s="8">
        <v>307.14</v>
      </c>
      <c r="R593" s="8">
        <v>307.14</v>
      </c>
      <c r="S593" t="s">
        <v>32</v>
      </c>
    </row>
    <row r="594" spans="1:19" hidden="1" x14ac:dyDescent="0.25">
      <c r="A594" t="s">
        <v>123</v>
      </c>
      <c r="B594" t="s">
        <v>75</v>
      </c>
      <c r="C594" t="s">
        <v>128</v>
      </c>
      <c r="D594" t="s">
        <v>531</v>
      </c>
      <c r="E594" t="s">
        <v>90</v>
      </c>
      <c r="F594" t="s">
        <v>96</v>
      </c>
      <c r="G594">
        <v>6</v>
      </c>
      <c r="H594">
        <v>35</v>
      </c>
      <c r="I594">
        <v>103</v>
      </c>
      <c r="J594">
        <v>35</v>
      </c>
      <c r="K594" s="6">
        <v>100</v>
      </c>
      <c r="L594" s="6">
        <v>0</v>
      </c>
      <c r="M594" s="6">
        <v>102.52</v>
      </c>
      <c r="N594">
        <v>2.52</v>
      </c>
      <c r="O594" s="6">
        <v>0</v>
      </c>
      <c r="P594">
        <v>68</v>
      </c>
      <c r="Q594" s="8">
        <v>307.14</v>
      </c>
      <c r="R594" s="8">
        <v>307.14</v>
      </c>
      <c r="S594" t="s">
        <v>32</v>
      </c>
    </row>
    <row r="595" spans="1:19" hidden="1" x14ac:dyDescent="0.25">
      <c r="A595" t="s">
        <v>123</v>
      </c>
      <c r="B595" t="s">
        <v>75</v>
      </c>
      <c r="C595" t="s">
        <v>128</v>
      </c>
      <c r="D595" t="s">
        <v>531</v>
      </c>
      <c r="E595" t="s">
        <v>90</v>
      </c>
      <c r="F595" t="s">
        <v>6</v>
      </c>
      <c r="G595">
        <v>13</v>
      </c>
      <c r="H595">
        <v>35</v>
      </c>
      <c r="I595">
        <v>102</v>
      </c>
      <c r="J595">
        <v>35</v>
      </c>
      <c r="K595" s="6">
        <v>100.28</v>
      </c>
      <c r="L595" s="6">
        <v>0</v>
      </c>
      <c r="M595" s="6">
        <v>102.19</v>
      </c>
      <c r="N595">
        <v>1.91</v>
      </c>
      <c r="O595" s="6">
        <v>0</v>
      </c>
      <c r="P595">
        <v>67</v>
      </c>
      <c r="Q595" s="8">
        <v>307.14</v>
      </c>
      <c r="R595" s="8">
        <v>308.01</v>
      </c>
      <c r="S595" t="s">
        <v>32</v>
      </c>
    </row>
    <row r="596" spans="1:19" hidden="1" x14ac:dyDescent="0.25">
      <c r="A596" t="s">
        <v>123</v>
      </c>
      <c r="B596" t="s">
        <v>75</v>
      </c>
      <c r="C596" t="s">
        <v>128</v>
      </c>
      <c r="D596" t="s">
        <v>532</v>
      </c>
      <c r="E596" t="s">
        <v>90</v>
      </c>
      <c r="F596" t="s">
        <v>90</v>
      </c>
      <c r="G596">
        <v>0</v>
      </c>
      <c r="H596">
        <v>32</v>
      </c>
      <c r="I596">
        <v>32</v>
      </c>
      <c r="J596">
        <v>32</v>
      </c>
      <c r="K596" s="6">
        <v>100</v>
      </c>
      <c r="L596" s="6">
        <v>0</v>
      </c>
      <c r="M596" s="6">
        <v>100</v>
      </c>
      <c r="N596">
        <v>0</v>
      </c>
      <c r="O596" s="6">
        <v>0</v>
      </c>
      <c r="P596">
        <v>0</v>
      </c>
      <c r="Q596" s="8">
        <v>237.62</v>
      </c>
      <c r="R596" s="8">
        <v>237.62</v>
      </c>
      <c r="S596" s="9" t="s">
        <v>567</v>
      </c>
    </row>
    <row r="597" spans="1:19" hidden="1" x14ac:dyDescent="0.25">
      <c r="A597" t="s">
        <v>123</v>
      </c>
      <c r="B597" t="s">
        <v>75</v>
      </c>
      <c r="C597" t="s">
        <v>128</v>
      </c>
      <c r="D597" t="s">
        <v>532</v>
      </c>
      <c r="E597" t="s">
        <v>90</v>
      </c>
      <c r="F597" t="s">
        <v>91</v>
      </c>
      <c r="G597">
        <v>1</v>
      </c>
      <c r="H597">
        <v>32</v>
      </c>
      <c r="I597">
        <v>97</v>
      </c>
      <c r="J597">
        <v>32</v>
      </c>
      <c r="K597" s="6">
        <v>100</v>
      </c>
      <c r="L597" s="6">
        <v>0</v>
      </c>
      <c r="M597" s="6">
        <v>106.21</v>
      </c>
      <c r="N597">
        <v>6.21</v>
      </c>
      <c r="O597" s="6">
        <v>0</v>
      </c>
      <c r="P597">
        <v>65</v>
      </c>
      <c r="Q597" s="8">
        <v>237.62</v>
      </c>
      <c r="R597" s="8">
        <v>237.62</v>
      </c>
      <c r="S597" t="s">
        <v>32</v>
      </c>
    </row>
    <row r="598" spans="1:19" hidden="1" x14ac:dyDescent="0.25">
      <c r="A598" t="s">
        <v>123</v>
      </c>
      <c r="B598" t="s">
        <v>75</v>
      </c>
      <c r="C598" t="s">
        <v>128</v>
      </c>
      <c r="D598" t="s">
        <v>532</v>
      </c>
      <c r="E598" t="s">
        <v>90</v>
      </c>
      <c r="F598" t="s">
        <v>94</v>
      </c>
      <c r="G598">
        <v>2</v>
      </c>
      <c r="H598">
        <v>32</v>
      </c>
      <c r="I598">
        <v>97</v>
      </c>
      <c r="J598">
        <v>32</v>
      </c>
      <c r="K598" s="6">
        <v>99.89</v>
      </c>
      <c r="L598" s="6">
        <v>0</v>
      </c>
      <c r="M598" s="6">
        <v>106.34</v>
      </c>
      <c r="N598">
        <v>6.45</v>
      </c>
      <c r="O598" s="6">
        <v>0</v>
      </c>
      <c r="P598">
        <v>65</v>
      </c>
      <c r="Q598" s="8">
        <v>237.62</v>
      </c>
      <c r="R598" s="8">
        <v>237.36</v>
      </c>
      <c r="S598" t="s">
        <v>32</v>
      </c>
    </row>
    <row r="599" spans="1:19" hidden="1" x14ac:dyDescent="0.25">
      <c r="A599" t="s">
        <v>123</v>
      </c>
      <c r="B599" t="s">
        <v>75</v>
      </c>
      <c r="C599" t="s">
        <v>128</v>
      </c>
      <c r="D599" t="s">
        <v>532</v>
      </c>
      <c r="E599" t="s">
        <v>90</v>
      </c>
      <c r="F599" t="s">
        <v>96</v>
      </c>
      <c r="G599">
        <v>6</v>
      </c>
      <c r="H599">
        <v>32</v>
      </c>
      <c r="I599">
        <v>97</v>
      </c>
      <c r="J599">
        <v>32</v>
      </c>
      <c r="K599" s="6">
        <v>99.98</v>
      </c>
      <c r="L599" s="6">
        <v>0</v>
      </c>
      <c r="M599" s="6">
        <v>106.4</v>
      </c>
      <c r="N599">
        <v>6.42</v>
      </c>
      <c r="O599" s="6">
        <v>0</v>
      </c>
      <c r="P599">
        <v>65</v>
      </c>
      <c r="Q599" s="8">
        <v>237.62</v>
      </c>
      <c r="R599" s="8">
        <v>237.57</v>
      </c>
      <c r="S599" t="s">
        <v>32</v>
      </c>
    </row>
    <row r="600" spans="1:19" hidden="1" x14ac:dyDescent="0.25">
      <c r="A600" t="s">
        <v>123</v>
      </c>
      <c r="B600" t="s">
        <v>75</v>
      </c>
      <c r="C600" t="s">
        <v>128</v>
      </c>
      <c r="D600" t="s">
        <v>532</v>
      </c>
      <c r="E600" t="s">
        <v>90</v>
      </c>
      <c r="F600" t="s">
        <v>6</v>
      </c>
      <c r="G600">
        <v>13</v>
      </c>
      <c r="H600">
        <v>32</v>
      </c>
      <c r="I600">
        <v>98</v>
      </c>
      <c r="J600">
        <v>32</v>
      </c>
      <c r="K600" s="6">
        <v>100.1</v>
      </c>
      <c r="L600" s="6">
        <v>0</v>
      </c>
      <c r="M600" s="6">
        <v>106.53</v>
      </c>
      <c r="N600">
        <v>6.43</v>
      </c>
      <c r="O600" s="6">
        <v>0</v>
      </c>
      <c r="P600">
        <v>66</v>
      </c>
      <c r="Q600" s="8">
        <v>237.62</v>
      </c>
      <c r="R600" s="8">
        <v>237.85</v>
      </c>
      <c r="S600" t="s">
        <v>32</v>
      </c>
    </row>
    <row r="601" spans="1:19" hidden="1" x14ac:dyDescent="0.25">
      <c r="A601" t="s">
        <v>123</v>
      </c>
      <c r="B601" t="s">
        <v>75</v>
      </c>
      <c r="C601" t="s">
        <v>128</v>
      </c>
      <c r="D601" t="s">
        <v>533</v>
      </c>
      <c r="E601" t="s">
        <v>94</v>
      </c>
      <c r="F601" t="s">
        <v>94</v>
      </c>
      <c r="G601">
        <v>0</v>
      </c>
      <c r="H601">
        <v>81</v>
      </c>
      <c r="I601">
        <v>81</v>
      </c>
      <c r="J601">
        <v>81</v>
      </c>
      <c r="K601" s="6">
        <v>100</v>
      </c>
      <c r="L601" s="6">
        <v>0</v>
      </c>
      <c r="M601" s="6">
        <v>100</v>
      </c>
      <c r="N601">
        <v>0</v>
      </c>
      <c r="O601" s="6">
        <v>0</v>
      </c>
      <c r="P601">
        <v>0</v>
      </c>
      <c r="Q601" s="8">
        <v>226.96</v>
      </c>
      <c r="R601" s="8">
        <v>226.96</v>
      </c>
      <c r="S601" s="9" t="s">
        <v>603</v>
      </c>
    </row>
    <row r="602" spans="1:19" hidden="1" x14ac:dyDescent="0.25">
      <c r="A602" t="s">
        <v>123</v>
      </c>
      <c r="B602" t="s">
        <v>75</v>
      </c>
      <c r="C602" t="s">
        <v>128</v>
      </c>
      <c r="D602" t="s">
        <v>533</v>
      </c>
      <c r="E602" t="s">
        <v>94</v>
      </c>
      <c r="F602" t="s">
        <v>96</v>
      </c>
      <c r="G602">
        <v>4</v>
      </c>
      <c r="H602">
        <v>81</v>
      </c>
      <c r="I602">
        <v>81</v>
      </c>
      <c r="J602">
        <v>81</v>
      </c>
      <c r="K602" s="6">
        <v>100.24</v>
      </c>
      <c r="L602" s="6">
        <v>0</v>
      </c>
      <c r="M602" s="6">
        <v>100.24</v>
      </c>
      <c r="N602">
        <v>0</v>
      </c>
      <c r="O602" s="6">
        <v>0</v>
      </c>
      <c r="P602">
        <v>0</v>
      </c>
      <c r="Q602" s="8">
        <v>226.96</v>
      </c>
      <c r="R602" s="8">
        <v>227.51</v>
      </c>
      <c r="S602" t="s">
        <v>32</v>
      </c>
    </row>
    <row r="603" spans="1:19" hidden="1" x14ac:dyDescent="0.25">
      <c r="A603" t="s">
        <v>123</v>
      </c>
      <c r="B603" t="s">
        <v>75</v>
      </c>
      <c r="C603" t="s">
        <v>128</v>
      </c>
      <c r="D603" t="s">
        <v>533</v>
      </c>
      <c r="E603" t="s">
        <v>94</v>
      </c>
      <c r="F603" t="s">
        <v>6</v>
      </c>
      <c r="G603">
        <v>11</v>
      </c>
      <c r="H603">
        <v>81</v>
      </c>
      <c r="I603">
        <v>81</v>
      </c>
      <c r="J603">
        <v>81</v>
      </c>
      <c r="K603" s="6">
        <v>100.29</v>
      </c>
      <c r="L603" s="6">
        <v>0</v>
      </c>
      <c r="M603" s="6">
        <v>100.29</v>
      </c>
      <c r="N603">
        <v>0</v>
      </c>
      <c r="O603" s="6">
        <v>0</v>
      </c>
      <c r="P603">
        <v>0</v>
      </c>
      <c r="Q603" s="8">
        <v>226.96</v>
      </c>
      <c r="R603" s="8">
        <v>227.61</v>
      </c>
      <c r="S603" t="s">
        <v>32</v>
      </c>
    </row>
    <row r="604" spans="1:19" hidden="1" x14ac:dyDescent="0.25">
      <c r="A604" t="s">
        <v>123</v>
      </c>
      <c r="B604" t="s">
        <v>75</v>
      </c>
      <c r="C604" t="s">
        <v>128</v>
      </c>
      <c r="D604" t="s">
        <v>545</v>
      </c>
      <c r="E604" t="s">
        <v>94</v>
      </c>
      <c r="F604" t="s">
        <v>94</v>
      </c>
      <c r="G604">
        <v>0</v>
      </c>
      <c r="H604">
        <v>95</v>
      </c>
      <c r="I604">
        <v>95</v>
      </c>
      <c r="J604">
        <v>95</v>
      </c>
      <c r="K604" s="6">
        <v>100</v>
      </c>
      <c r="L604" s="6">
        <v>0</v>
      </c>
      <c r="M604" s="6">
        <v>100</v>
      </c>
      <c r="N604">
        <v>0</v>
      </c>
      <c r="O604" s="6">
        <v>0</v>
      </c>
      <c r="P604">
        <v>0</v>
      </c>
      <c r="Q604" s="8">
        <v>236.94</v>
      </c>
      <c r="R604" s="8">
        <v>236.94</v>
      </c>
      <c r="S604" s="9" t="s">
        <v>604</v>
      </c>
    </row>
    <row r="605" spans="1:19" hidden="1" x14ac:dyDescent="0.25">
      <c r="A605" t="s">
        <v>123</v>
      </c>
      <c r="B605" t="s">
        <v>75</v>
      </c>
      <c r="C605" t="s">
        <v>128</v>
      </c>
      <c r="D605" t="s">
        <v>545</v>
      </c>
      <c r="E605" t="s">
        <v>94</v>
      </c>
      <c r="F605" t="s">
        <v>96</v>
      </c>
      <c r="G605">
        <v>4</v>
      </c>
      <c r="H605">
        <v>95</v>
      </c>
      <c r="I605">
        <v>95</v>
      </c>
      <c r="J605">
        <v>95</v>
      </c>
      <c r="K605" s="6">
        <v>100.01</v>
      </c>
      <c r="L605" s="6">
        <v>0</v>
      </c>
      <c r="M605" s="6">
        <v>100.01</v>
      </c>
      <c r="N605">
        <v>0</v>
      </c>
      <c r="O605" s="6">
        <v>0</v>
      </c>
      <c r="P605">
        <v>0</v>
      </c>
      <c r="Q605" s="8">
        <v>236.94</v>
      </c>
      <c r="R605" s="8">
        <v>236.98</v>
      </c>
      <c r="S605" t="s">
        <v>32</v>
      </c>
    </row>
    <row r="606" spans="1:19" hidden="1" x14ac:dyDescent="0.25">
      <c r="A606" t="s">
        <v>123</v>
      </c>
      <c r="B606" t="s">
        <v>75</v>
      </c>
      <c r="C606" t="s">
        <v>128</v>
      </c>
      <c r="D606" t="s">
        <v>545</v>
      </c>
      <c r="E606" t="s">
        <v>94</v>
      </c>
      <c r="F606" t="s">
        <v>6</v>
      </c>
      <c r="G606">
        <v>11</v>
      </c>
      <c r="H606">
        <v>95</v>
      </c>
      <c r="I606">
        <v>95</v>
      </c>
      <c r="J606">
        <v>95</v>
      </c>
      <c r="K606" s="6">
        <v>99.89</v>
      </c>
      <c r="L606" s="6">
        <v>0</v>
      </c>
      <c r="M606" s="6">
        <v>99.89</v>
      </c>
      <c r="N606">
        <v>0</v>
      </c>
      <c r="O606" s="6">
        <v>0</v>
      </c>
      <c r="P606">
        <v>0</v>
      </c>
      <c r="Q606" s="8">
        <v>236.94</v>
      </c>
      <c r="R606" s="8">
        <v>236.68</v>
      </c>
      <c r="S606" t="s">
        <v>32</v>
      </c>
    </row>
    <row r="607" spans="1:19" hidden="1" x14ac:dyDescent="0.25">
      <c r="A607" t="s">
        <v>123</v>
      </c>
      <c r="B607" t="s">
        <v>75</v>
      </c>
      <c r="C607" t="s">
        <v>128</v>
      </c>
      <c r="D607" t="s">
        <v>570</v>
      </c>
      <c r="E607" t="s">
        <v>94</v>
      </c>
      <c r="F607" t="s">
        <v>94</v>
      </c>
      <c r="G607">
        <v>0</v>
      </c>
      <c r="H607">
        <v>100</v>
      </c>
      <c r="I607">
        <v>100</v>
      </c>
      <c r="J607">
        <v>100</v>
      </c>
      <c r="K607" s="6">
        <v>100</v>
      </c>
      <c r="L607" s="6">
        <v>0</v>
      </c>
      <c r="M607" s="6">
        <v>100</v>
      </c>
      <c r="N607">
        <v>0</v>
      </c>
      <c r="O607" s="6">
        <v>0</v>
      </c>
      <c r="P607">
        <v>0</v>
      </c>
      <c r="Q607" s="8">
        <v>246.23</v>
      </c>
      <c r="R607" s="8">
        <v>246.23</v>
      </c>
      <c r="S607" s="9" t="s">
        <v>577</v>
      </c>
    </row>
    <row r="608" spans="1:19" hidden="1" x14ac:dyDescent="0.25">
      <c r="A608" t="s">
        <v>123</v>
      </c>
      <c r="B608" t="s">
        <v>75</v>
      </c>
      <c r="C608" t="s">
        <v>128</v>
      </c>
      <c r="D608" t="s">
        <v>570</v>
      </c>
      <c r="E608" t="s">
        <v>94</v>
      </c>
      <c r="F608" t="s">
        <v>96</v>
      </c>
      <c r="G608">
        <v>4</v>
      </c>
      <c r="H608">
        <v>100</v>
      </c>
      <c r="I608">
        <v>100</v>
      </c>
      <c r="J608">
        <v>100</v>
      </c>
      <c r="K608" s="6">
        <v>99.9</v>
      </c>
      <c r="L608" s="6">
        <v>0</v>
      </c>
      <c r="M608" s="6">
        <v>99.9</v>
      </c>
      <c r="N608">
        <v>0</v>
      </c>
      <c r="O608" s="6">
        <v>0</v>
      </c>
      <c r="P608">
        <v>0</v>
      </c>
      <c r="Q608" s="8">
        <v>246.23</v>
      </c>
      <c r="R608" s="8">
        <v>245.99</v>
      </c>
      <c r="S608" t="s">
        <v>32</v>
      </c>
    </row>
    <row r="609" spans="1:19" hidden="1" x14ac:dyDescent="0.25">
      <c r="A609" t="s">
        <v>123</v>
      </c>
      <c r="B609" t="s">
        <v>75</v>
      </c>
      <c r="C609" t="s">
        <v>128</v>
      </c>
      <c r="D609" t="s">
        <v>570</v>
      </c>
      <c r="E609" t="s">
        <v>94</v>
      </c>
      <c r="F609" t="s">
        <v>6</v>
      </c>
      <c r="G609">
        <v>11</v>
      </c>
      <c r="H609">
        <v>100</v>
      </c>
      <c r="I609">
        <v>100</v>
      </c>
      <c r="J609">
        <v>100</v>
      </c>
      <c r="K609" s="6">
        <v>99.74</v>
      </c>
      <c r="L609" s="6">
        <v>0</v>
      </c>
      <c r="M609" s="6">
        <v>99.74</v>
      </c>
      <c r="N609">
        <v>0</v>
      </c>
      <c r="O609" s="6">
        <v>0</v>
      </c>
      <c r="P609">
        <v>0</v>
      </c>
      <c r="Q609" s="8">
        <v>246.23</v>
      </c>
      <c r="R609" s="8">
        <v>245.58</v>
      </c>
      <c r="S609" t="s">
        <v>32</v>
      </c>
    </row>
    <row r="610" spans="1:19" hidden="1" x14ac:dyDescent="0.25">
      <c r="A610" t="s">
        <v>123</v>
      </c>
      <c r="B610" t="s">
        <v>75</v>
      </c>
      <c r="C610" t="s">
        <v>128</v>
      </c>
      <c r="D610" t="s">
        <v>572</v>
      </c>
      <c r="E610" t="s">
        <v>94</v>
      </c>
      <c r="F610" t="s">
        <v>94</v>
      </c>
      <c r="G610">
        <v>0</v>
      </c>
      <c r="H610">
        <v>109</v>
      </c>
      <c r="I610">
        <v>109</v>
      </c>
      <c r="J610">
        <v>109</v>
      </c>
      <c r="K610" s="6">
        <v>100</v>
      </c>
      <c r="L610" s="6">
        <v>0</v>
      </c>
      <c r="M610" s="6">
        <v>100</v>
      </c>
      <c r="N610">
        <v>0</v>
      </c>
      <c r="O610" s="6">
        <v>0</v>
      </c>
      <c r="P610">
        <v>0</v>
      </c>
      <c r="Q610" s="8">
        <v>294.68</v>
      </c>
      <c r="R610" s="8">
        <v>294.68</v>
      </c>
      <c r="S610" s="9" t="s">
        <v>592</v>
      </c>
    </row>
    <row r="611" spans="1:19" hidden="1" x14ac:dyDescent="0.25">
      <c r="A611" t="s">
        <v>123</v>
      </c>
      <c r="B611" t="s">
        <v>75</v>
      </c>
      <c r="C611" t="s">
        <v>128</v>
      </c>
      <c r="D611" t="s">
        <v>572</v>
      </c>
      <c r="E611" t="s">
        <v>94</v>
      </c>
      <c r="F611" t="s">
        <v>96</v>
      </c>
      <c r="G611">
        <v>4</v>
      </c>
      <c r="H611">
        <v>109</v>
      </c>
      <c r="I611">
        <v>109</v>
      </c>
      <c r="J611">
        <v>109</v>
      </c>
      <c r="K611" s="6">
        <v>100.04</v>
      </c>
      <c r="L611" s="6">
        <v>0</v>
      </c>
      <c r="M611" s="6">
        <v>100.04</v>
      </c>
      <c r="N611">
        <v>0</v>
      </c>
      <c r="O611" s="6">
        <v>0</v>
      </c>
      <c r="P611">
        <v>0</v>
      </c>
      <c r="Q611" s="8">
        <v>294.68</v>
      </c>
      <c r="R611" s="8">
        <v>294.81</v>
      </c>
      <c r="S611" t="s">
        <v>32</v>
      </c>
    </row>
    <row r="612" spans="1:19" hidden="1" x14ac:dyDescent="0.25">
      <c r="A612" t="s">
        <v>123</v>
      </c>
      <c r="B612" t="s">
        <v>75</v>
      </c>
      <c r="C612" t="s">
        <v>128</v>
      </c>
      <c r="D612" t="s">
        <v>572</v>
      </c>
      <c r="E612" t="s">
        <v>94</v>
      </c>
      <c r="F612" t="s">
        <v>6</v>
      </c>
      <c r="G612">
        <v>11</v>
      </c>
      <c r="H612">
        <v>109</v>
      </c>
      <c r="I612">
        <v>108</v>
      </c>
      <c r="J612">
        <v>108</v>
      </c>
      <c r="K612" s="6">
        <v>99.96</v>
      </c>
      <c r="L612" s="6">
        <v>0</v>
      </c>
      <c r="M612" s="6">
        <v>99.92</v>
      </c>
      <c r="N612">
        <v>-0.04</v>
      </c>
      <c r="O612" s="6">
        <v>0.9</v>
      </c>
      <c r="P612">
        <v>0</v>
      </c>
      <c r="Q612" s="8">
        <v>294.54000000000002</v>
      </c>
      <c r="R612" s="8">
        <v>294.43</v>
      </c>
      <c r="S612" t="s">
        <v>32</v>
      </c>
    </row>
    <row r="613" spans="1:19" hidden="1" x14ac:dyDescent="0.25">
      <c r="A613" t="s">
        <v>123</v>
      </c>
      <c r="B613" t="s">
        <v>75</v>
      </c>
      <c r="C613" t="s">
        <v>128</v>
      </c>
      <c r="D613" t="s">
        <v>574</v>
      </c>
      <c r="E613" t="s">
        <v>94</v>
      </c>
      <c r="F613" t="s">
        <v>94</v>
      </c>
      <c r="G613">
        <v>0</v>
      </c>
      <c r="H613">
        <v>104</v>
      </c>
      <c r="I613">
        <v>104</v>
      </c>
      <c r="J613">
        <v>104</v>
      </c>
      <c r="K613" s="6">
        <v>100</v>
      </c>
      <c r="L613" s="6">
        <v>0</v>
      </c>
      <c r="M613" s="6">
        <v>100</v>
      </c>
      <c r="N613">
        <v>0</v>
      </c>
      <c r="O613" s="6">
        <v>0</v>
      </c>
      <c r="P613">
        <v>0</v>
      </c>
      <c r="Q613" s="8">
        <v>235.66</v>
      </c>
      <c r="R613" s="8">
        <v>235.66</v>
      </c>
      <c r="S613" s="9" t="s">
        <v>571</v>
      </c>
    </row>
    <row r="614" spans="1:19" hidden="1" x14ac:dyDescent="0.25">
      <c r="A614" t="s">
        <v>123</v>
      </c>
      <c r="B614" t="s">
        <v>75</v>
      </c>
      <c r="C614" t="s">
        <v>128</v>
      </c>
      <c r="D614" t="s">
        <v>574</v>
      </c>
      <c r="E614" t="s">
        <v>94</v>
      </c>
      <c r="F614" t="s">
        <v>96</v>
      </c>
      <c r="G614">
        <v>4</v>
      </c>
      <c r="H614">
        <v>104</v>
      </c>
      <c r="I614">
        <v>104</v>
      </c>
      <c r="J614">
        <v>104</v>
      </c>
      <c r="K614" s="6">
        <v>100</v>
      </c>
      <c r="L614" s="6">
        <v>0</v>
      </c>
      <c r="M614" s="6">
        <v>100</v>
      </c>
      <c r="N614">
        <v>0</v>
      </c>
      <c r="O614" s="6">
        <v>0</v>
      </c>
      <c r="P614">
        <v>0</v>
      </c>
      <c r="Q614" s="8">
        <v>235.66</v>
      </c>
      <c r="R614" s="8">
        <v>235.66</v>
      </c>
      <c r="S614" t="s">
        <v>32</v>
      </c>
    </row>
    <row r="615" spans="1:19" hidden="1" x14ac:dyDescent="0.25">
      <c r="A615" t="s">
        <v>123</v>
      </c>
      <c r="B615" t="s">
        <v>75</v>
      </c>
      <c r="C615" t="s">
        <v>128</v>
      </c>
      <c r="D615" t="s">
        <v>574</v>
      </c>
      <c r="E615" t="s">
        <v>94</v>
      </c>
      <c r="F615" t="s">
        <v>6</v>
      </c>
      <c r="G615">
        <v>11</v>
      </c>
      <c r="H615">
        <v>104</v>
      </c>
      <c r="I615">
        <v>104</v>
      </c>
      <c r="J615">
        <v>104</v>
      </c>
      <c r="K615" s="6">
        <v>99.65</v>
      </c>
      <c r="L615" s="6">
        <v>0</v>
      </c>
      <c r="M615" s="6">
        <v>99.65</v>
      </c>
      <c r="N615">
        <v>0</v>
      </c>
      <c r="O615" s="6">
        <v>0</v>
      </c>
      <c r="P615">
        <v>0</v>
      </c>
      <c r="Q615" s="8">
        <v>235.66</v>
      </c>
      <c r="R615" s="8">
        <v>234.82</v>
      </c>
      <c r="S615" t="s">
        <v>32</v>
      </c>
    </row>
    <row r="616" spans="1:19" hidden="1" x14ac:dyDescent="0.25">
      <c r="A616" t="s">
        <v>123</v>
      </c>
      <c r="B616" t="s">
        <v>75</v>
      </c>
      <c r="C616" t="s">
        <v>128</v>
      </c>
      <c r="D616" t="s">
        <v>576</v>
      </c>
      <c r="E616" t="s">
        <v>94</v>
      </c>
      <c r="F616" t="s">
        <v>94</v>
      </c>
      <c r="G616">
        <v>0</v>
      </c>
      <c r="H616">
        <v>97</v>
      </c>
      <c r="I616">
        <v>97</v>
      </c>
      <c r="J616">
        <v>97</v>
      </c>
      <c r="K616" s="6">
        <v>100</v>
      </c>
      <c r="L616" s="6">
        <v>0</v>
      </c>
      <c r="M616" s="6">
        <v>100</v>
      </c>
      <c r="N616">
        <v>0</v>
      </c>
      <c r="O616" s="6">
        <v>0</v>
      </c>
      <c r="P616">
        <v>0</v>
      </c>
      <c r="Q616" s="8">
        <v>236.77</v>
      </c>
      <c r="R616" s="8">
        <v>236.77</v>
      </c>
      <c r="S616" s="9" t="s">
        <v>569</v>
      </c>
    </row>
    <row r="617" spans="1:19" hidden="1" x14ac:dyDescent="0.25">
      <c r="A617" t="s">
        <v>123</v>
      </c>
      <c r="B617" t="s">
        <v>75</v>
      </c>
      <c r="C617" t="s">
        <v>128</v>
      </c>
      <c r="D617" t="s">
        <v>576</v>
      </c>
      <c r="E617" t="s">
        <v>94</v>
      </c>
      <c r="F617" t="s">
        <v>96</v>
      </c>
      <c r="G617">
        <v>4</v>
      </c>
      <c r="H617">
        <v>97</v>
      </c>
      <c r="I617">
        <v>97</v>
      </c>
      <c r="J617">
        <v>97</v>
      </c>
      <c r="K617" s="6">
        <v>100</v>
      </c>
      <c r="L617" s="6">
        <v>0</v>
      </c>
      <c r="M617" s="6">
        <v>100</v>
      </c>
      <c r="N617">
        <v>0</v>
      </c>
      <c r="O617" s="6">
        <v>0</v>
      </c>
      <c r="P617">
        <v>0</v>
      </c>
      <c r="Q617" s="8">
        <v>236.77</v>
      </c>
      <c r="R617" s="8">
        <v>236.77</v>
      </c>
      <c r="S617" t="s">
        <v>32</v>
      </c>
    </row>
    <row r="618" spans="1:19" hidden="1" x14ac:dyDescent="0.25">
      <c r="A618" t="s">
        <v>123</v>
      </c>
      <c r="B618" t="s">
        <v>75</v>
      </c>
      <c r="C618" t="s">
        <v>128</v>
      </c>
      <c r="D618" t="s">
        <v>576</v>
      </c>
      <c r="E618" t="s">
        <v>94</v>
      </c>
      <c r="F618" t="s">
        <v>6</v>
      </c>
      <c r="G618">
        <v>11</v>
      </c>
      <c r="H618">
        <v>97</v>
      </c>
      <c r="I618">
        <v>97</v>
      </c>
      <c r="J618">
        <v>97</v>
      </c>
      <c r="K618" s="6">
        <v>99.85</v>
      </c>
      <c r="L618" s="6">
        <v>0</v>
      </c>
      <c r="M618" s="6">
        <v>99.85</v>
      </c>
      <c r="N618">
        <v>0</v>
      </c>
      <c r="O618" s="6">
        <v>0</v>
      </c>
      <c r="P618">
        <v>0</v>
      </c>
      <c r="Q618" s="8">
        <v>236.77</v>
      </c>
      <c r="R618" s="8">
        <v>236.42</v>
      </c>
      <c r="S618" t="s">
        <v>32</v>
      </c>
    </row>
    <row r="619" spans="1:19" hidden="1" x14ac:dyDescent="0.25">
      <c r="A619" t="s">
        <v>123</v>
      </c>
      <c r="B619" t="s">
        <v>75</v>
      </c>
      <c r="C619" t="s">
        <v>128</v>
      </c>
      <c r="D619" t="s">
        <v>578</v>
      </c>
      <c r="E619" t="s">
        <v>94</v>
      </c>
      <c r="F619" t="s">
        <v>94</v>
      </c>
      <c r="G619">
        <v>0</v>
      </c>
      <c r="H619">
        <v>114</v>
      </c>
      <c r="I619">
        <v>114</v>
      </c>
      <c r="J619">
        <v>114</v>
      </c>
      <c r="K619" s="6">
        <v>100</v>
      </c>
      <c r="L619" s="6">
        <v>0</v>
      </c>
      <c r="M619" s="6">
        <v>100</v>
      </c>
      <c r="N619">
        <v>0</v>
      </c>
      <c r="O619" s="6">
        <v>0</v>
      </c>
      <c r="P619">
        <v>0</v>
      </c>
      <c r="Q619" s="8">
        <v>264.73</v>
      </c>
      <c r="R619" s="8">
        <v>264.73</v>
      </c>
      <c r="S619" s="9" t="s">
        <v>579</v>
      </c>
    </row>
    <row r="620" spans="1:19" hidden="1" x14ac:dyDescent="0.25">
      <c r="A620" t="s">
        <v>123</v>
      </c>
      <c r="B620" t="s">
        <v>75</v>
      </c>
      <c r="C620" t="s">
        <v>128</v>
      </c>
      <c r="D620" t="s">
        <v>578</v>
      </c>
      <c r="E620" t="s">
        <v>94</v>
      </c>
      <c r="F620" t="s">
        <v>96</v>
      </c>
      <c r="G620">
        <v>4</v>
      </c>
      <c r="H620">
        <v>114</v>
      </c>
      <c r="I620">
        <v>114</v>
      </c>
      <c r="J620">
        <v>114</v>
      </c>
      <c r="K620" s="6">
        <v>100.23</v>
      </c>
      <c r="L620" s="6">
        <v>0</v>
      </c>
      <c r="M620" s="6">
        <v>100.23</v>
      </c>
      <c r="N620">
        <v>0</v>
      </c>
      <c r="O620" s="6">
        <v>0</v>
      </c>
      <c r="P620">
        <v>0</v>
      </c>
      <c r="Q620" s="8">
        <v>264.73</v>
      </c>
      <c r="R620" s="8">
        <v>265.33</v>
      </c>
      <c r="S620" t="s">
        <v>32</v>
      </c>
    </row>
    <row r="621" spans="1:19" hidden="1" x14ac:dyDescent="0.25">
      <c r="A621" t="s">
        <v>123</v>
      </c>
      <c r="B621" t="s">
        <v>75</v>
      </c>
      <c r="C621" t="s">
        <v>128</v>
      </c>
      <c r="D621" t="s">
        <v>578</v>
      </c>
      <c r="E621" t="s">
        <v>94</v>
      </c>
      <c r="F621" t="s">
        <v>6</v>
      </c>
      <c r="G621">
        <v>11</v>
      </c>
      <c r="H621">
        <v>114</v>
      </c>
      <c r="I621">
        <v>113</v>
      </c>
      <c r="J621">
        <v>113</v>
      </c>
      <c r="K621" s="6">
        <v>99.88</v>
      </c>
      <c r="L621" s="6">
        <v>0</v>
      </c>
      <c r="M621" s="6">
        <v>99.57</v>
      </c>
      <c r="N621">
        <v>-0.31</v>
      </c>
      <c r="O621" s="6">
        <v>0.9</v>
      </c>
      <c r="P621">
        <v>0</v>
      </c>
      <c r="Q621" s="8">
        <v>263.92</v>
      </c>
      <c r="R621" s="8">
        <v>263.60000000000002</v>
      </c>
      <c r="S621" t="s">
        <v>32</v>
      </c>
    </row>
    <row r="622" spans="1:19" hidden="1" x14ac:dyDescent="0.25">
      <c r="A622" t="s">
        <v>123</v>
      </c>
      <c r="B622" t="s">
        <v>75</v>
      </c>
      <c r="C622" t="s">
        <v>128</v>
      </c>
      <c r="D622" t="s">
        <v>580</v>
      </c>
      <c r="E622" t="s">
        <v>94</v>
      </c>
      <c r="F622" t="s">
        <v>94</v>
      </c>
      <c r="G622">
        <v>0</v>
      </c>
      <c r="H622">
        <v>76</v>
      </c>
      <c r="I622">
        <v>76</v>
      </c>
      <c r="J622">
        <v>76</v>
      </c>
      <c r="K622" s="6">
        <v>100</v>
      </c>
      <c r="L622" s="6">
        <v>0</v>
      </c>
      <c r="M622" s="6">
        <v>100</v>
      </c>
      <c r="N622">
        <v>0</v>
      </c>
      <c r="O622" s="6">
        <v>0</v>
      </c>
      <c r="P622">
        <v>0</v>
      </c>
      <c r="Q622" s="8">
        <v>267.62</v>
      </c>
      <c r="R622" s="8">
        <v>267.62</v>
      </c>
      <c r="S622" s="9" t="s">
        <v>581</v>
      </c>
    </row>
    <row r="623" spans="1:19" hidden="1" x14ac:dyDescent="0.25">
      <c r="A623" t="s">
        <v>123</v>
      </c>
      <c r="B623" t="s">
        <v>75</v>
      </c>
      <c r="C623" t="s">
        <v>128</v>
      </c>
      <c r="D623" t="s">
        <v>580</v>
      </c>
      <c r="E623" t="s">
        <v>94</v>
      </c>
      <c r="F623" t="s">
        <v>96</v>
      </c>
      <c r="G623">
        <v>4</v>
      </c>
      <c r="H623">
        <v>76</v>
      </c>
      <c r="I623">
        <v>76</v>
      </c>
      <c r="J623">
        <v>76</v>
      </c>
      <c r="K623" s="6">
        <v>99.98</v>
      </c>
      <c r="L623" s="6">
        <v>0</v>
      </c>
      <c r="M623" s="6">
        <v>99.98</v>
      </c>
      <c r="N623">
        <v>0</v>
      </c>
      <c r="O623" s="6">
        <v>0</v>
      </c>
      <c r="P623">
        <v>0</v>
      </c>
      <c r="Q623" s="8">
        <v>267.62</v>
      </c>
      <c r="R623" s="8">
        <v>267.55</v>
      </c>
      <c r="S623" t="s">
        <v>32</v>
      </c>
    </row>
    <row r="624" spans="1:19" hidden="1" x14ac:dyDescent="0.25">
      <c r="A624" t="s">
        <v>123</v>
      </c>
      <c r="B624" t="s">
        <v>75</v>
      </c>
      <c r="C624" t="s">
        <v>128</v>
      </c>
      <c r="D624" t="s">
        <v>580</v>
      </c>
      <c r="E624" t="s">
        <v>94</v>
      </c>
      <c r="F624" t="s">
        <v>6</v>
      </c>
      <c r="G624">
        <v>11</v>
      </c>
      <c r="H624">
        <v>76</v>
      </c>
      <c r="I624">
        <v>76</v>
      </c>
      <c r="J624">
        <v>76</v>
      </c>
      <c r="K624" s="6">
        <v>99.73</v>
      </c>
      <c r="L624" s="6">
        <v>0</v>
      </c>
      <c r="M624" s="6">
        <v>99.73</v>
      </c>
      <c r="N624">
        <v>0</v>
      </c>
      <c r="O624" s="6">
        <v>0</v>
      </c>
      <c r="P624">
        <v>0</v>
      </c>
      <c r="Q624" s="8">
        <v>267.62</v>
      </c>
      <c r="R624" s="8">
        <v>266.88</v>
      </c>
      <c r="S624" t="s">
        <v>32</v>
      </c>
    </row>
    <row r="625" spans="1:19" hidden="1" x14ac:dyDescent="0.25">
      <c r="A625" t="s">
        <v>123</v>
      </c>
      <c r="B625" t="s">
        <v>75</v>
      </c>
      <c r="C625" t="s">
        <v>128</v>
      </c>
      <c r="D625" t="s">
        <v>582</v>
      </c>
      <c r="E625" t="s">
        <v>94</v>
      </c>
      <c r="F625" t="s">
        <v>94</v>
      </c>
      <c r="G625">
        <v>0</v>
      </c>
      <c r="H625">
        <v>11</v>
      </c>
      <c r="I625">
        <v>11</v>
      </c>
      <c r="J625">
        <v>11</v>
      </c>
      <c r="K625" s="6">
        <v>100</v>
      </c>
      <c r="L625" s="6">
        <v>0</v>
      </c>
      <c r="M625" s="6">
        <v>100</v>
      </c>
      <c r="N625">
        <v>0</v>
      </c>
      <c r="O625" s="6">
        <v>0</v>
      </c>
      <c r="P625">
        <v>0</v>
      </c>
      <c r="Q625" s="8">
        <v>274.70999999999998</v>
      </c>
      <c r="R625" s="8">
        <v>274.70999999999998</v>
      </c>
      <c r="S625" s="9" t="s">
        <v>528</v>
      </c>
    </row>
    <row r="626" spans="1:19" hidden="1" x14ac:dyDescent="0.25">
      <c r="A626" t="s">
        <v>123</v>
      </c>
      <c r="B626" t="s">
        <v>75</v>
      </c>
      <c r="C626" t="s">
        <v>128</v>
      </c>
      <c r="D626" t="s">
        <v>582</v>
      </c>
      <c r="E626" t="s">
        <v>94</v>
      </c>
      <c r="F626" t="s">
        <v>96</v>
      </c>
      <c r="G626">
        <v>4</v>
      </c>
      <c r="H626">
        <v>11</v>
      </c>
      <c r="I626">
        <v>11</v>
      </c>
      <c r="J626">
        <v>11</v>
      </c>
      <c r="K626" s="6">
        <v>100</v>
      </c>
      <c r="L626" s="6">
        <v>0</v>
      </c>
      <c r="M626" s="6">
        <v>100</v>
      </c>
      <c r="N626">
        <v>0</v>
      </c>
      <c r="O626" s="6">
        <v>0</v>
      </c>
      <c r="P626">
        <v>0</v>
      </c>
      <c r="Q626" s="8">
        <v>274.70999999999998</v>
      </c>
      <c r="R626" s="8">
        <v>274.70999999999998</v>
      </c>
      <c r="S626" s="10" t="s">
        <v>529</v>
      </c>
    </row>
    <row r="627" spans="1:19" hidden="1" x14ac:dyDescent="0.25">
      <c r="A627" t="s">
        <v>123</v>
      </c>
      <c r="B627" t="s">
        <v>75</v>
      </c>
      <c r="C627" t="s">
        <v>128</v>
      </c>
      <c r="D627" t="s">
        <v>582</v>
      </c>
      <c r="E627" t="s">
        <v>94</v>
      </c>
      <c r="F627" t="s">
        <v>6</v>
      </c>
      <c r="G627">
        <v>11</v>
      </c>
      <c r="H627">
        <v>11</v>
      </c>
      <c r="I627">
        <v>11</v>
      </c>
      <c r="J627">
        <v>11</v>
      </c>
      <c r="K627" s="6">
        <v>100</v>
      </c>
      <c r="L627" s="6">
        <v>0</v>
      </c>
      <c r="M627" s="6">
        <v>100</v>
      </c>
      <c r="N627">
        <v>0</v>
      </c>
      <c r="O627" s="6">
        <v>0</v>
      </c>
      <c r="P627">
        <v>0</v>
      </c>
      <c r="Q627" s="8">
        <v>274.70999999999998</v>
      </c>
      <c r="R627" s="8">
        <v>274.70999999999998</v>
      </c>
      <c r="S627" s="10" t="s">
        <v>529</v>
      </c>
    </row>
    <row r="628" spans="1:19" hidden="1" x14ac:dyDescent="0.25">
      <c r="A628" t="s">
        <v>123</v>
      </c>
      <c r="B628" t="s">
        <v>75</v>
      </c>
      <c r="C628" t="s">
        <v>128</v>
      </c>
      <c r="D628" t="s">
        <v>583</v>
      </c>
      <c r="E628" t="s">
        <v>94</v>
      </c>
      <c r="F628" t="s">
        <v>94</v>
      </c>
      <c r="G628">
        <v>0</v>
      </c>
      <c r="H628">
        <v>10</v>
      </c>
      <c r="I628">
        <v>10</v>
      </c>
      <c r="J628">
        <v>10</v>
      </c>
      <c r="K628" s="6">
        <v>100</v>
      </c>
      <c r="L628" s="6">
        <v>0</v>
      </c>
      <c r="M628" s="6">
        <v>100</v>
      </c>
      <c r="N628">
        <v>0</v>
      </c>
      <c r="O628" s="6">
        <v>0</v>
      </c>
      <c r="P628">
        <v>0</v>
      </c>
      <c r="Q628" s="8">
        <v>308.74</v>
      </c>
      <c r="R628" s="8">
        <v>308.74</v>
      </c>
      <c r="S628" s="9" t="s">
        <v>584</v>
      </c>
    </row>
    <row r="629" spans="1:19" hidden="1" x14ac:dyDescent="0.25">
      <c r="A629" t="s">
        <v>123</v>
      </c>
      <c r="B629" t="s">
        <v>75</v>
      </c>
      <c r="C629" t="s">
        <v>128</v>
      </c>
      <c r="D629" t="s">
        <v>583</v>
      </c>
      <c r="E629" t="s">
        <v>94</v>
      </c>
      <c r="F629" t="s">
        <v>96</v>
      </c>
      <c r="G629">
        <v>4</v>
      </c>
      <c r="H629">
        <v>10</v>
      </c>
      <c r="I629">
        <v>10</v>
      </c>
      <c r="J629">
        <v>10</v>
      </c>
      <c r="K629" s="6">
        <v>100</v>
      </c>
      <c r="L629" s="6">
        <v>0</v>
      </c>
      <c r="M629" s="6">
        <v>100</v>
      </c>
      <c r="N629">
        <v>0</v>
      </c>
      <c r="O629" s="6">
        <v>0</v>
      </c>
      <c r="P629">
        <v>0</v>
      </c>
      <c r="Q629" s="8">
        <v>308.74</v>
      </c>
      <c r="R629" s="8">
        <v>308.74</v>
      </c>
      <c r="S629" s="10" t="s">
        <v>131</v>
      </c>
    </row>
    <row r="630" spans="1:19" hidden="1" x14ac:dyDescent="0.25">
      <c r="A630" t="s">
        <v>123</v>
      </c>
      <c r="B630" t="s">
        <v>75</v>
      </c>
      <c r="C630" t="s">
        <v>128</v>
      </c>
      <c r="D630" t="s">
        <v>583</v>
      </c>
      <c r="E630" t="s">
        <v>94</v>
      </c>
      <c r="F630" t="s">
        <v>6</v>
      </c>
      <c r="G630">
        <v>11</v>
      </c>
      <c r="H630">
        <v>10</v>
      </c>
      <c r="I630">
        <v>10</v>
      </c>
      <c r="J630">
        <v>10</v>
      </c>
      <c r="K630" s="6">
        <v>100</v>
      </c>
      <c r="L630" s="6">
        <v>0</v>
      </c>
      <c r="M630" s="6">
        <v>100</v>
      </c>
      <c r="N630">
        <v>0</v>
      </c>
      <c r="O630" s="6">
        <v>0</v>
      </c>
      <c r="P630">
        <v>0</v>
      </c>
      <c r="Q630" s="8">
        <v>308.74</v>
      </c>
      <c r="R630" s="8">
        <v>308.74</v>
      </c>
      <c r="S630" s="10" t="s">
        <v>131</v>
      </c>
    </row>
    <row r="631" spans="1:19" hidden="1" x14ac:dyDescent="0.25">
      <c r="A631" t="s">
        <v>123</v>
      </c>
      <c r="B631" t="s">
        <v>75</v>
      </c>
      <c r="C631" t="s">
        <v>128</v>
      </c>
      <c r="D631" t="s">
        <v>585</v>
      </c>
      <c r="E631" t="s">
        <v>94</v>
      </c>
      <c r="F631" t="s">
        <v>94</v>
      </c>
      <c r="G631">
        <v>0</v>
      </c>
      <c r="H631">
        <v>12</v>
      </c>
      <c r="I631">
        <v>12</v>
      </c>
      <c r="J631">
        <v>12</v>
      </c>
      <c r="K631" s="6">
        <v>100</v>
      </c>
      <c r="L631" s="6">
        <v>0</v>
      </c>
      <c r="M631" s="6">
        <v>100</v>
      </c>
      <c r="N631">
        <v>0</v>
      </c>
      <c r="O631" s="6">
        <v>0</v>
      </c>
      <c r="P631">
        <v>0</v>
      </c>
      <c r="Q631" s="8">
        <v>302.77</v>
      </c>
      <c r="R631" s="8">
        <v>302.77</v>
      </c>
      <c r="S631" s="9" t="s">
        <v>586</v>
      </c>
    </row>
    <row r="632" spans="1:19" hidden="1" x14ac:dyDescent="0.25">
      <c r="A632" t="s">
        <v>123</v>
      </c>
      <c r="B632" t="s">
        <v>75</v>
      </c>
      <c r="C632" t="s">
        <v>128</v>
      </c>
      <c r="D632" t="s">
        <v>585</v>
      </c>
      <c r="E632" t="s">
        <v>94</v>
      </c>
      <c r="F632" t="s">
        <v>96</v>
      </c>
      <c r="G632">
        <v>4</v>
      </c>
      <c r="H632">
        <v>12</v>
      </c>
      <c r="I632">
        <v>12</v>
      </c>
      <c r="J632">
        <v>12</v>
      </c>
      <c r="K632" s="6">
        <v>100</v>
      </c>
      <c r="L632" s="6">
        <v>0</v>
      </c>
      <c r="M632" s="6">
        <v>100</v>
      </c>
      <c r="N632">
        <v>0</v>
      </c>
      <c r="O632" s="6">
        <v>0</v>
      </c>
      <c r="P632">
        <v>0</v>
      </c>
      <c r="Q632" s="8">
        <v>302.77</v>
      </c>
      <c r="R632" s="8">
        <v>302.77</v>
      </c>
      <c r="S632" s="10" t="s">
        <v>587</v>
      </c>
    </row>
    <row r="633" spans="1:19" hidden="1" x14ac:dyDescent="0.25">
      <c r="A633" t="s">
        <v>123</v>
      </c>
      <c r="B633" t="s">
        <v>75</v>
      </c>
      <c r="C633" t="s">
        <v>128</v>
      </c>
      <c r="D633" t="s">
        <v>585</v>
      </c>
      <c r="E633" t="s">
        <v>94</v>
      </c>
      <c r="F633" t="s">
        <v>6</v>
      </c>
      <c r="G633">
        <v>11</v>
      </c>
      <c r="H633">
        <v>12</v>
      </c>
      <c r="I633">
        <v>12</v>
      </c>
      <c r="J633">
        <v>12</v>
      </c>
      <c r="K633" s="6">
        <v>100</v>
      </c>
      <c r="L633" s="6">
        <v>0</v>
      </c>
      <c r="M633" s="6">
        <v>100</v>
      </c>
      <c r="N633">
        <v>0</v>
      </c>
      <c r="O633" s="6">
        <v>0</v>
      </c>
      <c r="P633">
        <v>0</v>
      </c>
      <c r="Q633" s="8">
        <v>302.77</v>
      </c>
      <c r="R633" s="8">
        <v>302.77</v>
      </c>
      <c r="S633" s="10" t="s">
        <v>587</v>
      </c>
    </row>
    <row r="634" spans="1:19" hidden="1" x14ac:dyDescent="0.25">
      <c r="A634" t="s">
        <v>123</v>
      </c>
      <c r="B634" t="s">
        <v>75</v>
      </c>
      <c r="C634" t="s">
        <v>128</v>
      </c>
      <c r="D634" t="s">
        <v>588</v>
      </c>
      <c r="E634" t="s">
        <v>94</v>
      </c>
      <c r="F634" t="s">
        <v>94</v>
      </c>
      <c r="G634">
        <v>0</v>
      </c>
      <c r="H634">
        <v>11</v>
      </c>
      <c r="I634">
        <v>11</v>
      </c>
      <c r="J634">
        <v>11</v>
      </c>
      <c r="K634" s="6">
        <v>100</v>
      </c>
      <c r="L634" s="6">
        <v>0</v>
      </c>
      <c r="M634" s="6">
        <v>100</v>
      </c>
      <c r="N634">
        <v>0</v>
      </c>
      <c r="O634" s="6">
        <v>0</v>
      </c>
      <c r="P634">
        <v>0</v>
      </c>
      <c r="Q634" s="8">
        <v>253.3</v>
      </c>
      <c r="R634" s="8">
        <v>253.3</v>
      </c>
      <c r="S634" s="9" t="s">
        <v>528</v>
      </c>
    </row>
    <row r="635" spans="1:19" hidden="1" x14ac:dyDescent="0.25">
      <c r="A635" t="s">
        <v>123</v>
      </c>
      <c r="B635" t="s">
        <v>75</v>
      </c>
      <c r="C635" t="s">
        <v>128</v>
      </c>
      <c r="D635" t="s">
        <v>588</v>
      </c>
      <c r="E635" t="s">
        <v>94</v>
      </c>
      <c r="F635" t="s">
        <v>96</v>
      </c>
      <c r="G635">
        <v>4</v>
      </c>
      <c r="H635">
        <v>11</v>
      </c>
      <c r="I635">
        <v>11</v>
      </c>
      <c r="J635">
        <v>11</v>
      </c>
      <c r="K635" s="6">
        <v>100</v>
      </c>
      <c r="L635" s="6">
        <v>0</v>
      </c>
      <c r="M635" s="6">
        <v>100</v>
      </c>
      <c r="N635">
        <v>0</v>
      </c>
      <c r="O635" s="6">
        <v>0</v>
      </c>
      <c r="P635">
        <v>0</v>
      </c>
      <c r="Q635" s="8">
        <v>253.3</v>
      </c>
      <c r="R635" s="8">
        <v>253.3</v>
      </c>
      <c r="S635" s="10" t="s">
        <v>529</v>
      </c>
    </row>
    <row r="636" spans="1:19" hidden="1" x14ac:dyDescent="0.25">
      <c r="A636" t="s">
        <v>123</v>
      </c>
      <c r="B636" t="s">
        <v>75</v>
      </c>
      <c r="C636" t="s">
        <v>128</v>
      </c>
      <c r="D636" t="s">
        <v>588</v>
      </c>
      <c r="E636" t="s">
        <v>94</v>
      </c>
      <c r="F636" t="s">
        <v>6</v>
      </c>
      <c r="G636">
        <v>11</v>
      </c>
      <c r="H636">
        <v>11</v>
      </c>
      <c r="I636">
        <v>11</v>
      </c>
      <c r="J636">
        <v>11</v>
      </c>
      <c r="K636" s="6">
        <v>100</v>
      </c>
      <c r="L636" s="6">
        <v>0</v>
      </c>
      <c r="M636" s="6">
        <v>100</v>
      </c>
      <c r="N636">
        <v>0</v>
      </c>
      <c r="O636" s="6">
        <v>0</v>
      </c>
      <c r="P636">
        <v>0</v>
      </c>
      <c r="Q636" s="8">
        <v>253.3</v>
      </c>
      <c r="R636" s="8">
        <v>253.3</v>
      </c>
      <c r="S636" s="10" t="s">
        <v>529</v>
      </c>
    </row>
    <row r="637" spans="1:19" hidden="1" x14ac:dyDescent="0.25">
      <c r="A637" t="s">
        <v>123</v>
      </c>
      <c r="B637" t="s">
        <v>75</v>
      </c>
      <c r="C637" t="s">
        <v>128</v>
      </c>
      <c r="D637" t="s">
        <v>589</v>
      </c>
      <c r="E637" t="s">
        <v>94</v>
      </c>
      <c r="F637" t="s">
        <v>94</v>
      </c>
      <c r="G637">
        <v>0</v>
      </c>
      <c r="H637">
        <v>6</v>
      </c>
      <c r="I637">
        <v>6</v>
      </c>
      <c r="J637">
        <v>6</v>
      </c>
      <c r="K637" s="6">
        <v>100</v>
      </c>
      <c r="L637" s="6">
        <v>0</v>
      </c>
      <c r="M637" s="6">
        <v>100</v>
      </c>
      <c r="N637">
        <v>0</v>
      </c>
      <c r="O637" s="6">
        <v>0</v>
      </c>
      <c r="P637">
        <v>0</v>
      </c>
      <c r="Q637" s="8">
        <v>255.59</v>
      </c>
      <c r="R637" s="8">
        <v>255.59</v>
      </c>
      <c r="S637" s="9" t="s">
        <v>534</v>
      </c>
    </row>
    <row r="638" spans="1:19" hidden="1" x14ac:dyDescent="0.25">
      <c r="A638" t="s">
        <v>123</v>
      </c>
      <c r="B638" t="s">
        <v>75</v>
      </c>
      <c r="C638" t="s">
        <v>128</v>
      </c>
      <c r="D638" t="s">
        <v>589</v>
      </c>
      <c r="E638" t="s">
        <v>94</v>
      </c>
      <c r="F638" t="s">
        <v>96</v>
      </c>
      <c r="G638">
        <v>4</v>
      </c>
      <c r="H638">
        <v>6</v>
      </c>
      <c r="I638">
        <v>6</v>
      </c>
      <c r="J638">
        <v>6</v>
      </c>
      <c r="K638" s="6">
        <v>95.44</v>
      </c>
      <c r="L638" s="6">
        <v>0</v>
      </c>
      <c r="M638" s="6">
        <v>95.44</v>
      </c>
      <c r="N638">
        <v>0</v>
      </c>
      <c r="O638" s="6">
        <v>0</v>
      </c>
      <c r="P638">
        <v>0</v>
      </c>
      <c r="Q638" s="8">
        <v>255.59</v>
      </c>
      <c r="R638" s="8">
        <v>243.92</v>
      </c>
      <c r="S638" s="9" t="s">
        <v>535</v>
      </c>
    </row>
    <row r="639" spans="1:19" hidden="1" x14ac:dyDescent="0.25">
      <c r="A639" t="s">
        <v>123</v>
      </c>
      <c r="B639" t="s">
        <v>75</v>
      </c>
      <c r="C639" t="s">
        <v>128</v>
      </c>
      <c r="D639" t="s">
        <v>589</v>
      </c>
      <c r="E639" t="s">
        <v>94</v>
      </c>
      <c r="F639" t="s">
        <v>6</v>
      </c>
      <c r="G639">
        <v>11</v>
      </c>
      <c r="H639">
        <v>6</v>
      </c>
      <c r="I639">
        <v>6</v>
      </c>
      <c r="J639">
        <v>6</v>
      </c>
      <c r="K639" s="6">
        <v>95.44</v>
      </c>
      <c r="L639" s="6">
        <v>0</v>
      </c>
      <c r="M639" s="6">
        <v>95.44</v>
      </c>
      <c r="N639">
        <v>0</v>
      </c>
      <c r="O639" s="6">
        <v>0</v>
      </c>
      <c r="P639">
        <v>0</v>
      </c>
      <c r="Q639" s="8">
        <v>255.59</v>
      </c>
      <c r="R639" s="8">
        <v>243.92</v>
      </c>
      <c r="S639" s="9" t="s">
        <v>535</v>
      </c>
    </row>
    <row r="640" spans="1:19" hidden="1" x14ac:dyDescent="0.25">
      <c r="A640" t="s">
        <v>123</v>
      </c>
      <c r="B640" t="s">
        <v>75</v>
      </c>
      <c r="C640" t="s">
        <v>128</v>
      </c>
      <c r="D640" t="s">
        <v>590</v>
      </c>
      <c r="E640" t="s">
        <v>94</v>
      </c>
      <c r="F640" t="s">
        <v>94</v>
      </c>
      <c r="G640">
        <v>0</v>
      </c>
      <c r="H640">
        <v>5</v>
      </c>
      <c r="I640">
        <v>5</v>
      </c>
      <c r="J640">
        <v>5</v>
      </c>
      <c r="K640" s="6">
        <v>100</v>
      </c>
      <c r="L640" s="6">
        <v>0</v>
      </c>
      <c r="M640" s="6">
        <v>100</v>
      </c>
      <c r="N640">
        <v>0</v>
      </c>
      <c r="O640" s="6">
        <v>0</v>
      </c>
      <c r="P640">
        <v>0</v>
      </c>
      <c r="Q640" s="8">
        <v>249.13</v>
      </c>
      <c r="R640" s="8">
        <v>249.13</v>
      </c>
      <c r="S640" s="9" t="s">
        <v>538</v>
      </c>
    </row>
    <row r="641" spans="1:19" hidden="1" x14ac:dyDescent="0.25">
      <c r="A641" t="s">
        <v>123</v>
      </c>
      <c r="B641" t="s">
        <v>75</v>
      </c>
      <c r="C641" t="s">
        <v>128</v>
      </c>
      <c r="D641" t="s">
        <v>590</v>
      </c>
      <c r="E641" t="s">
        <v>94</v>
      </c>
      <c r="F641" t="s">
        <v>96</v>
      </c>
      <c r="G641">
        <v>4</v>
      </c>
      <c r="H641">
        <v>5</v>
      </c>
      <c r="I641">
        <v>5</v>
      </c>
      <c r="J641">
        <v>5</v>
      </c>
      <c r="K641" s="6">
        <v>99.46</v>
      </c>
      <c r="L641" s="6">
        <v>0</v>
      </c>
      <c r="M641" s="6">
        <v>99.46</v>
      </c>
      <c r="N641">
        <v>0</v>
      </c>
      <c r="O641" s="6">
        <v>0</v>
      </c>
      <c r="P641">
        <v>0</v>
      </c>
      <c r="Q641" s="8">
        <v>249.13</v>
      </c>
      <c r="R641" s="8">
        <v>247.8</v>
      </c>
      <c r="S641" s="9" t="s">
        <v>133</v>
      </c>
    </row>
    <row r="642" spans="1:19" hidden="1" x14ac:dyDescent="0.25">
      <c r="A642" t="s">
        <v>123</v>
      </c>
      <c r="B642" t="s">
        <v>75</v>
      </c>
      <c r="C642" t="s">
        <v>128</v>
      </c>
      <c r="D642" t="s">
        <v>590</v>
      </c>
      <c r="E642" t="s">
        <v>94</v>
      </c>
      <c r="F642" t="s">
        <v>6</v>
      </c>
      <c r="G642">
        <v>11</v>
      </c>
      <c r="H642">
        <v>5</v>
      </c>
      <c r="I642">
        <v>5</v>
      </c>
      <c r="J642">
        <v>5</v>
      </c>
      <c r="K642" s="6">
        <v>99.46</v>
      </c>
      <c r="L642" s="6">
        <v>0</v>
      </c>
      <c r="M642" s="6">
        <v>99.46</v>
      </c>
      <c r="N642">
        <v>0</v>
      </c>
      <c r="O642" s="6">
        <v>0</v>
      </c>
      <c r="P642">
        <v>0</v>
      </c>
      <c r="Q642" s="8">
        <v>249.13</v>
      </c>
      <c r="R642" s="8">
        <v>247.8</v>
      </c>
      <c r="S642" s="9" t="s">
        <v>133</v>
      </c>
    </row>
    <row r="643" spans="1:19" hidden="1" x14ac:dyDescent="0.25">
      <c r="A643" t="s">
        <v>123</v>
      </c>
      <c r="B643" t="s">
        <v>77</v>
      </c>
      <c r="C643" t="s">
        <v>124</v>
      </c>
      <c r="D643" t="s">
        <v>527</v>
      </c>
      <c r="E643" t="s">
        <v>91</v>
      </c>
      <c r="F643" t="s">
        <v>91</v>
      </c>
      <c r="G643">
        <v>0</v>
      </c>
      <c r="H643">
        <v>1</v>
      </c>
      <c r="I643">
        <v>1</v>
      </c>
      <c r="J643">
        <v>1</v>
      </c>
      <c r="K643" s="6">
        <v>100</v>
      </c>
      <c r="L643" s="6">
        <v>0</v>
      </c>
      <c r="M643" s="6">
        <v>100</v>
      </c>
      <c r="N643">
        <v>0</v>
      </c>
      <c r="O643" s="6">
        <v>0</v>
      </c>
      <c r="P643">
        <v>0</v>
      </c>
      <c r="Q643" s="8">
        <v>193.22</v>
      </c>
      <c r="R643" s="8">
        <v>193.22</v>
      </c>
      <c r="S643" s="9" t="s">
        <v>540</v>
      </c>
    </row>
    <row r="644" spans="1:19" hidden="1" x14ac:dyDescent="0.25">
      <c r="A644" t="s">
        <v>123</v>
      </c>
      <c r="B644" t="s">
        <v>77</v>
      </c>
      <c r="C644" t="s">
        <v>124</v>
      </c>
      <c r="D644" t="s">
        <v>527</v>
      </c>
      <c r="E644" t="s">
        <v>91</v>
      </c>
      <c r="F644" t="s">
        <v>94</v>
      </c>
      <c r="G644">
        <v>1</v>
      </c>
      <c r="H644">
        <v>1</v>
      </c>
      <c r="I644">
        <v>1</v>
      </c>
      <c r="J644">
        <v>1</v>
      </c>
      <c r="K644" s="6">
        <v>100</v>
      </c>
      <c r="L644" s="6">
        <v>0</v>
      </c>
      <c r="M644" s="6">
        <v>100</v>
      </c>
      <c r="N644">
        <v>0</v>
      </c>
      <c r="O644" s="6">
        <v>0</v>
      </c>
      <c r="P644">
        <v>0</v>
      </c>
      <c r="Q644" s="8">
        <v>193.22</v>
      </c>
      <c r="R644" s="8">
        <v>193.22</v>
      </c>
      <c r="S644" s="9" t="s">
        <v>541</v>
      </c>
    </row>
    <row r="645" spans="1:19" hidden="1" x14ac:dyDescent="0.25">
      <c r="A645" t="s">
        <v>123</v>
      </c>
      <c r="B645" t="s">
        <v>77</v>
      </c>
      <c r="C645" t="s">
        <v>124</v>
      </c>
      <c r="D645" t="s">
        <v>527</v>
      </c>
      <c r="E645" t="s">
        <v>91</v>
      </c>
      <c r="F645" t="s">
        <v>96</v>
      </c>
      <c r="G645">
        <v>5</v>
      </c>
      <c r="H645">
        <v>1</v>
      </c>
      <c r="I645">
        <v>1</v>
      </c>
      <c r="J645">
        <v>1</v>
      </c>
      <c r="K645" s="6">
        <v>100</v>
      </c>
      <c r="L645" s="6">
        <v>0</v>
      </c>
      <c r="M645" s="6">
        <v>100</v>
      </c>
      <c r="N645">
        <v>0</v>
      </c>
      <c r="O645" s="6">
        <v>0</v>
      </c>
      <c r="P645">
        <v>0</v>
      </c>
      <c r="Q645" s="8">
        <v>193.22</v>
      </c>
      <c r="R645" s="8">
        <v>193.22</v>
      </c>
      <c r="S645" s="9" t="s">
        <v>541</v>
      </c>
    </row>
    <row r="646" spans="1:19" hidden="1" x14ac:dyDescent="0.25">
      <c r="A646" t="s">
        <v>123</v>
      </c>
      <c r="B646" t="s">
        <v>77</v>
      </c>
      <c r="C646" t="s">
        <v>124</v>
      </c>
      <c r="D646" t="s">
        <v>527</v>
      </c>
      <c r="E646" t="s">
        <v>91</v>
      </c>
      <c r="F646" t="s">
        <v>6</v>
      </c>
      <c r="G646">
        <v>12</v>
      </c>
      <c r="H646">
        <v>1</v>
      </c>
      <c r="I646">
        <v>1</v>
      </c>
      <c r="J646">
        <v>1</v>
      </c>
      <c r="K646" s="6">
        <v>99.42</v>
      </c>
      <c r="L646" s="6">
        <v>-0.57999999999999996</v>
      </c>
      <c r="M646" s="6">
        <v>99.42</v>
      </c>
      <c r="N646">
        <v>0</v>
      </c>
      <c r="O646" s="6">
        <v>0</v>
      </c>
      <c r="P646">
        <v>0</v>
      </c>
      <c r="Q646" s="8">
        <v>193.22</v>
      </c>
      <c r="R646" s="8">
        <v>192.11</v>
      </c>
      <c r="S646" s="9" t="s">
        <v>541</v>
      </c>
    </row>
    <row r="647" spans="1:19" hidden="1" x14ac:dyDescent="0.25">
      <c r="A647" t="s">
        <v>123</v>
      </c>
      <c r="B647" t="s">
        <v>77</v>
      </c>
      <c r="C647" t="s">
        <v>124</v>
      </c>
      <c r="D647" t="s">
        <v>530</v>
      </c>
      <c r="E647" t="s">
        <v>91</v>
      </c>
      <c r="F647" t="s">
        <v>91</v>
      </c>
      <c r="G647">
        <v>0</v>
      </c>
      <c r="H647">
        <v>3</v>
      </c>
      <c r="I647">
        <v>3</v>
      </c>
      <c r="J647">
        <v>3</v>
      </c>
      <c r="K647" s="6">
        <v>100</v>
      </c>
      <c r="L647" s="6">
        <v>0</v>
      </c>
      <c r="M647" s="6">
        <v>100</v>
      </c>
      <c r="N647">
        <v>0</v>
      </c>
      <c r="O647" s="6">
        <v>0</v>
      </c>
      <c r="P647">
        <v>0</v>
      </c>
      <c r="Q647" s="8">
        <v>163.35</v>
      </c>
      <c r="R647" s="8">
        <v>163.35</v>
      </c>
      <c r="S647" s="9" t="s">
        <v>525</v>
      </c>
    </row>
    <row r="648" spans="1:19" hidden="1" x14ac:dyDescent="0.25">
      <c r="A648" t="s">
        <v>123</v>
      </c>
      <c r="B648" t="s">
        <v>77</v>
      </c>
      <c r="C648" t="s">
        <v>124</v>
      </c>
      <c r="D648" t="s">
        <v>530</v>
      </c>
      <c r="E648" t="s">
        <v>91</v>
      </c>
      <c r="F648" t="s">
        <v>94</v>
      </c>
      <c r="G648">
        <v>1</v>
      </c>
      <c r="H648">
        <v>3</v>
      </c>
      <c r="I648">
        <v>3</v>
      </c>
      <c r="J648">
        <v>3</v>
      </c>
      <c r="K648" s="6">
        <v>99.83</v>
      </c>
      <c r="L648" s="6">
        <v>0</v>
      </c>
      <c r="M648" s="6">
        <v>99.83</v>
      </c>
      <c r="N648">
        <v>0</v>
      </c>
      <c r="O648" s="6">
        <v>0</v>
      </c>
      <c r="P648">
        <v>0</v>
      </c>
      <c r="Q648" s="8">
        <v>163.35</v>
      </c>
      <c r="R648" s="8">
        <v>163.07</v>
      </c>
      <c r="S648" s="9" t="s">
        <v>526</v>
      </c>
    </row>
    <row r="649" spans="1:19" hidden="1" x14ac:dyDescent="0.25">
      <c r="A649" t="s">
        <v>123</v>
      </c>
      <c r="B649" t="s">
        <v>77</v>
      </c>
      <c r="C649" t="s">
        <v>124</v>
      </c>
      <c r="D649" t="s">
        <v>530</v>
      </c>
      <c r="E649" t="s">
        <v>91</v>
      </c>
      <c r="F649" t="s">
        <v>96</v>
      </c>
      <c r="G649">
        <v>5</v>
      </c>
      <c r="H649">
        <v>3</v>
      </c>
      <c r="I649">
        <v>3</v>
      </c>
      <c r="J649">
        <v>3</v>
      </c>
      <c r="K649" s="6">
        <v>99.83</v>
      </c>
      <c r="L649" s="6">
        <v>0</v>
      </c>
      <c r="M649" s="6">
        <v>99.83</v>
      </c>
      <c r="N649">
        <v>0</v>
      </c>
      <c r="O649" s="6">
        <v>0</v>
      </c>
      <c r="P649">
        <v>0</v>
      </c>
      <c r="Q649" s="8">
        <v>163.35</v>
      </c>
      <c r="R649" s="8">
        <v>163.07</v>
      </c>
      <c r="S649" s="9" t="s">
        <v>526</v>
      </c>
    </row>
    <row r="650" spans="1:19" hidden="1" x14ac:dyDescent="0.25">
      <c r="A650" t="s">
        <v>123</v>
      </c>
      <c r="B650" t="s">
        <v>77</v>
      </c>
      <c r="C650" t="s">
        <v>124</v>
      </c>
      <c r="D650" t="s">
        <v>530</v>
      </c>
      <c r="E650" t="s">
        <v>91</v>
      </c>
      <c r="F650" t="s">
        <v>6</v>
      </c>
      <c r="G650">
        <v>12</v>
      </c>
      <c r="H650">
        <v>3</v>
      </c>
      <c r="I650">
        <v>3</v>
      </c>
      <c r="J650">
        <v>3</v>
      </c>
      <c r="K650" s="6">
        <v>99.04</v>
      </c>
      <c r="L650" s="6">
        <v>-1.07</v>
      </c>
      <c r="M650" s="6">
        <v>99.04</v>
      </c>
      <c r="N650">
        <v>0</v>
      </c>
      <c r="O650" s="6">
        <v>0</v>
      </c>
      <c r="P650">
        <v>0</v>
      </c>
      <c r="Q650" s="8">
        <v>163.35</v>
      </c>
      <c r="R650" s="8">
        <v>161.78</v>
      </c>
      <c r="S650" s="9" t="s">
        <v>526</v>
      </c>
    </row>
    <row r="651" spans="1:19" hidden="1" x14ac:dyDescent="0.25">
      <c r="A651" t="s">
        <v>123</v>
      </c>
      <c r="B651" t="s">
        <v>77</v>
      </c>
      <c r="C651" t="s">
        <v>124</v>
      </c>
      <c r="D651" t="s">
        <v>531</v>
      </c>
      <c r="E651" t="s">
        <v>91</v>
      </c>
      <c r="F651" t="s">
        <v>91</v>
      </c>
      <c r="G651">
        <v>0</v>
      </c>
      <c r="H651">
        <v>2</v>
      </c>
      <c r="I651">
        <v>2</v>
      </c>
      <c r="J651">
        <v>2</v>
      </c>
      <c r="K651" s="6">
        <v>100</v>
      </c>
      <c r="L651" s="6">
        <v>0</v>
      </c>
      <c r="M651" s="6">
        <v>100</v>
      </c>
      <c r="N651">
        <v>0</v>
      </c>
      <c r="O651" s="6">
        <v>0</v>
      </c>
      <c r="P651">
        <v>0</v>
      </c>
      <c r="Q651" s="8">
        <v>190.64</v>
      </c>
      <c r="R651" s="8">
        <v>190.64</v>
      </c>
      <c r="S651" s="9" t="s">
        <v>536</v>
      </c>
    </row>
    <row r="652" spans="1:19" hidden="1" x14ac:dyDescent="0.25">
      <c r="A652" t="s">
        <v>123</v>
      </c>
      <c r="B652" t="s">
        <v>77</v>
      </c>
      <c r="C652" t="s">
        <v>124</v>
      </c>
      <c r="D652" t="s">
        <v>531</v>
      </c>
      <c r="E652" t="s">
        <v>91</v>
      </c>
      <c r="F652" t="s">
        <v>94</v>
      </c>
      <c r="G652">
        <v>1</v>
      </c>
      <c r="H652">
        <v>2</v>
      </c>
      <c r="I652">
        <v>2</v>
      </c>
      <c r="J652">
        <v>2</v>
      </c>
      <c r="K652" s="6">
        <v>100</v>
      </c>
      <c r="L652" s="6">
        <v>0</v>
      </c>
      <c r="M652" s="6">
        <v>100</v>
      </c>
      <c r="N652">
        <v>0</v>
      </c>
      <c r="O652" s="6">
        <v>0</v>
      </c>
      <c r="P652">
        <v>0</v>
      </c>
      <c r="Q652" s="8">
        <v>190.64</v>
      </c>
      <c r="R652" s="8">
        <v>190.64</v>
      </c>
      <c r="S652" s="9" t="s">
        <v>537</v>
      </c>
    </row>
    <row r="653" spans="1:19" hidden="1" x14ac:dyDescent="0.25">
      <c r="A653" t="s">
        <v>123</v>
      </c>
      <c r="B653" t="s">
        <v>77</v>
      </c>
      <c r="C653" t="s">
        <v>124</v>
      </c>
      <c r="D653" t="s">
        <v>531</v>
      </c>
      <c r="E653" t="s">
        <v>91</v>
      </c>
      <c r="F653" t="s">
        <v>96</v>
      </c>
      <c r="G653">
        <v>5</v>
      </c>
      <c r="H653">
        <v>2</v>
      </c>
      <c r="I653">
        <v>2</v>
      </c>
      <c r="J653">
        <v>2</v>
      </c>
      <c r="K653" s="6">
        <v>100</v>
      </c>
      <c r="L653" s="6">
        <v>0</v>
      </c>
      <c r="M653" s="6">
        <v>100</v>
      </c>
      <c r="N653">
        <v>0</v>
      </c>
      <c r="O653" s="6">
        <v>0</v>
      </c>
      <c r="P653">
        <v>0</v>
      </c>
      <c r="Q653" s="8">
        <v>190.64</v>
      </c>
      <c r="R653" s="8">
        <v>190.64</v>
      </c>
      <c r="S653" s="9" t="s">
        <v>537</v>
      </c>
    </row>
    <row r="654" spans="1:19" hidden="1" x14ac:dyDescent="0.25">
      <c r="A654" t="s">
        <v>123</v>
      </c>
      <c r="B654" t="s">
        <v>77</v>
      </c>
      <c r="C654" t="s">
        <v>124</v>
      </c>
      <c r="D654" t="s">
        <v>531</v>
      </c>
      <c r="E654" t="s">
        <v>91</v>
      </c>
      <c r="F654" t="s">
        <v>6</v>
      </c>
      <c r="G654">
        <v>12</v>
      </c>
      <c r="H654">
        <v>2</v>
      </c>
      <c r="I654">
        <v>2</v>
      </c>
      <c r="J654">
        <v>2</v>
      </c>
      <c r="K654" s="6">
        <v>99.74</v>
      </c>
      <c r="L654" s="6">
        <v>-0.28000000000000003</v>
      </c>
      <c r="M654" s="6">
        <v>99.74</v>
      </c>
      <c r="N654">
        <v>0</v>
      </c>
      <c r="O654" s="6">
        <v>0</v>
      </c>
      <c r="P654">
        <v>0</v>
      </c>
      <c r="Q654" s="8">
        <v>190.64</v>
      </c>
      <c r="R654" s="8">
        <v>190.14</v>
      </c>
      <c r="S654" s="9" t="s">
        <v>537</v>
      </c>
    </row>
    <row r="655" spans="1:19" hidden="1" x14ac:dyDescent="0.25">
      <c r="A655" t="s">
        <v>123</v>
      </c>
      <c r="B655" t="s">
        <v>77</v>
      </c>
      <c r="C655" t="s">
        <v>124</v>
      </c>
      <c r="D655" t="s">
        <v>532</v>
      </c>
      <c r="E655" t="s">
        <v>90</v>
      </c>
      <c r="F655" t="s">
        <v>90</v>
      </c>
      <c r="G655">
        <v>0</v>
      </c>
      <c r="H655">
        <v>1</v>
      </c>
      <c r="I655">
        <v>1</v>
      </c>
      <c r="J655">
        <v>1</v>
      </c>
      <c r="K655" s="6">
        <v>100</v>
      </c>
      <c r="L655" s="6">
        <v>0</v>
      </c>
      <c r="M655" s="6">
        <v>100</v>
      </c>
      <c r="N655">
        <v>0</v>
      </c>
      <c r="O655" s="6">
        <v>0</v>
      </c>
      <c r="P655">
        <v>0</v>
      </c>
      <c r="Q655" s="8">
        <v>189.11</v>
      </c>
      <c r="R655" s="8">
        <v>189.11</v>
      </c>
      <c r="S655" s="9" t="s">
        <v>540</v>
      </c>
    </row>
    <row r="656" spans="1:19" hidden="1" x14ac:dyDescent="0.25">
      <c r="A656" t="s">
        <v>123</v>
      </c>
      <c r="B656" t="s">
        <v>77</v>
      </c>
      <c r="C656" t="s">
        <v>124</v>
      </c>
      <c r="D656" t="s">
        <v>532</v>
      </c>
      <c r="E656" t="s">
        <v>90</v>
      </c>
      <c r="F656" t="s">
        <v>91</v>
      </c>
      <c r="G656">
        <v>1</v>
      </c>
      <c r="H656">
        <v>1</v>
      </c>
      <c r="I656">
        <v>3</v>
      </c>
      <c r="J656">
        <v>1</v>
      </c>
      <c r="K656" s="6">
        <v>100</v>
      </c>
      <c r="L656" s="6">
        <v>0</v>
      </c>
      <c r="M656" s="6">
        <v>90.03</v>
      </c>
      <c r="N656">
        <v>-9.9700000000000006</v>
      </c>
      <c r="O656" s="6">
        <v>0</v>
      </c>
      <c r="P656">
        <v>2</v>
      </c>
      <c r="Q656" s="8">
        <v>189.11</v>
      </c>
      <c r="R656" s="8">
        <v>189.11</v>
      </c>
      <c r="S656" s="9" t="s">
        <v>541</v>
      </c>
    </row>
    <row r="657" spans="1:19" hidden="1" x14ac:dyDescent="0.25">
      <c r="A657" t="s">
        <v>123</v>
      </c>
      <c r="B657" t="s">
        <v>77</v>
      </c>
      <c r="C657" t="s">
        <v>124</v>
      </c>
      <c r="D657" t="s">
        <v>532</v>
      </c>
      <c r="E657" t="s">
        <v>90</v>
      </c>
      <c r="F657" t="s">
        <v>94</v>
      </c>
      <c r="G657">
        <v>2</v>
      </c>
      <c r="H657">
        <v>1</v>
      </c>
      <c r="I657">
        <v>3</v>
      </c>
      <c r="J657">
        <v>1</v>
      </c>
      <c r="K657" s="6">
        <v>100</v>
      </c>
      <c r="L657" s="6">
        <v>0</v>
      </c>
      <c r="M657" s="6">
        <v>89.74</v>
      </c>
      <c r="N657">
        <v>-10.26</v>
      </c>
      <c r="O657" s="6">
        <v>0</v>
      </c>
      <c r="P657">
        <v>2</v>
      </c>
      <c r="Q657" s="8">
        <v>189.11</v>
      </c>
      <c r="R657" s="8">
        <v>189.11</v>
      </c>
      <c r="S657" s="9" t="s">
        <v>541</v>
      </c>
    </row>
    <row r="658" spans="1:19" hidden="1" x14ac:dyDescent="0.25">
      <c r="A658" t="s">
        <v>123</v>
      </c>
      <c r="B658" t="s">
        <v>77</v>
      </c>
      <c r="C658" t="s">
        <v>124</v>
      </c>
      <c r="D658" t="s">
        <v>532</v>
      </c>
      <c r="E658" t="s">
        <v>90</v>
      </c>
      <c r="F658" t="s">
        <v>96</v>
      </c>
      <c r="G658">
        <v>6</v>
      </c>
      <c r="H658">
        <v>1</v>
      </c>
      <c r="I658">
        <v>3</v>
      </c>
      <c r="J658">
        <v>1</v>
      </c>
      <c r="K658" s="6">
        <v>100</v>
      </c>
      <c r="L658" s="6">
        <v>0</v>
      </c>
      <c r="M658" s="6">
        <v>89.74</v>
      </c>
      <c r="N658">
        <v>-10.26</v>
      </c>
      <c r="O658" s="6">
        <v>0</v>
      </c>
      <c r="P658">
        <v>2</v>
      </c>
      <c r="Q658" s="8">
        <v>189.11</v>
      </c>
      <c r="R658" s="8">
        <v>189.11</v>
      </c>
      <c r="S658" s="9" t="s">
        <v>541</v>
      </c>
    </row>
    <row r="659" spans="1:19" hidden="1" x14ac:dyDescent="0.25">
      <c r="A659" t="s">
        <v>123</v>
      </c>
      <c r="B659" t="s">
        <v>77</v>
      </c>
      <c r="C659" t="s">
        <v>124</v>
      </c>
      <c r="D659" t="s">
        <v>532</v>
      </c>
      <c r="E659" t="s">
        <v>90</v>
      </c>
      <c r="F659" t="s">
        <v>6</v>
      </c>
      <c r="G659">
        <v>13</v>
      </c>
      <c r="H659">
        <v>1</v>
      </c>
      <c r="I659">
        <v>3</v>
      </c>
      <c r="J659">
        <v>1</v>
      </c>
      <c r="K659" s="6">
        <v>100</v>
      </c>
      <c r="L659" s="6">
        <v>0</v>
      </c>
      <c r="M659" s="6">
        <v>89</v>
      </c>
      <c r="N659">
        <v>-11</v>
      </c>
      <c r="O659" s="6">
        <v>0</v>
      </c>
      <c r="P659">
        <v>2</v>
      </c>
      <c r="Q659" s="8">
        <v>189.11</v>
      </c>
      <c r="R659" s="8">
        <v>189.11</v>
      </c>
      <c r="S659" s="9" t="s">
        <v>541</v>
      </c>
    </row>
    <row r="660" spans="1:19" hidden="1" x14ac:dyDescent="0.25">
      <c r="A660" t="s">
        <v>123</v>
      </c>
      <c r="B660" t="s">
        <v>77</v>
      </c>
      <c r="C660" t="s">
        <v>124</v>
      </c>
      <c r="D660" t="s">
        <v>533</v>
      </c>
      <c r="E660" t="s">
        <v>94</v>
      </c>
      <c r="F660" t="s">
        <v>94</v>
      </c>
      <c r="G660">
        <v>0</v>
      </c>
      <c r="H660">
        <v>1</v>
      </c>
      <c r="I660">
        <v>1</v>
      </c>
      <c r="J660">
        <v>1</v>
      </c>
      <c r="K660" s="6">
        <v>100</v>
      </c>
      <c r="L660" s="6">
        <v>0</v>
      </c>
      <c r="M660" s="6">
        <v>100</v>
      </c>
      <c r="N660">
        <v>0</v>
      </c>
      <c r="O660" s="6">
        <v>0</v>
      </c>
      <c r="P660">
        <v>0</v>
      </c>
      <c r="Q660" s="8">
        <v>197.38</v>
      </c>
      <c r="R660" s="8">
        <v>197.38</v>
      </c>
      <c r="S660" s="9" t="s">
        <v>540</v>
      </c>
    </row>
    <row r="661" spans="1:19" hidden="1" x14ac:dyDescent="0.25">
      <c r="A661" t="s">
        <v>123</v>
      </c>
      <c r="B661" t="s">
        <v>77</v>
      </c>
      <c r="C661" t="s">
        <v>124</v>
      </c>
      <c r="D661" t="s">
        <v>533</v>
      </c>
      <c r="E661" t="s">
        <v>94</v>
      </c>
      <c r="F661" t="s">
        <v>96</v>
      </c>
      <c r="G661">
        <v>4</v>
      </c>
      <c r="H661">
        <v>1</v>
      </c>
      <c r="I661">
        <v>1</v>
      </c>
      <c r="J661">
        <v>1</v>
      </c>
      <c r="K661" s="6">
        <v>100</v>
      </c>
      <c r="L661" s="6">
        <v>0</v>
      </c>
      <c r="M661" s="6">
        <v>100</v>
      </c>
      <c r="N661">
        <v>0</v>
      </c>
      <c r="O661" s="6">
        <v>0</v>
      </c>
      <c r="P661">
        <v>0</v>
      </c>
      <c r="Q661" s="8">
        <v>197.38</v>
      </c>
      <c r="R661" s="8">
        <v>197.38</v>
      </c>
      <c r="S661" s="9" t="s">
        <v>541</v>
      </c>
    </row>
    <row r="662" spans="1:19" hidden="1" x14ac:dyDescent="0.25">
      <c r="A662" t="s">
        <v>123</v>
      </c>
      <c r="B662" t="s">
        <v>77</v>
      </c>
      <c r="C662" t="s">
        <v>124</v>
      </c>
      <c r="D662" t="s">
        <v>533</v>
      </c>
      <c r="E662" t="s">
        <v>94</v>
      </c>
      <c r="F662" t="s">
        <v>6</v>
      </c>
      <c r="G662">
        <v>11</v>
      </c>
      <c r="H662">
        <v>1</v>
      </c>
      <c r="I662">
        <v>1</v>
      </c>
      <c r="J662">
        <v>1</v>
      </c>
      <c r="K662" s="6">
        <v>98.73</v>
      </c>
      <c r="L662" s="6">
        <v>-1.27</v>
      </c>
      <c r="M662" s="6">
        <v>98.73</v>
      </c>
      <c r="N662">
        <v>0</v>
      </c>
      <c r="O662" s="6">
        <v>0</v>
      </c>
      <c r="P662">
        <v>0</v>
      </c>
      <c r="Q662" s="8">
        <v>197.38</v>
      </c>
      <c r="R662" s="8">
        <v>194.88</v>
      </c>
      <c r="S662" s="9" t="s">
        <v>541</v>
      </c>
    </row>
    <row r="663" spans="1:19" hidden="1" x14ac:dyDescent="0.25">
      <c r="A663" t="s">
        <v>123</v>
      </c>
      <c r="B663" t="s">
        <v>77</v>
      </c>
      <c r="C663" t="s">
        <v>126</v>
      </c>
      <c r="D663" t="s">
        <v>527</v>
      </c>
      <c r="E663" t="s">
        <v>91</v>
      </c>
      <c r="F663" t="s">
        <v>91</v>
      </c>
      <c r="G663">
        <v>0</v>
      </c>
      <c r="H663">
        <v>1</v>
      </c>
      <c r="I663">
        <v>1</v>
      </c>
      <c r="J663">
        <v>1</v>
      </c>
      <c r="K663" s="6">
        <v>100</v>
      </c>
      <c r="L663" s="6">
        <v>0</v>
      </c>
      <c r="M663" s="6">
        <v>100</v>
      </c>
      <c r="N663">
        <v>0</v>
      </c>
      <c r="O663" s="6">
        <v>0</v>
      </c>
      <c r="P663">
        <v>0</v>
      </c>
      <c r="Q663" s="8">
        <v>129.88999999999999</v>
      </c>
      <c r="R663" s="8">
        <v>129.88999999999999</v>
      </c>
      <c r="S663" s="9" t="s">
        <v>540</v>
      </c>
    </row>
    <row r="664" spans="1:19" hidden="1" x14ac:dyDescent="0.25">
      <c r="A664" t="s">
        <v>123</v>
      </c>
      <c r="B664" t="s">
        <v>77</v>
      </c>
      <c r="C664" t="s">
        <v>126</v>
      </c>
      <c r="D664" t="s">
        <v>527</v>
      </c>
      <c r="E664" t="s">
        <v>91</v>
      </c>
      <c r="F664" t="s">
        <v>94</v>
      </c>
      <c r="G664">
        <v>1</v>
      </c>
      <c r="H664">
        <v>1</v>
      </c>
      <c r="I664">
        <v>1</v>
      </c>
      <c r="J664">
        <v>1</v>
      </c>
      <c r="K664" s="6">
        <v>100</v>
      </c>
      <c r="L664" s="6">
        <v>0</v>
      </c>
      <c r="M664" s="6">
        <v>100</v>
      </c>
      <c r="N664">
        <v>0</v>
      </c>
      <c r="O664" s="6">
        <v>0</v>
      </c>
      <c r="P664">
        <v>0</v>
      </c>
      <c r="Q664" s="8">
        <v>129.88999999999999</v>
      </c>
      <c r="R664" s="8">
        <v>129.88999999999999</v>
      </c>
      <c r="S664" s="9" t="s">
        <v>541</v>
      </c>
    </row>
    <row r="665" spans="1:19" hidden="1" x14ac:dyDescent="0.25">
      <c r="A665" t="s">
        <v>123</v>
      </c>
      <c r="B665" t="s">
        <v>77</v>
      </c>
      <c r="C665" t="s">
        <v>126</v>
      </c>
      <c r="D665" t="s">
        <v>527</v>
      </c>
      <c r="E665" t="s">
        <v>91</v>
      </c>
      <c r="F665" t="s">
        <v>96</v>
      </c>
      <c r="G665">
        <v>5</v>
      </c>
      <c r="H665">
        <v>1</v>
      </c>
      <c r="I665">
        <v>1</v>
      </c>
      <c r="J665">
        <v>1</v>
      </c>
      <c r="K665" s="6">
        <v>100</v>
      </c>
      <c r="L665" s="6">
        <v>0</v>
      </c>
      <c r="M665" s="6">
        <v>100</v>
      </c>
      <c r="N665">
        <v>0</v>
      </c>
      <c r="O665" s="6">
        <v>0</v>
      </c>
      <c r="P665">
        <v>0</v>
      </c>
      <c r="Q665" s="8">
        <v>129.88999999999999</v>
      </c>
      <c r="R665" s="8">
        <v>129.88999999999999</v>
      </c>
      <c r="S665" s="9" t="s">
        <v>541</v>
      </c>
    </row>
    <row r="666" spans="1:19" hidden="1" x14ac:dyDescent="0.25">
      <c r="A666" t="s">
        <v>123</v>
      </c>
      <c r="B666" t="s">
        <v>77</v>
      </c>
      <c r="C666" t="s">
        <v>126</v>
      </c>
      <c r="D666" t="s">
        <v>527</v>
      </c>
      <c r="E666" t="s">
        <v>91</v>
      </c>
      <c r="F666" t="s">
        <v>6</v>
      </c>
      <c r="G666">
        <v>12</v>
      </c>
      <c r="H666">
        <v>1</v>
      </c>
      <c r="I666">
        <v>1</v>
      </c>
      <c r="J666">
        <v>1</v>
      </c>
      <c r="K666" s="6">
        <v>100.86</v>
      </c>
      <c r="L666" s="6">
        <v>0.86</v>
      </c>
      <c r="M666" s="6">
        <v>100.86</v>
      </c>
      <c r="N666">
        <v>0</v>
      </c>
      <c r="O666" s="6">
        <v>0</v>
      </c>
      <c r="P666">
        <v>0</v>
      </c>
      <c r="Q666" s="8">
        <v>129.88999999999999</v>
      </c>
      <c r="R666" s="8">
        <v>131</v>
      </c>
      <c r="S666" s="9" t="s">
        <v>541</v>
      </c>
    </row>
    <row r="667" spans="1:19" hidden="1" x14ac:dyDescent="0.25">
      <c r="A667" t="s">
        <v>123</v>
      </c>
      <c r="B667" t="s">
        <v>77</v>
      </c>
      <c r="C667" t="s">
        <v>126</v>
      </c>
      <c r="D667" t="s">
        <v>530</v>
      </c>
      <c r="E667" t="s">
        <v>91</v>
      </c>
      <c r="F667" t="s">
        <v>91</v>
      </c>
      <c r="G667">
        <v>0</v>
      </c>
      <c r="H667">
        <v>3</v>
      </c>
      <c r="I667">
        <v>3</v>
      </c>
      <c r="J667">
        <v>3</v>
      </c>
      <c r="K667" s="6">
        <v>100</v>
      </c>
      <c r="L667" s="6">
        <v>0</v>
      </c>
      <c r="M667" s="6">
        <v>100</v>
      </c>
      <c r="N667">
        <v>0</v>
      </c>
      <c r="O667" s="6">
        <v>0</v>
      </c>
      <c r="P667">
        <v>0</v>
      </c>
      <c r="Q667" s="8">
        <v>116.41</v>
      </c>
      <c r="R667" s="8">
        <v>116.41</v>
      </c>
      <c r="S667" s="9" t="s">
        <v>525</v>
      </c>
    </row>
    <row r="668" spans="1:19" hidden="1" x14ac:dyDescent="0.25">
      <c r="A668" t="s">
        <v>123</v>
      </c>
      <c r="B668" t="s">
        <v>77</v>
      </c>
      <c r="C668" t="s">
        <v>126</v>
      </c>
      <c r="D668" t="s">
        <v>530</v>
      </c>
      <c r="E668" t="s">
        <v>91</v>
      </c>
      <c r="F668" t="s">
        <v>94</v>
      </c>
      <c r="G668">
        <v>1</v>
      </c>
      <c r="H668">
        <v>3</v>
      </c>
      <c r="I668">
        <v>3</v>
      </c>
      <c r="J668">
        <v>3</v>
      </c>
      <c r="K668" s="6">
        <v>99.76</v>
      </c>
      <c r="L668" s="6">
        <v>0</v>
      </c>
      <c r="M668" s="6">
        <v>99.76</v>
      </c>
      <c r="N668">
        <v>0</v>
      </c>
      <c r="O668" s="6">
        <v>0</v>
      </c>
      <c r="P668">
        <v>0</v>
      </c>
      <c r="Q668" s="8">
        <v>116.41</v>
      </c>
      <c r="R668" s="8">
        <v>116.13</v>
      </c>
      <c r="S668" s="9" t="s">
        <v>526</v>
      </c>
    </row>
    <row r="669" spans="1:19" hidden="1" x14ac:dyDescent="0.25">
      <c r="A669" t="s">
        <v>123</v>
      </c>
      <c r="B669" t="s">
        <v>77</v>
      </c>
      <c r="C669" t="s">
        <v>126</v>
      </c>
      <c r="D669" t="s">
        <v>530</v>
      </c>
      <c r="E669" t="s">
        <v>91</v>
      </c>
      <c r="F669" t="s">
        <v>96</v>
      </c>
      <c r="G669">
        <v>5</v>
      </c>
      <c r="H669">
        <v>3</v>
      </c>
      <c r="I669">
        <v>3</v>
      </c>
      <c r="J669">
        <v>3</v>
      </c>
      <c r="K669" s="6">
        <v>99.76</v>
      </c>
      <c r="L669" s="6">
        <v>0</v>
      </c>
      <c r="M669" s="6">
        <v>99.76</v>
      </c>
      <c r="N669">
        <v>0</v>
      </c>
      <c r="O669" s="6">
        <v>0</v>
      </c>
      <c r="P669">
        <v>0</v>
      </c>
      <c r="Q669" s="8">
        <v>116.41</v>
      </c>
      <c r="R669" s="8">
        <v>116.13</v>
      </c>
      <c r="S669" s="9" t="s">
        <v>526</v>
      </c>
    </row>
    <row r="670" spans="1:19" hidden="1" x14ac:dyDescent="0.25">
      <c r="A670" t="s">
        <v>123</v>
      </c>
      <c r="B670" t="s">
        <v>77</v>
      </c>
      <c r="C670" t="s">
        <v>126</v>
      </c>
      <c r="D670" t="s">
        <v>530</v>
      </c>
      <c r="E670" t="s">
        <v>91</v>
      </c>
      <c r="F670" t="s">
        <v>6</v>
      </c>
      <c r="G670">
        <v>12</v>
      </c>
      <c r="H670">
        <v>3</v>
      </c>
      <c r="I670">
        <v>3</v>
      </c>
      <c r="J670">
        <v>3</v>
      </c>
      <c r="K670" s="6">
        <v>99.2</v>
      </c>
      <c r="L670" s="6">
        <v>-0.84</v>
      </c>
      <c r="M670" s="6">
        <v>99.2</v>
      </c>
      <c r="N670">
        <v>0</v>
      </c>
      <c r="O670" s="6">
        <v>0</v>
      </c>
      <c r="P670">
        <v>0</v>
      </c>
      <c r="Q670" s="8">
        <v>116.41</v>
      </c>
      <c r="R670" s="8">
        <v>115.48</v>
      </c>
      <c r="S670" s="9" t="s">
        <v>526</v>
      </c>
    </row>
    <row r="671" spans="1:19" hidden="1" x14ac:dyDescent="0.25">
      <c r="A671" t="s">
        <v>123</v>
      </c>
      <c r="B671" t="s">
        <v>77</v>
      </c>
      <c r="C671" t="s">
        <v>126</v>
      </c>
      <c r="D671" t="s">
        <v>531</v>
      </c>
      <c r="E671" t="s">
        <v>91</v>
      </c>
      <c r="F671" t="s">
        <v>91</v>
      </c>
      <c r="G671">
        <v>0</v>
      </c>
      <c r="H671">
        <v>2</v>
      </c>
      <c r="I671">
        <v>2</v>
      </c>
      <c r="J671">
        <v>2</v>
      </c>
      <c r="K671" s="6">
        <v>100</v>
      </c>
      <c r="L671" s="6">
        <v>0</v>
      </c>
      <c r="M671" s="6">
        <v>100</v>
      </c>
      <c r="N671">
        <v>0</v>
      </c>
      <c r="O671" s="6">
        <v>0</v>
      </c>
      <c r="P671">
        <v>0</v>
      </c>
      <c r="Q671" s="8">
        <v>131.41999999999999</v>
      </c>
      <c r="R671" s="8">
        <v>131.41999999999999</v>
      </c>
      <c r="S671" s="9" t="s">
        <v>536</v>
      </c>
    </row>
    <row r="672" spans="1:19" hidden="1" x14ac:dyDescent="0.25">
      <c r="A672" t="s">
        <v>123</v>
      </c>
      <c r="B672" t="s">
        <v>77</v>
      </c>
      <c r="C672" t="s">
        <v>126</v>
      </c>
      <c r="D672" t="s">
        <v>531</v>
      </c>
      <c r="E672" t="s">
        <v>91</v>
      </c>
      <c r="F672" t="s">
        <v>94</v>
      </c>
      <c r="G672">
        <v>1</v>
      </c>
      <c r="H672">
        <v>2</v>
      </c>
      <c r="I672">
        <v>2</v>
      </c>
      <c r="J672">
        <v>2</v>
      </c>
      <c r="K672" s="6">
        <v>100</v>
      </c>
      <c r="L672" s="6">
        <v>0</v>
      </c>
      <c r="M672" s="6">
        <v>100</v>
      </c>
      <c r="N672">
        <v>0</v>
      </c>
      <c r="O672" s="6">
        <v>0</v>
      </c>
      <c r="P672">
        <v>0</v>
      </c>
      <c r="Q672" s="8">
        <v>131.41999999999999</v>
      </c>
      <c r="R672" s="8">
        <v>131.41999999999999</v>
      </c>
      <c r="S672" s="9" t="s">
        <v>537</v>
      </c>
    </row>
    <row r="673" spans="1:19" hidden="1" x14ac:dyDescent="0.25">
      <c r="A673" t="s">
        <v>123</v>
      </c>
      <c r="B673" t="s">
        <v>77</v>
      </c>
      <c r="C673" t="s">
        <v>126</v>
      </c>
      <c r="D673" t="s">
        <v>531</v>
      </c>
      <c r="E673" t="s">
        <v>91</v>
      </c>
      <c r="F673" t="s">
        <v>96</v>
      </c>
      <c r="G673">
        <v>5</v>
      </c>
      <c r="H673">
        <v>2</v>
      </c>
      <c r="I673">
        <v>2</v>
      </c>
      <c r="J673">
        <v>2</v>
      </c>
      <c r="K673" s="6">
        <v>100</v>
      </c>
      <c r="L673" s="6">
        <v>0</v>
      </c>
      <c r="M673" s="6">
        <v>100</v>
      </c>
      <c r="N673">
        <v>0</v>
      </c>
      <c r="O673" s="6">
        <v>0</v>
      </c>
      <c r="P673">
        <v>0</v>
      </c>
      <c r="Q673" s="8">
        <v>131.41999999999999</v>
      </c>
      <c r="R673" s="8">
        <v>131.41999999999999</v>
      </c>
      <c r="S673" s="9" t="s">
        <v>537</v>
      </c>
    </row>
    <row r="674" spans="1:19" hidden="1" x14ac:dyDescent="0.25">
      <c r="A674" t="s">
        <v>123</v>
      </c>
      <c r="B674" t="s">
        <v>77</v>
      </c>
      <c r="C674" t="s">
        <v>126</v>
      </c>
      <c r="D674" t="s">
        <v>531</v>
      </c>
      <c r="E674" t="s">
        <v>91</v>
      </c>
      <c r="F674" t="s">
        <v>6</v>
      </c>
      <c r="G674">
        <v>12</v>
      </c>
      <c r="H674">
        <v>2</v>
      </c>
      <c r="I674">
        <v>2</v>
      </c>
      <c r="J674">
        <v>2</v>
      </c>
      <c r="K674" s="6">
        <v>99.62</v>
      </c>
      <c r="L674" s="6">
        <v>-0.41</v>
      </c>
      <c r="M674" s="6">
        <v>99.62</v>
      </c>
      <c r="N674">
        <v>0</v>
      </c>
      <c r="O674" s="6">
        <v>0</v>
      </c>
      <c r="P674">
        <v>0</v>
      </c>
      <c r="Q674" s="8">
        <v>131.41999999999999</v>
      </c>
      <c r="R674" s="8">
        <v>130.91999999999999</v>
      </c>
      <c r="S674" s="9" t="s">
        <v>537</v>
      </c>
    </row>
    <row r="675" spans="1:19" hidden="1" x14ac:dyDescent="0.25">
      <c r="A675" t="s">
        <v>123</v>
      </c>
      <c r="B675" t="s">
        <v>77</v>
      </c>
      <c r="C675" t="s">
        <v>126</v>
      </c>
      <c r="D675" t="s">
        <v>532</v>
      </c>
      <c r="E675" t="s">
        <v>90</v>
      </c>
      <c r="F675" t="s">
        <v>90</v>
      </c>
      <c r="G675">
        <v>0</v>
      </c>
      <c r="H675">
        <v>1</v>
      </c>
      <c r="I675">
        <v>1</v>
      </c>
      <c r="J675">
        <v>1</v>
      </c>
      <c r="K675" s="6">
        <v>100</v>
      </c>
      <c r="L675" s="6">
        <v>0</v>
      </c>
      <c r="M675" s="6">
        <v>100</v>
      </c>
      <c r="N675">
        <v>0</v>
      </c>
      <c r="O675" s="6">
        <v>0</v>
      </c>
      <c r="P675">
        <v>0</v>
      </c>
      <c r="Q675" s="8">
        <v>126.33</v>
      </c>
      <c r="R675" s="8">
        <v>126.33</v>
      </c>
      <c r="S675" s="9" t="s">
        <v>540</v>
      </c>
    </row>
    <row r="676" spans="1:19" hidden="1" x14ac:dyDescent="0.25">
      <c r="A676" t="s">
        <v>123</v>
      </c>
      <c r="B676" t="s">
        <v>77</v>
      </c>
      <c r="C676" t="s">
        <v>126</v>
      </c>
      <c r="D676" t="s">
        <v>532</v>
      </c>
      <c r="E676" t="s">
        <v>90</v>
      </c>
      <c r="F676" t="s">
        <v>91</v>
      </c>
      <c r="G676">
        <v>1</v>
      </c>
      <c r="H676">
        <v>1</v>
      </c>
      <c r="I676">
        <v>3</v>
      </c>
      <c r="J676">
        <v>1</v>
      </c>
      <c r="K676" s="6">
        <v>100</v>
      </c>
      <c r="L676" s="6">
        <v>0</v>
      </c>
      <c r="M676" s="6">
        <v>92.26</v>
      </c>
      <c r="N676">
        <v>-7.74</v>
      </c>
      <c r="O676" s="6">
        <v>0</v>
      </c>
      <c r="P676">
        <v>2</v>
      </c>
      <c r="Q676" s="8">
        <v>126.33</v>
      </c>
      <c r="R676" s="8">
        <v>126.33</v>
      </c>
      <c r="S676" s="9" t="s">
        <v>541</v>
      </c>
    </row>
    <row r="677" spans="1:19" hidden="1" x14ac:dyDescent="0.25">
      <c r="A677" t="s">
        <v>123</v>
      </c>
      <c r="B677" t="s">
        <v>77</v>
      </c>
      <c r="C677" t="s">
        <v>126</v>
      </c>
      <c r="D677" t="s">
        <v>532</v>
      </c>
      <c r="E677" t="s">
        <v>90</v>
      </c>
      <c r="F677" t="s">
        <v>94</v>
      </c>
      <c r="G677">
        <v>2</v>
      </c>
      <c r="H677">
        <v>1</v>
      </c>
      <c r="I677">
        <v>3</v>
      </c>
      <c r="J677">
        <v>1</v>
      </c>
      <c r="K677" s="6">
        <v>100</v>
      </c>
      <c r="L677" s="6">
        <v>0</v>
      </c>
      <c r="M677" s="6">
        <v>92.26</v>
      </c>
      <c r="N677">
        <v>-7.74</v>
      </c>
      <c r="O677" s="6">
        <v>0</v>
      </c>
      <c r="P677">
        <v>2</v>
      </c>
      <c r="Q677" s="8">
        <v>126.33</v>
      </c>
      <c r="R677" s="8">
        <v>126.33</v>
      </c>
      <c r="S677" s="9" t="s">
        <v>541</v>
      </c>
    </row>
    <row r="678" spans="1:19" hidden="1" x14ac:dyDescent="0.25">
      <c r="A678" t="s">
        <v>123</v>
      </c>
      <c r="B678" t="s">
        <v>77</v>
      </c>
      <c r="C678" t="s">
        <v>126</v>
      </c>
      <c r="D678" t="s">
        <v>532</v>
      </c>
      <c r="E678" t="s">
        <v>90</v>
      </c>
      <c r="F678" t="s">
        <v>96</v>
      </c>
      <c r="G678">
        <v>6</v>
      </c>
      <c r="H678">
        <v>1</v>
      </c>
      <c r="I678">
        <v>3</v>
      </c>
      <c r="J678">
        <v>1</v>
      </c>
      <c r="K678" s="6">
        <v>100</v>
      </c>
      <c r="L678" s="6">
        <v>0</v>
      </c>
      <c r="M678" s="6">
        <v>92.26</v>
      </c>
      <c r="N678">
        <v>-7.74</v>
      </c>
      <c r="O678" s="6">
        <v>0</v>
      </c>
      <c r="P678">
        <v>2</v>
      </c>
      <c r="Q678" s="8">
        <v>126.33</v>
      </c>
      <c r="R678" s="8">
        <v>126.33</v>
      </c>
      <c r="S678" s="9" t="s">
        <v>541</v>
      </c>
    </row>
    <row r="679" spans="1:19" hidden="1" x14ac:dyDescent="0.25">
      <c r="A679" t="s">
        <v>123</v>
      </c>
      <c r="B679" t="s">
        <v>77</v>
      </c>
      <c r="C679" t="s">
        <v>126</v>
      </c>
      <c r="D679" t="s">
        <v>532</v>
      </c>
      <c r="E679" t="s">
        <v>90</v>
      </c>
      <c r="F679" t="s">
        <v>6</v>
      </c>
      <c r="G679">
        <v>13</v>
      </c>
      <c r="H679">
        <v>1</v>
      </c>
      <c r="I679">
        <v>3</v>
      </c>
      <c r="J679">
        <v>1</v>
      </c>
      <c r="K679" s="6">
        <v>99.12</v>
      </c>
      <c r="L679" s="6">
        <v>-0.88</v>
      </c>
      <c r="M679" s="6">
        <v>91.75</v>
      </c>
      <c r="N679">
        <v>-7.37</v>
      </c>
      <c r="O679" s="6">
        <v>0</v>
      </c>
      <c r="P679">
        <v>2</v>
      </c>
      <c r="Q679" s="8">
        <v>126.33</v>
      </c>
      <c r="R679" s="8">
        <v>125.22</v>
      </c>
      <c r="S679" s="9" t="s">
        <v>541</v>
      </c>
    </row>
    <row r="680" spans="1:19" hidden="1" x14ac:dyDescent="0.25">
      <c r="A680" t="s">
        <v>123</v>
      </c>
      <c r="B680" t="s">
        <v>77</v>
      </c>
      <c r="C680" t="s">
        <v>126</v>
      </c>
      <c r="D680" t="s">
        <v>533</v>
      </c>
      <c r="E680" t="s">
        <v>94</v>
      </c>
      <c r="F680" t="s">
        <v>94</v>
      </c>
      <c r="G680">
        <v>0</v>
      </c>
      <c r="H680">
        <v>1</v>
      </c>
      <c r="I680">
        <v>1</v>
      </c>
      <c r="J680">
        <v>1</v>
      </c>
      <c r="K680" s="6">
        <v>100</v>
      </c>
      <c r="L680" s="6">
        <v>0</v>
      </c>
      <c r="M680" s="6">
        <v>100</v>
      </c>
      <c r="N680">
        <v>0</v>
      </c>
      <c r="O680" s="6">
        <v>0</v>
      </c>
      <c r="P680">
        <v>0</v>
      </c>
      <c r="Q680" s="8">
        <v>136.12</v>
      </c>
      <c r="R680" s="8">
        <v>136.12</v>
      </c>
      <c r="S680" s="9" t="s">
        <v>540</v>
      </c>
    </row>
    <row r="681" spans="1:19" hidden="1" x14ac:dyDescent="0.25">
      <c r="A681" t="s">
        <v>123</v>
      </c>
      <c r="B681" t="s">
        <v>77</v>
      </c>
      <c r="C681" t="s">
        <v>126</v>
      </c>
      <c r="D681" t="s">
        <v>533</v>
      </c>
      <c r="E681" t="s">
        <v>94</v>
      </c>
      <c r="F681" t="s">
        <v>96</v>
      </c>
      <c r="G681">
        <v>4</v>
      </c>
      <c r="H681">
        <v>1</v>
      </c>
      <c r="I681">
        <v>1</v>
      </c>
      <c r="J681">
        <v>1</v>
      </c>
      <c r="K681" s="6">
        <v>100</v>
      </c>
      <c r="L681" s="6">
        <v>0</v>
      </c>
      <c r="M681" s="6">
        <v>100</v>
      </c>
      <c r="N681">
        <v>0</v>
      </c>
      <c r="O681" s="6">
        <v>0</v>
      </c>
      <c r="P681">
        <v>0</v>
      </c>
      <c r="Q681" s="8">
        <v>136.12</v>
      </c>
      <c r="R681" s="8">
        <v>136.12</v>
      </c>
      <c r="S681" s="9" t="s">
        <v>541</v>
      </c>
    </row>
    <row r="682" spans="1:19" hidden="1" x14ac:dyDescent="0.25">
      <c r="A682" t="s">
        <v>123</v>
      </c>
      <c r="B682" t="s">
        <v>77</v>
      </c>
      <c r="C682" t="s">
        <v>126</v>
      </c>
      <c r="D682" t="s">
        <v>533</v>
      </c>
      <c r="E682" t="s">
        <v>94</v>
      </c>
      <c r="F682" t="s">
        <v>6</v>
      </c>
      <c r="G682">
        <v>11</v>
      </c>
      <c r="H682">
        <v>1</v>
      </c>
      <c r="I682">
        <v>1</v>
      </c>
      <c r="J682">
        <v>1</v>
      </c>
      <c r="K682" s="6">
        <v>98.16</v>
      </c>
      <c r="L682" s="6">
        <v>-1.84</v>
      </c>
      <c r="M682" s="6">
        <v>98.16</v>
      </c>
      <c r="N682">
        <v>0</v>
      </c>
      <c r="O682" s="6">
        <v>0</v>
      </c>
      <c r="P682">
        <v>0</v>
      </c>
      <c r="Q682" s="8">
        <v>136.12</v>
      </c>
      <c r="R682" s="8">
        <v>133.62</v>
      </c>
      <c r="S682" s="9" t="s">
        <v>541</v>
      </c>
    </row>
    <row r="683" spans="1:19" hidden="1" x14ac:dyDescent="0.25">
      <c r="A683" t="s">
        <v>123</v>
      </c>
      <c r="B683" t="s">
        <v>77</v>
      </c>
      <c r="C683" t="s">
        <v>127</v>
      </c>
      <c r="D683" t="s">
        <v>527</v>
      </c>
      <c r="E683" t="s">
        <v>91</v>
      </c>
      <c r="F683" t="s">
        <v>91</v>
      </c>
      <c r="G683">
        <v>0</v>
      </c>
      <c r="H683">
        <v>1</v>
      </c>
      <c r="I683">
        <v>1</v>
      </c>
      <c r="J683">
        <v>1</v>
      </c>
      <c r="K683" s="6">
        <v>100</v>
      </c>
      <c r="L683" s="6">
        <v>0</v>
      </c>
      <c r="M683" s="6">
        <v>100</v>
      </c>
      <c r="N683">
        <v>0</v>
      </c>
      <c r="O683" s="6">
        <v>0</v>
      </c>
      <c r="P683">
        <v>0</v>
      </c>
      <c r="Q683" s="8">
        <v>157.66999999999999</v>
      </c>
      <c r="R683" s="8">
        <v>157.66999999999999</v>
      </c>
      <c r="S683" s="9" t="s">
        <v>540</v>
      </c>
    </row>
    <row r="684" spans="1:19" hidden="1" x14ac:dyDescent="0.25">
      <c r="A684" t="s">
        <v>123</v>
      </c>
      <c r="B684" t="s">
        <v>77</v>
      </c>
      <c r="C684" t="s">
        <v>127</v>
      </c>
      <c r="D684" t="s">
        <v>527</v>
      </c>
      <c r="E684" t="s">
        <v>91</v>
      </c>
      <c r="F684" t="s">
        <v>94</v>
      </c>
      <c r="G684">
        <v>1</v>
      </c>
      <c r="H684">
        <v>1</v>
      </c>
      <c r="I684">
        <v>1</v>
      </c>
      <c r="J684">
        <v>1</v>
      </c>
      <c r="K684" s="6">
        <v>100</v>
      </c>
      <c r="L684" s="6">
        <v>0</v>
      </c>
      <c r="M684" s="6">
        <v>100</v>
      </c>
      <c r="N684">
        <v>0</v>
      </c>
      <c r="O684" s="6">
        <v>0</v>
      </c>
      <c r="P684">
        <v>0</v>
      </c>
      <c r="Q684" s="8">
        <v>157.66999999999999</v>
      </c>
      <c r="R684" s="8">
        <v>157.66999999999999</v>
      </c>
      <c r="S684" s="9" t="s">
        <v>541</v>
      </c>
    </row>
    <row r="685" spans="1:19" hidden="1" x14ac:dyDescent="0.25">
      <c r="A685" t="s">
        <v>123</v>
      </c>
      <c r="B685" t="s">
        <v>77</v>
      </c>
      <c r="C685" t="s">
        <v>127</v>
      </c>
      <c r="D685" t="s">
        <v>527</v>
      </c>
      <c r="E685" t="s">
        <v>91</v>
      </c>
      <c r="F685" t="s">
        <v>96</v>
      </c>
      <c r="G685">
        <v>5</v>
      </c>
      <c r="H685">
        <v>1</v>
      </c>
      <c r="I685">
        <v>1</v>
      </c>
      <c r="J685">
        <v>1</v>
      </c>
      <c r="K685" s="6">
        <v>100</v>
      </c>
      <c r="L685" s="6">
        <v>0</v>
      </c>
      <c r="M685" s="6">
        <v>100</v>
      </c>
      <c r="N685">
        <v>0</v>
      </c>
      <c r="O685" s="6">
        <v>0</v>
      </c>
      <c r="P685">
        <v>0</v>
      </c>
      <c r="Q685" s="8">
        <v>157.66999999999999</v>
      </c>
      <c r="R685" s="8">
        <v>157.66999999999999</v>
      </c>
      <c r="S685" s="9" t="s">
        <v>541</v>
      </c>
    </row>
    <row r="686" spans="1:19" hidden="1" x14ac:dyDescent="0.25">
      <c r="A686" t="s">
        <v>123</v>
      </c>
      <c r="B686" t="s">
        <v>77</v>
      </c>
      <c r="C686" t="s">
        <v>127</v>
      </c>
      <c r="D686" t="s">
        <v>527</v>
      </c>
      <c r="E686" t="s">
        <v>91</v>
      </c>
      <c r="F686" t="s">
        <v>6</v>
      </c>
      <c r="G686">
        <v>12</v>
      </c>
      <c r="H686">
        <v>1</v>
      </c>
      <c r="I686">
        <v>1</v>
      </c>
      <c r="J686">
        <v>1</v>
      </c>
      <c r="K686" s="6">
        <v>100</v>
      </c>
      <c r="L686" s="6">
        <v>0</v>
      </c>
      <c r="M686" s="6">
        <v>100</v>
      </c>
      <c r="N686">
        <v>0</v>
      </c>
      <c r="O686" s="6">
        <v>0</v>
      </c>
      <c r="P686">
        <v>0</v>
      </c>
      <c r="Q686" s="8">
        <v>157.66999999999999</v>
      </c>
      <c r="R686" s="8">
        <v>157.66999999999999</v>
      </c>
      <c r="S686" s="9" t="s">
        <v>541</v>
      </c>
    </row>
    <row r="687" spans="1:19" hidden="1" x14ac:dyDescent="0.25">
      <c r="A687" t="s">
        <v>123</v>
      </c>
      <c r="B687" t="s">
        <v>77</v>
      </c>
      <c r="C687" t="s">
        <v>127</v>
      </c>
      <c r="D687" t="s">
        <v>530</v>
      </c>
      <c r="E687" t="s">
        <v>91</v>
      </c>
      <c r="F687" t="s">
        <v>91</v>
      </c>
      <c r="G687">
        <v>0</v>
      </c>
      <c r="H687">
        <v>3</v>
      </c>
      <c r="I687">
        <v>3</v>
      </c>
      <c r="J687">
        <v>3</v>
      </c>
      <c r="K687" s="6">
        <v>100</v>
      </c>
      <c r="L687" s="6">
        <v>0</v>
      </c>
      <c r="M687" s="6">
        <v>100</v>
      </c>
      <c r="N687">
        <v>0</v>
      </c>
      <c r="O687" s="6">
        <v>0</v>
      </c>
      <c r="P687">
        <v>0</v>
      </c>
      <c r="Q687" s="8">
        <v>141.31</v>
      </c>
      <c r="R687" s="8">
        <v>141.31</v>
      </c>
      <c r="S687" s="9" t="s">
        <v>525</v>
      </c>
    </row>
    <row r="688" spans="1:19" hidden="1" x14ac:dyDescent="0.25">
      <c r="A688" t="s">
        <v>123</v>
      </c>
      <c r="B688" t="s">
        <v>77</v>
      </c>
      <c r="C688" t="s">
        <v>127</v>
      </c>
      <c r="D688" t="s">
        <v>530</v>
      </c>
      <c r="E688" t="s">
        <v>91</v>
      </c>
      <c r="F688" t="s">
        <v>94</v>
      </c>
      <c r="G688">
        <v>1</v>
      </c>
      <c r="H688">
        <v>3</v>
      </c>
      <c r="I688">
        <v>3</v>
      </c>
      <c r="J688">
        <v>3</v>
      </c>
      <c r="K688" s="6">
        <v>99.8</v>
      </c>
      <c r="L688" s="6">
        <v>0</v>
      </c>
      <c r="M688" s="6">
        <v>99.8</v>
      </c>
      <c r="N688">
        <v>0</v>
      </c>
      <c r="O688" s="6">
        <v>0</v>
      </c>
      <c r="P688">
        <v>0</v>
      </c>
      <c r="Q688" s="8">
        <v>141.31</v>
      </c>
      <c r="R688" s="8">
        <v>141.04</v>
      </c>
      <c r="S688" s="9" t="s">
        <v>526</v>
      </c>
    </row>
    <row r="689" spans="1:19" hidden="1" x14ac:dyDescent="0.25">
      <c r="A689" t="s">
        <v>123</v>
      </c>
      <c r="B689" t="s">
        <v>77</v>
      </c>
      <c r="C689" t="s">
        <v>127</v>
      </c>
      <c r="D689" t="s">
        <v>530</v>
      </c>
      <c r="E689" t="s">
        <v>91</v>
      </c>
      <c r="F689" t="s">
        <v>96</v>
      </c>
      <c r="G689">
        <v>5</v>
      </c>
      <c r="H689">
        <v>3</v>
      </c>
      <c r="I689">
        <v>3</v>
      </c>
      <c r="J689">
        <v>3</v>
      </c>
      <c r="K689" s="6">
        <v>99.8</v>
      </c>
      <c r="L689" s="6">
        <v>0</v>
      </c>
      <c r="M689" s="6">
        <v>99.8</v>
      </c>
      <c r="N689">
        <v>0</v>
      </c>
      <c r="O689" s="6">
        <v>0</v>
      </c>
      <c r="P689">
        <v>0</v>
      </c>
      <c r="Q689" s="8">
        <v>141.31</v>
      </c>
      <c r="R689" s="8">
        <v>141.04</v>
      </c>
      <c r="S689" s="9" t="s">
        <v>526</v>
      </c>
    </row>
    <row r="690" spans="1:19" hidden="1" x14ac:dyDescent="0.25">
      <c r="A690" t="s">
        <v>123</v>
      </c>
      <c r="B690" t="s">
        <v>77</v>
      </c>
      <c r="C690" t="s">
        <v>127</v>
      </c>
      <c r="D690" t="s">
        <v>530</v>
      </c>
      <c r="E690" t="s">
        <v>91</v>
      </c>
      <c r="F690" t="s">
        <v>6</v>
      </c>
      <c r="G690">
        <v>12</v>
      </c>
      <c r="H690">
        <v>3</v>
      </c>
      <c r="I690">
        <v>3</v>
      </c>
      <c r="J690">
        <v>3</v>
      </c>
      <c r="K690" s="6">
        <v>99.61</v>
      </c>
      <c r="L690" s="6">
        <v>0</v>
      </c>
      <c r="M690" s="6">
        <v>99.61</v>
      </c>
      <c r="N690">
        <v>0</v>
      </c>
      <c r="O690" s="6">
        <v>0</v>
      </c>
      <c r="P690">
        <v>0</v>
      </c>
      <c r="Q690" s="8">
        <v>141.31</v>
      </c>
      <c r="R690" s="8">
        <v>140.76</v>
      </c>
      <c r="S690" s="9" t="s">
        <v>526</v>
      </c>
    </row>
    <row r="691" spans="1:19" hidden="1" x14ac:dyDescent="0.25">
      <c r="A691" t="s">
        <v>123</v>
      </c>
      <c r="B691" t="s">
        <v>77</v>
      </c>
      <c r="C691" t="s">
        <v>127</v>
      </c>
      <c r="D691" t="s">
        <v>531</v>
      </c>
      <c r="E691" t="s">
        <v>91</v>
      </c>
      <c r="F691" t="s">
        <v>91</v>
      </c>
      <c r="G691">
        <v>0</v>
      </c>
      <c r="H691">
        <v>2</v>
      </c>
      <c r="I691">
        <v>2</v>
      </c>
      <c r="J691">
        <v>2</v>
      </c>
      <c r="K691" s="6">
        <v>100</v>
      </c>
      <c r="L691" s="6">
        <v>0</v>
      </c>
      <c r="M691" s="6">
        <v>100</v>
      </c>
      <c r="N691">
        <v>0</v>
      </c>
      <c r="O691" s="6">
        <v>0</v>
      </c>
      <c r="P691">
        <v>0</v>
      </c>
      <c r="Q691" s="8">
        <v>155.53</v>
      </c>
      <c r="R691" s="8">
        <v>155.53</v>
      </c>
      <c r="S691" s="9" t="s">
        <v>536</v>
      </c>
    </row>
    <row r="692" spans="1:19" hidden="1" x14ac:dyDescent="0.25">
      <c r="A692" t="s">
        <v>123</v>
      </c>
      <c r="B692" t="s">
        <v>77</v>
      </c>
      <c r="C692" t="s">
        <v>127</v>
      </c>
      <c r="D692" t="s">
        <v>531</v>
      </c>
      <c r="E692" t="s">
        <v>91</v>
      </c>
      <c r="F692" t="s">
        <v>94</v>
      </c>
      <c r="G692">
        <v>1</v>
      </c>
      <c r="H692">
        <v>2</v>
      </c>
      <c r="I692">
        <v>2</v>
      </c>
      <c r="J692">
        <v>2</v>
      </c>
      <c r="K692" s="6">
        <v>100</v>
      </c>
      <c r="L692" s="6">
        <v>0</v>
      </c>
      <c r="M692" s="6">
        <v>100</v>
      </c>
      <c r="N692">
        <v>0</v>
      </c>
      <c r="O692" s="6">
        <v>0</v>
      </c>
      <c r="P692">
        <v>0</v>
      </c>
      <c r="Q692" s="8">
        <v>155.53</v>
      </c>
      <c r="R692" s="8">
        <v>155.53</v>
      </c>
      <c r="S692" s="9" t="s">
        <v>537</v>
      </c>
    </row>
    <row r="693" spans="1:19" hidden="1" x14ac:dyDescent="0.25">
      <c r="A693" t="s">
        <v>123</v>
      </c>
      <c r="B693" t="s">
        <v>77</v>
      </c>
      <c r="C693" t="s">
        <v>127</v>
      </c>
      <c r="D693" t="s">
        <v>531</v>
      </c>
      <c r="E693" t="s">
        <v>91</v>
      </c>
      <c r="F693" t="s">
        <v>96</v>
      </c>
      <c r="G693">
        <v>5</v>
      </c>
      <c r="H693">
        <v>2</v>
      </c>
      <c r="I693">
        <v>2</v>
      </c>
      <c r="J693">
        <v>2</v>
      </c>
      <c r="K693" s="6">
        <v>100</v>
      </c>
      <c r="L693" s="6">
        <v>0</v>
      </c>
      <c r="M693" s="6">
        <v>100</v>
      </c>
      <c r="N693">
        <v>0</v>
      </c>
      <c r="O693" s="6">
        <v>0</v>
      </c>
      <c r="P693">
        <v>0</v>
      </c>
      <c r="Q693" s="8">
        <v>155.53</v>
      </c>
      <c r="R693" s="8">
        <v>155.53</v>
      </c>
      <c r="S693" s="9" t="s">
        <v>537</v>
      </c>
    </row>
    <row r="694" spans="1:19" hidden="1" x14ac:dyDescent="0.25">
      <c r="A694" t="s">
        <v>123</v>
      </c>
      <c r="B694" t="s">
        <v>77</v>
      </c>
      <c r="C694" t="s">
        <v>127</v>
      </c>
      <c r="D694" t="s">
        <v>531</v>
      </c>
      <c r="E694" t="s">
        <v>91</v>
      </c>
      <c r="F694" t="s">
        <v>6</v>
      </c>
      <c r="G694">
        <v>12</v>
      </c>
      <c r="H694">
        <v>2</v>
      </c>
      <c r="I694">
        <v>2</v>
      </c>
      <c r="J694">
        <v>2</v>
      </c>
      <c r="K694" s="6">
        <v>99.32</v>
      </c>
      <c r="L694" s="6">
        <v>-0.68</v>
      </c>
      <c r="M694" s="6">
        <v>99.32</v>
      </c>
      <c r="N694">
        <v>0</v>
      </c>
      <c r="O694" s="6">
        <v>0</v>
      </c>
      <c r="P694">
        <v>0</v>
      </c>
      <c r="Q694" s="8">
        <v>155.53</v>
      </c>
      <c r="R694" s="8">
        <v>154.47999999999999</v>
      </c>
      <c r="S694" s="9" t="s">
        <v>537</v>
      </c>
    </row>
    <row r="695" spans="1:19" hidden="1" x14ac:dyDescent="0.25">
      <c r="A695" t="s">
        <v>123</v>
      </c>
      <c r="B695" t="s">
        <v>77</v>
      </c>
      <c r="C695" t="s">
        <v>127</v>
      </c>
      <c r="D695" t="s">
        <v>532</v>
      </c>
      <c r="E695" t="s">
        <v>90</v>
      </c>
      <c r="F695" t="s">
        <v>90</v>
      </c>
      <c r="G695">
        <v>0</v>
      </c>
      <c r="H695">
        <v>1</v>
      </c>
      <c r="I695">
        <v>1</v>
      </c>
      <c r="J695">
        <v>1</v>
      </c>
      <c r="K695" s="6">
        <v>100</v>
      </c>
      <c r="L695" s="6">
        <v>0</v>
      </c>
      <c r="M695" s="6">
        <v>100</v>
      </c>
      <c r="N695">
        <v>0</v>
      </c>
      <c r="O695" s="6">
        <v>0</v>
      </c>
      <c r="P695">
        <v>0</v>
      </c>
      <c r="Q695" s="8">
        <v>151.88999999999999</v>
      </c>
      <c r="R695" s="8">
        <v>151.88999999999999</v>
      </c>
      <c r="S695" s="9" t="s">
        <v>540</v>
      </c>
    </row>
    <row r="696" spans="1:19" hidden="1" x14ac:dyDescent="0.25">
      <c r="A696" t="s">
        <v>123</v>
      </c>
      <c r="B696" t="s">
        <v>77</v>
      </c>
      <c r="C696" t="s">
        <v>127</v>
      </c>
      <c r="D696" t="s">
        <v>532</v>
      </c>
      <c r="E696" t="s">
        <v>90</v>
      </c>
      <c r="F696" t="s">
        <v>91</v>
      </c>
      <c r="G696">
        <v>1</v>
      </c>
      <c r="H696">
        <v>1</v>
      </c>
      <c r="I696">
        <v>3</v>
      </c>
      <c r="J696">
        <v>1</v>
      </c>
      <c r="K696" s="6">
        <v>100</v>
      </c>
      <c r="L696" s="6">
        <v>0</v>
      </c>
      <c r="M696" s="6">
        <v>90.76</v>
      </c>
      <c r="N696">
        <v>-9.24</v>
      </c>
      <c r="O696" s="6">
        <v>0</v>
      </c>
      <c r="P696">
        <v>2</v>
      </c>
      <c r="Q696" s="8">
        <v>151.88999999999999</v>
      </c>
      <c r="R696" s="8">
        <v>151.88999999999999</v>
      </c>
      <c r="S696" s="9" t="s">
        <v>541</v>
      </c>
    </row>
    <row r="697" spans="1:19" hidden="1" x14ac:dyDescent="0.25">
      <c r="A697" t="s">
        <v>123</v>
      </c>
      <c r="B697" t="s">
        <v>77</v>
      </c>
      <c r="C697" t="s">
        <v>127</v>
      </c>
      <c r="D697" t="s">
        <v>532</v>
      </c>
      <c r="E697" t="s">
        <v>90</v>
      </c>
      <c r="F697" t="s">
        <v>94</v>
      </c>
      <c r="G697">
        <v>2</v>
      </c>
      <c r="H697">
        <v>1</v>
      </c>
      <c r="I697">
        <v>3</v>
      </c>
      <c r="J697">
        <v>1</v>
      </c>
      <c r="K697" s="6">
        <v>100</v>
      </c>
      <c r="L697" s="6">
        <v>0</v>
      </c>
      <c r="M697" s="6">
        <v>90.76</v>
      </c>
      <c r="N697">
        <v>-9.24</v>
      </c>
      <c r="O697" s="6">
        <v>0</v>
      </c>
      <c r="P697">
        <v>2</v>
      </c>
      <c r="Q697" s="8">
        <v>151.88999999999999</v>
      </c>
      <c r="R697" s="8">
        <v>151.88999999999999</v>
      </c>
      <c r="S697" s="9" t="s">
        <v>541</v>
      </c>
    </row>
    <row r="698" spans="1:19" hidden="1" x14ac:dyDescent="0.25">
      <c r="A698" t="s">
        <v>123</v>
      </c>
      <c r="B698" t="s">
        <v>77</v>
      </c>
      <c r="C698" t="s">
        <v>127</v>
      </c>
      <c r="D698" t="s">
        <v>532</v>
      </c>
      <c r="E698" t="s">
        <v>90</v>
      </c>
      <c r="F698" t="s">
        <v>96</v>
      </c>
      <c r="G698">
        <v>6</v>
      </c>
      <c r="H698">
        <v>1</v>
      </c>
      <c r="I698">
        <v>3</v>
      </c>
      <c r="J698">
        <v>1</v>
      </c>
      <c r="K698" s="6">
        <v>100</v>
      </c>
      <c r="L698" s="6">
        <v>0</v>
      </c>
      <c r="M698" s="6">
        <v>90.76</v>
      </c>
      <c r="N698">
        <v>-9.24</v>
      </c>
      <c r="O698" s="6">
        <v>0</v>
      </c>
      <c r="P698">
        <v>2</v>
      </c>
      <c r="Q698" s="8">
        <v>151.88999999999999</v>
      </c>
      <c r="R698" s="8">
        <v>151.88999999999999</v>
      </c>
      <c r="S698" s="9" t="s">
        <v>541</v>
      </c>
    </row>
    <row r="699" spans="1:19" hidden="1" x14ac:dyDescent="0.25">
      <c r="A699" t="s">
        <v>123</v>
      </c>
      <c r="B699" t="s">
        <v>77</v>
      </c>
      <c r="C699" t="s">
        <v>127</v>
      </c>
      <c r="D699" t="s">
        <v>532</v>
      </c>
      <c r="E699" t="s">
        <v>90</v>
      </c>
      <c r="F699" t="s">
        <v>6</v>
      </c>
      <c r="G699">
        <v>13</v>
      </c>
      <c r="H699">
        <v>1</v>
      </c>
      <c r="I699">
        <v>3</v>
      </c>
      <c r="J699">
        <v>1</v>
      </c>
      <c r="K699" s="6">
        <v>99.27</v>
      </c>
      <c r="L699" s="6">
        <v>-0.73</v>
      </c>
      <c r="M699" s="6">
        <v>90.15</v>
      </c>
      <c r="N699">
        <v>-9.1199999999999992</v>
      </c>
      <c r="O699" s="6">
        <v>0</v>
      </c>
      <c r="P699">
        <v>2</v>
      </c>
      <c r="Q699" s="8">
        <v>151.88999999999999</v>
      </c>
      <c r="R699" s="8">
        <v>150.78</v>
      </c>
      <c r="S699" s="9" t="s">
        <v>541</v>
      </c>
    </row>
    <row r="700" spans="1:19" hidden="1" x14ac:dyDescent="0.25">
      <c r="A700" t="s">
        <v>123</v>
      </c>
      <c r="B700" t="s">
        <v>77</v>
      </c>
      <c r="C700" t="s">
        <v>127</v>
      </c>
      <c r="D700" t="s">
        <v>533</v>
      </c>
      <c r="E700" t="s">
        <v>94</v>
      </c>
      <c r="F700" t="s">
        <v>94</v>
      </c>
      <c r="G700">
        <v>0</v>
      </c>
      <c r="H700">
        <v>1</v>
      </c>
      <c r="I700">
        <v>1</v>
      </c>
      <c r="J700">
        <v>1</v>
      </c>
      <c r="K700" s="6">
        <v>100</v>
      </c>
      <c r="L700" s="6">
        <v>0</v>
      </c>
      <c r="M700" s="6">
        <v>100</v>
      </c>
      <c r="N700">
        <v>0</v>
      </c>
      <c r="O700" s="6">
        <v>0</v>
      </c>
      <c r="P700">
        <v>0</v>
      </c>
      <c r="Q700" s="8">
        <v>157.38</v>
      </c>
      <c r="R700" s="8">
        <v>157.38</v>
      </c>
      <c r="S700" s="9" t="s">
        <v>540</v>
      </c>
    </row>
    <row r="701" spans="1:19" hidden="1" x14ac:dyDescent="0.25">
      <c r="A701" t="s">
        <v>123</v>
      </c>
      <c r="B701" t="s">
        <v>77</v>
      </c>
      <c r="C701" t="s">
        <v>127</v>
      </c>
      <c r="D701" t="s">
        <v>533</v>
      </c>
      <c r="E701" t="s">
        <v>94</v>
      </c>
      <c r="F701" t="s">
        <v>96</v>
      </c>
      <c r="G701">
        <v>4</v>
      </c>
      <c r="H701">
        <v>1</v>
      </c>
      <c r="I701">
        <v>1</v>
      </c>
      <c r="J701">
        <v>1</v>
      </c>
      <c r="K701" s="6">
        <v>100</v>
      </c>
      <c r="L701" s="6">
        <v>0</v>
      </c>
      <c r="M701" s="6">
        <v>100</v>
      </c>
      <c r="N701">
        <v>0</v>
      </c>
      <c r="O701" s="6">
        <v>0</v>
      </c>
      <c r="P701">
        <v>0</v>
      </c>
      <c r="Q701" s="8">
        <v>157.38</v>
      </c>
      <c r="R701" s="8">
        <v>157.38</v>
      </c>
      <c r="S701" s="9" t="s">
        <v>541</v>
      </c>
    </row>
    <row r="702" spans="1:19" hidden="1" x14ac:dyDescent="0.25">
      <c r="A702" t="s">
        <v>123</v>
      </c>
      <c r="B702" t="s">
        <v>77</v>
      </c>
      <c r="C702" t="s">
        <v>127</v>
      </c>
      <c r="D702" t="s">
        <v>533</v>
      </c>
      <c r="E702" t="s">
        <v>94</v>
      </c>
      <c r="F702" t="s">
        <v>6</v>
      </c>
      <c r="G702">
        <v>11</v>
      </c>
      <c r="H702">
        <v>1</v>
      </c>
      <c r="I702">
        <v>1</v>
      </c>
      <c r="J702">
        <v>1</v>
      </c>
      <c r="K702" s="6">
        <v>98.41</v>
      </c>
      <c r="L702" s="6">
        <v>-1.59</v>
      </c>
      <c r="M702" s="6">
        <v>98.41</v>
      </c>
      <c r="N702">
        <v>0</v>
      </c>
      <c r="O702" s="6">
        <v>0</v>
      </c>
      <c r="P702">
        <v>0</v>
      </c>
      <c r="Q702" s="8">
        <v>157.38</v>
      </c>
      <c r="R702" s="8">
        <v>154.88</v>
      </c>
      <c r="S702" s="9" t="s">
        <v>541</v>
      </c>
    </row>
    <row r="703" spans="1:19" hidden="1" x14ac:dyDescent="0.25">
      <c r="A703" t="s">
        <v>123</v>
      </c>
      <c r="B703" t="s">
        <v>77</v>
      </c>
      <c r="C703" t="s">
        <v>128</v>
      </c>
      <c r="D703" t="s">
        <v>527</v>
      </c>
      <c r="E703" t="s">
        <v>91</v>
      </c>
      <c r="F703" t="s">
        <v>91</v>
      </c>
      <c r="G703">
        <v>0</v>
      </c>
      <c r="H703">
        <v>1</v>
      </c>
      <c r="I703">
        <v>1</v>
      </c>
      <c r="J703">
        <v>1</v>
      </c>
      <c r="K703" s="6">
        <v>100</v>
      </c>
      <c r="L703" s="6">
        <v>0</v>
      </c>
      <c r="M703" s="6">
        <v>100</v>
      </c>
      <c r="N703">
        <v>0</v>
      </c>
      <c r="O703" s="6">
        <v>0</v>
      </c>
      <c r="P703">
        <v>0</v>
      </c>
      <c r="Q703" s="8">
        <v>397.67</v>
      </c>
      <c r="R703" s="8">
        <v>397.67</v>
      </c>
      <c r="S703" s="9" t="s">
        <v>540</v>
      </c>
    </row>
    <row r="704" spans="1:19" hidden="1" x14ac:dyDescent="0.25">
      <c r="A704" t="s">
        <v>123</v>
      </c>
      <c r="B704" t="s">
        <v>77</v>
      </c>
      <c r="C704" t="s">
        <v>128</v>
      </c>
      <c r="D704" t="s">
        <v>527</v>
      </c>
      <c r="E704" t="s">
        <v>91</v>
      </c>
      <c r="F704" t="s">
        <v>94</v>
      </c>
      <c r="G704">
        <v>1</v>
      </c>
      <c r="H704">
        <v>1</v>
      </c>
      <c r="I704">
        <v>1</v>
      </c>
      <c r="J704">
        <v>1</v>
      </c>
      <c r="K704" s="6">
        <v>100</v>
      </c>
      <c r="L704" s="6">
        <v>0</v>
      </c>
      <c r="M704" s="6">
        <v>100</v>
      </c>
      <c r="N704">
        <v>0</v>
      </c>
      <c r="O704" s="6">
        <v>0</v>
      </c>
      <c r="P704">
        <v>0</v>
      </c>
      <c r="Q704" s="8">
        <v>397.67</v>
      </c>
      <c r="R704" s="8">
        <v>397.67</v>
      </c>
      <c r="S704" s="9" t="s">
        <v>541</v>
      </c>
    </row>
    <row r="705" spans="1:19" hidden="1" x14ac:dyDescent="0.25">
      <c r="A705" t="s">
        <v>123</v>
      </c>
      <c r="B705" t="s">
        <v>77</v>
      </c>
      <c r="C705" t="s">
        <v>128</v>
      </c>
      <c r="D705" t="s">
        <v>527</v>
      </c>
      <c r="E705" t="s">
        <v>91</v>
      </c>
      <c r="F705" t="s">
        <v>96</v>
      </c>
      <c r="G705">
        <v>5</v>
      </c>
      <c r="H705">
        <v>1</v>
      </c>
      <c r="I705">
        <v>1</v>
      </c>
      <c r="J705">
        <v>1</v>
      </c>
      <c r="K705" s="6">
        <v>100</v>
      </c>
      <c r="L705" s="6">
        <v>0</v>
      </c>
      <c r="M705" s="6">
        <v>100</v>
      </c>
      <c r="N705">
        <v>0</v>
      </c>
      <c r="O705" s="6">
        <v>0</v>
      </c>
      <c r="P705">
        <v>0</v>
      </c>
      <c r="Q705" s="8">
        <v>397.67</v>
      </c>
      <c r="R705" s="8">
        <v>397.67</v>
      </c>
      <c r="S705" s="9" t="s">
        <v>541</v>
      </c>
    </row>
    <row r="706" spans="1:19" hidden="1" x14ac:dyDescent="0.25">
      <c r="A706" t="s">
        <v>123</v>
      </c>
      <c r="B706" t="s">
        <v>77</v>
      </c>
      <c r="C706" t="s">
        <v>128</v>
      </c>
      <c r="D706" t="s">
        <v>527</v>
      </c>
      <c r="E706" t="s">
        <v>91</v>
      </c>
      <c r="F706" t="s">
        <v>6</v>
      </c>
      <c r="G706">
        <v>12</v>
      </c>
      <c r="H706">
        <v>1</v>
      </c>
      <c r="I706">
        <v>1</v>
      </c>
      <c r="J706">
        <v>1</v>
      </c>
      <c r="K706" s="6">
        <v>99.97</v>
      </c>
      <c r="L706" s="6">
        <v>-0.03</v>
      </c>
      <c r="M706" s="6">
        <v>99.97</v>
      </c>
      <c r="N706">
        <v>0</v>
      </c>
      <c r="O706" s="6">
        <v>0</v>
      </c>
      <c r="P706">
        <v>0</v>
      </c>
      <c r="Q706" s="8">
        <v>397.67</v>
      </c>
      <c r="R706" s="8">
        <v>397.56</v>
      </c>
      <c r="S706" s="9" t="s">
        <v>541</v>
      </c>
    </row>
    <row r="707" spans="1:19" hidden="1" x14ac:dyDescent="0.25">
      <c r="A707" t="s">
        <v>123</v>
      </c>
      <c r="B707" t="s">
        <v>77</v>
      </c>
      <c r="C707" t="s">
        <v>128</v>
      </c>
      <c r="D707" t="s">
        <v>530</v>
      </c>
      <c r="E707" t="s">
        <v>91</v>
      </c>
      <c r="F707" t="s">
        <v>91</v>
      </c>
      <c r="G707">
        <v>0</v>
      </c>
      <c r="H707">
        <v>3</v>
      </c>
      <c r="I707">
        <v>3</v>
      </c>
      <c r="J707">
        <v>3</v>
      </c>
      <c r="K707" s="6">
        <v>100</v>
      </c>
      <c r="L707" s="6">
        <v>0</v>
      </c>
      <c r="M707" s="6">
        <v>100</v>
      </c>
      <c r="N707">
        <v>0</v>
      </c>
      <c r="O707" s="6">
        <v>0</v>
      </c>
      <c r="P707">
        <v>0</v>
      </c>
      <c r="Q707" s="8">
        <v>326.98</v>
      </c>
      <c r="R707" s="8">
        <v>326.98</v>
      </c>
      <c r="S707" s="9" t="s">
        <v>525</v>
      </c>
    </row>
    <row r="708" spans="1:19" hidden="1" x14ac:dyDescent="0.25">
      <c r="A708" t="s">
        <v>123</v>
      </c>
      <c r="B708" t="s">
        <v>77</v>
      </c>
      <c r="C708" t="s">
        <v>128</v>
      </c>
      <c r="D708" t="s">
        <v>530</v>
      </c>
      <c r="E708" t="s">
        <v>91</v>
      </c>
      <c r="F708" t="s">
        <v>94</v>
      </c>
      <c r="G708">
        <v>1</v>
      </c>
      <c r="H708">
        <v>3</v>
      </c>
      <c r="I708">
        <v>3</v>
      </c>
      <c r="J708">
        <v>3</v>
      </c>
      <c r="K708" s="6">
        <v>100</v>
      </c>
      <c r="L708" s="6">
        <v>0</v>
      </c>
      <c r="M708" s="6">
        <v>100</v>
      </c>
      <c r="N708">
        <v>0</v>
      </c>
      <c r="O708" s="6">
        <v>0</v>
      </c>
      <c r="P708">
        <v>0</v>
      </c>
      <c r="Q708" s="8">
        <v>326.98</v>
      </c>
      <c r="R708" s="8">
        <v>326.98</v>
      </c>
      <c r="S708" s="9" t="s">
        <v>526</v>
      </c>
    </row>
    <row r="709" spans="1:19" hidden="1" x14ac:dyDescent="0.25">
      <c r="A709" t="s">
        <v>123</v>
      </c>
      <c r="B709" t="s">
        <v>77</v>
      </c>
      <c r="C709" t="s">
        <v>128</v>
      </c>
      <c r="D709" t="s">
        <v>530</v>
      </c>
      <c r="E709" t="s">
        <v>91</v>
      </c>
      <c r="F709" t="s">
        <v>96</v>
      </c>
      <c r="G709">
        <v>5</v>
      </c>
      <c r="H709">
        <v>3</v>
      </c>
      <c r="I709">
        <v>3</v>
      </c>
      <c r="J709">
        <v>3</v>
      </c>
      <c r="K709" s="6">
        <v>100</v>
      </c>
      <c r="L709" s="6">
        <v>0</v>
      </c>
      <c r="M709" s="6">
        <v>100</v>
      </c>
      <c r="N709">
        <v>0</v>
      </c>
      <c r="O709" s="6">
        <v>0</v>
      </c>
      <c r="P709">
        <v>0</v>
      </c>
      <c r="Q709" s="8">
        <v>326.98</v>
      </c>
      <c r="R709" s="8">
        <v>326.98</v>
      </c>
      <c r="S709" s="9" t="s">
        <v>526</v>
      </c>
    </row>
    <row r="710" spans="1:19" hidden="1" x14ac:dyDescent="0.25">
      <c r="A710" t="s">
        <v>123</v>
      </c>
      <c r="B710" t="s">
        <v>77</v>
      </c>
      <c r="C710" t="s">
        <v>128</v>
      </c>
      <c r="D710" t="s">
        <v>530</v>
      </c>
      <c r="E710" t="s">
        <v>91</v>
      </c>
      <c r="F710" t="s">
        <v>6</v>
      </c>
      <c r="G710">
        <v>12</v>
      </c>
      <c r="H710">
        <v>3</v>
      </c>
      <c r="I710">
        <v>3</v>
      </c>
      <c r="J710">
        <v>3</v>
      </c>
      <c r="K710" s="6">
        <v>98.87</v>
      </c>
      <c r="L710" s="6">
        <v>0</v>
      </c>
      <c r="M710" s="6">
        <v>98.87</v>
      </c>
      <c r="N710">
        <v>0</v>
      </c>
      <c r="O710" s="6">
        <v>0</v>
      </c>
      <c r="P710">
        <v>0</v>
      </c>
      <c r="Q710" s="8">
        <v>326.98</v>
      </c>
      <c r="R710" s="8">
        <v>323.27999999999997</v>
      </c>
      <c r="S710" s="9" t="s">
        <v>526</v>
      </c>
    </row>
    <row r="711" spans="1:19" hidden="1" x14ac:dyDescent="0.25">
      <c r="A711" t="s">
        <v>123</v>
      </c>
      <c r="B711" t="s">
        <v>77</v>
      </c>
      <c r="C711" t="s">
        <v>128</v>
      </c>
      <c r="D711" t="s">
        <v>531</v>
      </c>
      <c r="E711" t="s">
        <v>91</v>
      </c>
      <c r="F711" t="s">
        <v>91</v>
      </c>
      <c r="G711">
        <v>0</v>
      </c>
      <c r="H711">
        <v>2</v>
      </c>
      <c r="I711">
        <v>2</v>
      </c>
      <c r="J711">
        <v>2</v>
      </c>
      <c r="K711" s="6">
        <v>100</v>
      </c>
      <c r="L711" s="6">
        <v>0</v>
      </c>
      <c r="M711" s="6">
        <v>100</v>
      </c>
      <c r="N711">
        <v>0</v>
      </c>
      <c r="O711" s="6">
        <v>0</v>
      </c>
      <c r="P711">
        <v>0</v>
      </c>
      <c r="Q711" s="8">
        <v>380.48</v>
      </c>
      <c r="R711" s="8">
        <v>380.48</v>
      </c>
      <c r="S711" s="9" t="s">
        <v>536</v>
      </c>
    </row>
    <row r="712" spans="1:19" hidden="1" x14ac:dyDescent="0.25">
      <c r="A712" t="s">
        <v>123</v>
      </c>
      <c r="B712" t="s">
        <v>77</v>
      </c>
      <c r="C712" t="s">
        <v>128</v>
      </c>
      <c r="D712" t="s">
        <v>531</v>
      </c>
      <c r="E712" t="s">
        <v>91</v>
      </c>
      <c r="F712" t="s">
        <v>94</v>
      </c>
      <c r="G712">
        <v>1</v>
      </c>
      <c r="H712">
        <v>2</v>
      </c>
      <c r="I712">
        <v>2</v>
      </c>
      <c r="J712">
        <v>2</v>
      </c>
      <c r="K712" s="6">
        <v>100</v>
      </c>
      <c r="L712" s="6">
        <v>0</v>
      </c>
      <c r="M712" s="6">
        <v>100</v>
      </c>
      <c r="N712">
        <v>0</v>
      </c>
      <c r="O712" s="6">
        <v>0</v>
      </c>
      <c r="P712">
        <v>0</v>
      </c>
      <c r="Q712" s="8">
        <v>380.48</v>
      </c>
      <c r="R712" s="8">
        <v>380.48</v>
      </c>
      <c r="S712" s="9" t="s">
        <v>537</v>
      </c>
    </row>
    <row r="713" spans="1:19" hidden="1" x14ac:dyDescent="0.25">
      <c r="A713" t="s">
        <v>123</v>
      </c>
      <c r="B713" t="s">
        <v>77</v>
      </c>
      <c r="C713" t="s">
        <v>128</v>
      </c>
      <c r="D713" t="s">
        <v>531</v>
      </c>
      <c r="E713" t="s">
        <v>91</v>
      </c>
      <c r="F713" t="s">
        <v>96</v>
      </c>
      <c r="G713">
        <v>5</v>
      </c>
      <c r="H713">
        <v>2</v>
      </c>
      <c r="I713">
        <v>2</v>
      </c>
      <c r="J713">
        <v>2</v>
      </c>
      <c r="K713" s="6">
        <v>100</v>
      </c>
      <c r="L713" s="6">
        <v>0</v>
      </c>
      <c r="M713" s="6">
        <v>100</v>
      </c>
      <c r="N713">
        <v>0</v>
      </c>
      <c r="O713" s="6">
        <v>0</v>
      </c>
      <c r="P713">
        <v>0</v>
      </c>
      <c r="Q713" s="8">
        <v>380.48</v>
      </c>
      <c r="R713" s="8">
        <v>380.48</v>
      </c>
      <c r="S713" s="9" t="s">
        <v>537</v>
      </c>
    </row>
    <row r="714" spans="1:19" hidden="1" x14ac:dyDescent="0.25">
      <c r="A714" t="s">
        <v>123</v>
      </c>
      <c r="B714" t="s">
        <v>77</v>
      </c>
      <c r="C714" t="s">
        <v>128</v>
      </c>
      <c r="D714" t="s">
        <v>531</v>
      </c>
      <c r="E714" t="s">
        <v>91</v>
      </c>
      <c r="F714" t="s">
        <v>6</v>
      </c>
      <c r="G714">
        <v>12</v>
      </c>
      <c r="H714">
        <v>2</v>
      </c>
      <c r="I714">
        <v>2</v>
      </c>
      <c r="J714">
        <v>2</v>
      </c>
      <c r="K714" s="6">
        <v>98.95</v>
      </c>
      <c r="L714" s="6">
        <v>-1.26</v>
      </c>
      <c r="M714" s="6">
        <v>98.95</v>
      </c>
      <c r="N714">
        <v>0</v>
      </c>
      <c r="O714" s="6">
        <v>0</v>
      </c>
      <c r="P714">
        <v>0</v>
      </c>
      <c r="Q714" s="8">
        <v>380.48</v>
      </c>
      <c r="R714" s="8">
        <v>376.48</v>
      </c>
      <c r="S714" s="9" t="s">
        <v>537</v>
      </c>
    </row>
    <row r="715" spans="1:19" hidden="1" x14ac:dyDescent="0.25">
      <c r="A715" t="s">
        <v>123</v>
      </c>
      <c r="B715" t="s">
        <v>77</v>
      </c>
      <c r="C715" t="s">
        <v>128</v>
      </c>
      <c r="D715" t="s">
        <v>532</v>
      </c>
      <c r="E715" t="s">
        <v>90</v>
      </c>
      <c r="F715" t="s">
        <v>90</v>
      </c>
      <c r="G715">
        <v>0</v>
      </c>
      <c r="H715">
        <v>1</v>
      </c>
      <c r="I715">
        <v>1</v>
      </c>
      <c r="J715">
        <v>1</v>
      </c>
      <c r="K715" s="6">
        <v>100</v>
      </c>
      <c r="L715" s="6">
        <v>0</v>
      </c>
      <c r="M715" s="6">
        <v>100</v>
      </c>
      <c r="N715">
        <v>0</v>
      </c>
      <c r="O715" s="6">
        <v>0</v>
      </c>
      <c r="P715">
        <v>0</v>
      </c>
      <c r="Q715" s="8">
        <v>377.44</v>
      </c>
      <c r="R715" s="8">
        <v>377.44</v>
      </c>
      <c r="S715" s="9" t="s">
        <v>540</v>
      </c>
    </row>
    <row r="716" spans="1:19" hidden="1" x14ac:dyDescent="0.25">
      <c r="A716" t="s">
        <v>123</v>
      </c>
      <c r="B716" t="s">
        <v>77</v>
      </c>
      <c r="C716" t="s">
        <v>128</v>
      </c>
      <c r="D716" t="s">
        <v>532</v>
      </c>
      <c r="E716" t="s">
        <v>90</v>
      </c>
      <c r="F716" t="s">
        <v>91</v>
      </c>
      <c r="G716">
        <v>1</v>
      </c>
      <c r="H716">
        <v>1</v>
      </c>
      <c r="I716">
        <v>3</v>
      </c>
      <c r="J716">
        <v>1</v>
      </c>
      <c r="K716" s="6">
        <v>100</v>
      </c>
      <c r="L716" s="6">
        <v>0</v>
      </c>
      <c r="M716" s="6">
        <v>89.03</v>
      </c>
      <c r="N716">
        <v>-10.97</v>
      </c>
      <c r="O716" s="6">
        <v>0</v>
      </c>
      <c r="P716">
        <v>2</v>
      </c>
      <c r="Q716" s="8">
        <v>377.44</v>
      </c>
      <c r="R716" s="8">
        <v>377.44</v>
      </c>
      <c r="S716" s="9" t="s">
        <v>541</v>
      </c>
    </row>
    <row r="717" spans="1:19" hidden="1" x14ac:dyDescent="0.25">
      <c r="A717" t="s">
        <v>123</v>
      </c>
      <c r="B717" t="s">
        <v>77</v>
      </c>
      <c r="C717" t="s">
        <v>128</v>
      </c>
      <c r="D717" t="s">
        <v>532</v>
      </c>
      <c r="E717" t="s">
        <v>90</v>
      </c>
      <c r="F717" t="s">
        <v>94</v>
      </c>
      <c r="G717">
        <v>2</v>
      </c>
      <c r="H717">
        <v>1</v>
      </c>
      <c r="I717">
        <v>3</v>
      </c>
      <c r="J717">
        <v>1</v>
      </c>
      <c r="K717" s="6">
        <v>100</v>
      </c>
      <c r="L717" s="6">
        <v>0</v>
      </c>
      <c r="M717" s="6">
        <v>89.03</v>
      </c>
      <c r="N717">
        <v>-10.97</v>
      </c>
      <c r="O717" s="6">
        <v>0</v>
      </c>
      <c r="P717">
        <v>2</v>
      </c>
      <c r="Q717" s="8">
        <v>377.44</v>
      </c>
      <c r="R717" s="8">
        <v>377.44</v>
      </c>
      <c r="S717" s="9" t="s">
        <v>541</v>
      </c>
    </row>
    <row r="718" spans="1:19" hidden="1" x14ac:dyDescent="0.25">
      <c r="A718" t="s">
        <v>123</v>
      </c>
      <c r="B718" t="s">
        <v>77</v>
      </c>
      <c r="C718" t="s">
        <v>128</v>
      </c>
      <c r="D718" t="s">
        <v>532</v>
      </c>
      <c r="E718" t="s">
        <v>90</v>
      </c>
      <c r="F718" t="s">
        <v>96</v>
      </c>
      <c r="G718">
        <v>6</v>
      </c>
      <c r="H718">
        <v>1</v>
      </c>
      <c r="I718">
        <v>3</v>
      </c>
      <c r="J718">
        <v>1</v>
      </c>
      <c r="K718" s="6">
        <v>113.54</v>
      </c>
      <c r="L718" s="6">
        <v>13.54</v>
      </c>
      <c r="M718" s="6">
        <v>93.54</v>
      </c>
      <c r="N718">
        <v>-20</v>
      </c>
      <c r="O718" s="6">
        <v>0</v>
      </c>
      <c r="P718">
        <v>2</v>
      </c>
      <c r="Q718" s="8">
        <v>377.44</v>
      </c>
      <c r="R718" s="8">
        <v>428.56</v>
      </c>
      <c r="S718" s="9" t="s">
        <v>541</v>
      </c>
    </row>
    <row r="719" spans="1:19" hidden="1" x14ac:dyDescent="0.25">
      <c r="A719" t="s">
        <v>123</v>
      </c>
      <c r="B719" t="s">
        <v>77</v>
      </c>
      <c r="C719" t="s">
        <v>128</v>
      </c>
      <c r="D719" t="s">
        <v>532</v>
      </c>
      <c r="E719" t="s">
        <v>90</v>
      </c>
      <c r="F719" t="s">
        <v>6</v>
      </c>
      <c r="G719">
        <v>13</v>
      </c>
      <c r="H719">
        <v>1</v>
      </c>
      <c r="I719">
        <v>3</v>
      </c>
      <c r="J719">
        <v>1</v>
      </c>
      <c r="K719" s="6">
        <v>102.65</v>
      </c>
      <c r="L719" s="6">
        <v>2.65</v>
      </c>
      <c r="M719" s="6">
        <v>89.91</v>
      </c>
      <c r="N719">
        <v>-12.74</v>
      </c>
      <c r="O719" s="6">
        <v>0</v>
      </c>
      <c r="P719">
        <v>2</v>
      </c>
      <c r="Q719" s="8">
        <v>377.44</v>
      </c>
      <c r="R719" s="8">
        <v>387.44</v>
      </c>
      <c r="S719" s="9" t="s">
        <v>541</v>
      </c>
    </row>
    <row r="720" spans="1:19" hidden="1" x14ac:dyDescent="0.25">
      <c r="A720" t="s">
        <v>123</v>
      </c>
      <c r="B720" t="s">
        <v>77</v>
      </c>
      <c r="C720" t="s">
        <v>128</v>
      </c>
      <c r="D720" t="s">
        <v>533</v>
      </c>
      <c r="E720" t="s">
        <v>94</v>
      </c>
      <c r="F720" t="s">
        <v>94</v>
      </c>
      <c r="G720">
        <v>0</v>
      </c>
      <c r="H720">
        <v>1</v>
      </c>
      <c r="I720">
        <v>1</v>
      </c>
      <c r="J720">
        <v>1</v>
      </c>
      <c r="K720" s="6">
        <v>100</v>
      </c>
      <c r="L720" s="6">
        <v>0</v>
      </c>
      <c r="M720" s="6">
        <v>100</v>
      </c>
      <c r="N720">
        <v>0</v>
      </c>
      <c r="O720" s="6">
        <v>0</v>
      </c>
      <c r="P720">
        <v>0</v>
      </c>
      <c r="Q720" s="8">
        <v>399.88</v>
      </c>
      <c r="R720" s="8">
        <v>399.88</v>
      </c>
      <c r="S720" s="9" t="s">
        <v>540</v>
      </c>
    </row>
    <row r="721" spans="1:19" hidden="1" x14ac:dyDescent="0.25">
      <c r="A721" t="s">
        <v>123</v>
      </c>
      <c r="B721" t="s">
        <v>77</v>
      </c>
      <c r="C721" t="s">
        <v>128</v>
      </c>
      <c r="D721" t="s">
        <v>533</v>
      </c>
      <c r="E721" t="s">
        <v>94</v>
      </c>
      <c r="F721" t="s">
        <v>96</v>
      </c>
      <c r="G721">
        <v>4</v>
      </c>
      <c r="H721">
        <v>1</v>
      </c>
      <c r="I721">
        <v>1</v>
      </c>
      <c r="J721">
        <v>1</v>
      </c>
      <c r="K721" s="6">
        <v>100</v>
      </c>
      <c r="L721" s="6">
        <v>0</v>
      </c>
      <c r="M721" s="6">
        <v>100</v>
      </c>
      <c r="N721">
        <v>0</v>
      </c>
      <c r="O721" s="6">
        <v>0</v>
      </c>
      <c r="P721">
        <v>0</v>
      </c>
      <c r="Q721" s="8">
        <v>399.88</v>
      </c>
      <c r="R721" s="8">
        <v>399.88</v>
      </c>
      <c r="S721" s="9" t="s">
        <v>541</v>
      </c>
    </row>
    <row r="722" spans="1:19" hidden="1" x14ac:dyDescent="0.25">
      <c r="A722" t="s">
        <v>123</v>
      </c>
      <c r="B722" t="s">
        <v>77</v>
      </c>
      <c r="C722" t="s">
        <v>128</v>
      </c>
      <c r="D722" t="s">
        <v>533</v>
      </c>
      <c r="E722" t="s">
        <v>94</v>
      </c>
      <c r="F722" t="s">
        <v>6</v>
      </c>
      <c r="G722">
        <v>11</v>
      </c>
      <c r="H722">
        <v>1</v>
      </c>
      <c r="I722">
        <v>1</v>
      </c>
      <c r="J722">
        <v>1</v>
      </c>
      <c r="K722" s="6">
        <v>98.44</v>
      </c>
      <c r="L722" s="6">
        <v>-1.56</v>
      </c>
      <c r="M722" s="6">
        <v>98.44</v>
      </c>
      <c r="N722">
        <v>0</v>
      </c>
      <c r="O722" s="6">
        <v>0</v>
      </c>
      <c r="P722">
        <v>0</v>
      </c>
      <c r="Q722" s="8">
        <v>399.88</v>
      </c>
      <c r="R722" s="8">
        <v>393.62</v>
      </c>
      <c r="S722" s="9" t="s">
        <v>541</v>
      </c>
    </row>
    <row r="723" spans="1:19" hidden="1" x14ac:dyDescent="0.25">
      <c r="A723" t="s">
        <v>123</v>
      </c>
      <c r="B723" t="s">
        <v>76</v>
      </c>
      <c r="C723" t="s">
        <v>124</v>
      </c>
      <c r="D723" t="s">
        <v>539</v>
      </c>
      <c r="E723" t="s">
        <v>91</v>
      </c>
      <c r="F723" t="s">
        <v>91</v>
      </c>
      <c r="G723">
        <v>0</v>
      </c>
      <c r="H723">
        <v>1</v>
      </c>
      <c r="I723">
        <v>1</v>
      </c>
      <c r="J723">
        <v>1</v>
      </c>
      <c r="K723" s="6">
        <v>100</v>
      </c>
      <c r="L723" s="6">
        <v>0</v>
      </c>
      <c r="M723" s="6">
        <v>100</v>
      </c>
      <c r="N723">
        <v>0</v>
      </c>
      <c r="O723" s="6">
        <v>0</v>
      </c>
      <c r="P723">
        <v>0</v>
      </c>
      <c r="Q723" s="8">
        <v>214.38</v>
      </c>
      <c r="R723" s="8">
        <v>214.38</v>
      </c>
      <c r="S723" s="9" t="s">
        <v>540</v>
      </c>
    </row>
    <row r="724" spans="1:19" hidden="1" x14ac:dyDescent="0.25">
      <c r="A724" t="s">
        <v>123</v>
      </c>
      <c r="B724" t="s">
        <v>76</v>
      </c>
      <c r="C724" t="s">
        <v>124</v>
      </c>
      <c r="D724" t="s">
        <v>539</v>
      </c>
      <c r="E724" t="s">
        <v>91</v>
      </c>
      <c r="F724" t="s">
        <v>96</v>
      </c>
      <c r="G724">
        <v>5</v>
      </c>
      <c r="H724">
        <v>1</v>
      </c>
      <c r="I724">
        <v>1</v>
      </c>
      <c r="J724">
        <v>0</v>
      </c>
      <c r="M724" s="6">
        <v>79.819999999999993</v>
      </c>
      <c r="O724" s="6">
        <v>100</v>
      </c>
      <c r="P724">
        <v>1</v>
      </c>
      <c r="S724" s="9" t="s">
        <v>542</v>
      </c>
    </row>
    <row r="725" spans="1:19" hidden="1" x14ac:dyDescent="0.25">
      <c r="A725" t="s">
        <v>123</v>
      </c>
      <c r="B725" t="s">
        <v>76</v>
      </c>
      <c r="C725" t="s">
        <v>124</v>
      </c>
      <c r="D725" t="s">
        <v>539</v>
      </c>
      <c r="E725" t="s">
        <v>91</v>
      </c>
      <c r="F725" t="s">
        <v>6</v>
      </c>
      <c r="G725">
        <v>12</v>
      </c>
      <c r="H725">
        <v>1</v>
      </c>
      <c r="I725">
        <v>1</v>
      </c>
      <c r="J725">
        <v>0</v>
      </c>
      <c r="M725" s="6">
        <v>88.58</v>
      </c>
      <c r="O725" s="6">
        <v>100</v>
      </c>
      <c r="P725">
        <v>1</v>
      </c>
      <c r="S725" s="9" t="s">
        <v>542</v>
      </c>
    </row>
    <row r="726" spans="1:19" hidden="1" x14ac:dyDescent="0.25">
      <c r="A726" t="s">
        <v>123</v>
      </c>
      <c r="B726" t="s">
        <v>76</v>
      </c>
      <c r="C726" t="s">
        <v>124</v>
      </c>
      <c r="D726" t="s">
        <v>527</v>
      </c>
      <c r="E726" t="s">
        <v>90</v>
      </c>
      <c r="F726" t="s">
        <v>90</v>
      </c>
      <c r="G726">
        <v>0</v>
      </c>
      <c r="H726">
        <v>2</v>
      </c>
      <c r="I726">
        <v>2</v>
      </c>
      <c r="J726">
        <v>2</v>
      </c>
      <c r="K726" s="6">
        <v>100</v>
      </c>
      <c r="L726" s="6">
        <v>0</v>
      </c>
      <c r="M726" s="6">
        <v>100</v>
      </c>
      <c r="N726">
        <v>0</v>
      </c>
      <c r="O726" s="6">
        <v>0</v>
      </c>
      <c r="P726">
        <v>0</v>
      </c>
      <c r="Q726" s="8">
        <v>154.71</v>
      </c>
      <c r="R726" s="8">
        <v>154.71</v>
      </c>
      <c r="S726" s="9" t="s">
        <v>536</v>
      </c>
    </row>
    <row r="727" spans="1:19" hidden="1" x14ac:dyDescent="0.25">
      <c r="A727" t="s">
        <v>123</v>
      </c>
      <c r="B727" t="s">
        <v>76</v>
      </c>
      <c r="C727" t="s">
        <v>124</v>
      </c>
      <c r="D727" t="s">
        <v>527</v>
      </c>
      <c r="E727" t="s">
        <v>90</v>
      </c>
      <c r="F727" t="s">
        <v>91</v>
      </c>
      <c r="G727">
        <v>1</v>
      </c>
      <c r="H727">
        <v>2</v>
      </c>
      <c r="I727">
        <v>2</v>
      </c>
      <c r="J727">
        <v>2</v>
      </c>
      <c r="K727" s="6">
        <v>100</v>
      </c>
      <c r="L727" s="6">
        <v>0</v>
      </c>
      <c r="M727" s="6">
        <v>100</v>
      </c>
      <c r="N727">
        <v>0</v>
      </c>
      <c r="O727" s="6">
        <v>0</v>
      </c>
      <c r="P727">
        <v>0</v>
      </c>
      <c r="Q727" s="8">
        <v>154.71</v>
      </c>
      <c r="R727" s="8">
        <v>154.71</v>
      </c>
      <c r="S727" s="9" t="s">
        <v>537</v>
      </c>
    </row>
    <row r="728" spans="1:19" hidden="1" x14ac:dyDescent="0.25">
      <c r="A728" t="s">
        <v>123</v>
      </c>
      <c r="B728" t="s">
        <v>76</v>
      </c>
      <c r="C728" t="s">
        <v>124</v>
      </c>
      <c r="D728" t="s">
        <v>527</v>
      </c>
      <c r="E728" t="s">
        <v>90</v>
      </c>
      <c r="F728" t="s">
        <v>94</v>
      </c>
      <c r="G728">
        <v>2</v>
      </c>
      <c r="H728">
        <v>2</v>
      </c>
      <c r="I728">
        <v>2</v>
      </c>
      <c r="J728">
        <v>2</v>
      </c>
      <c r="K728" s="6">
        <v>100</v>
      </c>
      <c r="L728" s="6">
        <v>0</v>
      </c>
      <c r="M728" s="6">
        <v>100</v>
      </c>
      <c r="N728">
        <v>0</v>
      </c>
      <c r="O728" s="6">
        <v>0</v>
      </c>
      <c r="P728">
        <v>0</v>
      </c>
      <c r="Q728" s="8">
        <v>154.71</v>
      </c>
      <c r="R728" s="8">
        <v>154.71</v>
      </c>
      <c r="S728" s="9" t="s">
        <v>537</v>
      </c>
    </row>
    <row r="729" spans="1:19" hidden="1" x14ac:dyDescent="0.25">
      <c r="A729" t="s">
        <v>123</v>
      </c>
      <c r="B729" t="s">
        <v>76</v>
      </c>
      <c r="C729" t="s">
        <v>124</v>
      </c>
      <c r="D729" t="s">
        <v>527</v>
      </c>
      <c r="E729" t="s">
        <v>90</v>
      </c>
      <c r="F729" t="s">
        <v>96</v>
      </c>
      <c r="G729">
        <v>6</v>
      </c>
      <c r="H729">
        <v>2</v>
      </c>
      <c r="I729">
        <v>2</v>
      </c>
      <c r="J729">
        <v>2</v>
      </c>
      <c r="K729" s="6">
        <v>100</v>
      </c>
      <c r="L729" s="6">
        <v>0</v>
      </c>
      <c r="M729" s="6">
        <v>100</v>
      </c>
      <c r="N729">
        <v>0</v>
      </c>
      <c r="O729" s="6">
        <v>0</v>
      </c>
      <c r="P729">
        <v>0</v>
      </c>
      <c r="Q729" s="8">
        <v>154.71</v>
      </c>
      <c r="R729" s="8">
        <v>154.71</v>
      </c>
      <c r="S729" s="9" t="s">
        <v>537</v>
      </c>
    </row>
    <row r="730" spans="1:19" hidden="1" x14ac:dyDescent="0.25">
      <c r="A730" t="s">
        <v>123</v>
      </c>
      <c r="B730" t="s">
        <v>76</v>
      </c>
      <c r="C730" t="s">
        <v>124</v>
      </c>
      <c r="D730" t="s">
        <v>527</v>
      </c>
      <c r="E730" t="s">
        <v>90</v>
      </c>
      <c r="F730" t="s">
        <v>6</v>
      </c>
      <c r="G730">
        <v>13</v>
      </c>
      <c r="H730">
        <v>2</v>
      </c>
      <c r="I730">
        <v>2</v>
      </c>
      <c r="J730">
        <v>2</v>
      </c>
      <c r="K730" s="6">
        <v>98.8</v>
      </c>
      <c r="L730" s="6">
        <v>-1.2</v>
      </c>
      <c r="M730" s="6">
        <v>98.8</v>
      </c>
      <c r="N730">
        <v>0</v>
      </c>
      <c r="O730" s="6">
        <v>0</v>
      </c>
      <c r="P730">
        <v>0</v>
      </c>
      <c r="Q730" s="8">
        <v>154.71</v>
      </c>
      <c r="R730" s="8">
        <v>152.84</v>
      </c>
      <c r="S730" s="9" t="s">
        <v>537</v>
      </c>
    </row>
    <row r="731" spans="1:19" hidden="1" x14ac:dyDescent="0.25">
      <c r="A731" t="s">
        <v>123</v>
      </c>
      <c r="B731" t="s">
        <v>76</v>
      </c>
      <c r="C731" t="s">
        <v>124</v>
      </c>
      <c r="D731" t="s">
        <v>530</v>
      </c>
      <c r="E731" t="s">
        <v>90</v>
      </c>
      <c r="F731" t="s">
        <v>90</v>
      </c>
      <c r="G731">
        <v>0</v>
      </c>
      <c r="H731">
        <v>3</v>
      </c>
      <c r="I731">
        <v>3</v>
      </c>
      <c r="J731">
        <v>3</v>
      </c>
      <c r="K731" s="6">
        <v>100</v>
      </c>
      <c r="L731" s="6">
        <v>0</v>
      </c>
      <c r="M731" s="6">
        <v>100</v>
      </c>
      <c r="N731">
        <v>0</v>
      </c>
      <c r="O731" s="6">
        <v>0</v>
      </c>
      <c r="P731">
        <v>0</v>
      </c>
      <c r="Q731" s="8">
        <v>177.09</v>
      </c>
      <c r="R731" s="8">
        <v>177.09</v>
      </c>
      <c r="S731" s="9" t="s">
        <v>525</v>
      </c>
    </row>
    <row r="732" spans="1:19" hidden="1" x14ac:dyDescent="0.25">
      <c r="A732" t="s">
        <v>123</v>
      </c>
      <c r="B732" t="s">
        <v>76</v>
      </c>
      <c r="C732" t="s">
        <v>124</v>
      </c>
      <c r="D732" t="s">
        <v>530</v>
      </c>
      <c r="E732" t="s">
        <v>90</v>
      </c>
      <c r="F732" t="s">
        <v>91</v>
      </c>
      <c r="G732">
        <v>1</v>
      </c>
      <c r="H732">
        <v>3</v>
      </c>
      <c r="I732">
        <v>3</v>
      </c>
      <c r="J732">
        <v>3</v>
      </c>
      <c r="K732" s="6">
        <v>100</v>
      </c>
      <c r="L732" s="6">
        <v>0</v>
      </c>
      <c r="M732" s="6">
        <v>100</v>
      </c>
      <c r="N732">
        <v>0</v>
      </c>
      <c r="O732" s="6">
        <v>0</v>
      </c>
      <c r="P732">
        <v>0</v>
      </c>
      <c r="Q732" s="8">
        <v>177.09</v>
      </c>
      <c r="R732" s="8">
        <v>177.09</v>
      </c>
      <c r="S732" s="9" t="s">
        <v>526</v>
      </c>
    </row>
    <row r="733" spans="1:19" hidden="1" x14ac:dyDescent="0.25">
      <c r="A733" t="s">
        <v>123</v>
      </c>
      <c r="B733" t="s">
        <v>76</v>
      </c>
      <c r="C733" t="s">
        <v>124</v>
      </c>
      <c r="D733" t="s">
        <v>530</v>
      </c>
      <c r="E733" t="s">
        <v>90</v>
      </c>
      <c r="F733" t="s">
        <v>94</v>
      </c>
      <c r="G733">
        <v>2</v>
      </c>
      <c r="H733">
        <v>3</v>
      </c>
      <c r="I733">
        <v>3</v>
      </c>
      <c r="J733">
        <v>3</v>
      </c>
      <c r="K733" s="6">
        <v>100</v>
      </c>
      <c r="L733" s="6">
        <v>0</v>
      </c>
      <c r="M733" s="6">
        <v>100</v>
      </c>
      <c r="N733">
        <v>0</v>
      </c>
      <c r="O733" s="6">
        <v>0</v>
      </c>
      <c r="P733">
        <v>0</v>
      </c>
      <c r="Q733" s="8">
        <v>177.09</v>
      </c>
      <c r="R733" s="8">
        <v>177.09</v>
      </c>
      <c r="S733" s="9" t="s">
        <v>526</v>
      </c>
    </row>
    <row r="734" spans="1:19" hidden="1" x14ac:dyDescent="0.25">
      <c r="A734" t="s">
        <v>123</v>
      </c>
      <c r="B734" t="s">
        <v>76</v>
      </c>
      <c r="C734" t="s">
        <v>124</v>
      </c>
      <c r="D734" t="s">
        <v>530</v>
      </c>
      <c r="E734" t="s">
        <v>90</v>
      </c>
      <c r="F734" t="s">
        <v>96</v>
      </c>
      <c r="G734">
        <v>6</v>
      </c>
      <c r="H734">
        <v>3</v>
      </c>
      <c r="I734">
        <v>3</v>
      </c>
      <c r="J734">
        <v>3</v>
      </c>
      <c r="K734" s="6">
        <v>100</v>
      </c>
      <c r="L734" s="6">
        <v>0</v>
      </c>
      <c r="M734" s="6">
        <v>100</v>
      </c>
      <c r="N734">
        <v>0</v>
      </c>
      <c r="O734" s="6">
        <v>0</v>
      </c>
      <c r="P734">
        <v>0</v>
      </c>
      <c r="Q734" s="8">
        <v>177.09</v>
      </c>
      <c r="R734" s="8">
        <v>177.09</v>
      </c>
      <c r="S734" s="9" t="s">
        <v>526</v>
      </c>
    </row>
    <row r="735" spans="1:19" hidden="1" x14ac:dyDescent="0.25">
      <c r="A735" t="s">
        <v>123</v>
      </c>
      <c r="B735" t="s">
        <v>76</v>
      </c>
      <c r="C735" t="s">
        <v>124</v>
      </c>
      <c r="D735" t="s">
        <v>530</v>
      </c>
      <c r="E735" t="s">
        <v>90</v>
      </c>
      <c r="F735" t="s">
        <v>6</v>
      </c>
      <c r="G735">
        <v>13</v>
      </c>
      <c r="H735">
        <v>3</v>
      </c>
      <c r="I735">
        <v>3</v>
      </c>
      <c r="J735">
        <v>3</v>
      </c>
      <c r="K735" s="6">
        <v>100.05</v>
      </c>
      <c r="L735" s="6">
        <v>0</v>
      </c>
      <c r="M735" s="6">
        <v>100.05</v>
      </c>
      <c r="N735">
        <v>0</v>
      </c>
      <c r="O735" s="6">
        <v>0</v>
      </c>
      <c r="P735">
        <v>0</v>
      </c>
      <c r="Q735" s="8">
        <v>177.09</v>
      </c>
      <c r="R735" s="8">
        <v>177.17</v>
      </c>
      <c r="S735" s="9" t="s">
        <v>526</v>
      </c>
    </row>
    <row r="736" spans="1:19" hidden="1" x14ac:dyDescent="0.25">
      <c r="A736" t="s">
        <v>123</v>
      </c>
      <c r="B736" t="s">
        <v>76</v>
      </c>
      <c r="C736" t="s">
        <v>124</v>
      </c>
      <c r="D736" t="s">
        <v>531</v>
      </c>
      <c r="E736" t="s">
        <v>90</v>
      </c>
      <c r="F736" t="s">
        <v>90</v>
      </c>
      <c r="G736">
        <v>0</v>
      </c>
      <c r="H736">
        <v>2</v>
      </c>
      <c r="I736">
        <v>2</v>
      </c>
      <c r="J736">
        <v>2</v>
      </c>
      <c r="K736" s="6">
        <v>100</v>
      </c>
      <c r="L736" s="6">
        <v>0</v>
      </c>
      <c r="M736" s="6">
        <v>100</v>
      </c>
      <c r="N736">
        <v>0</v>
      </c>
      <c r="O736" s="6">
        <v>0</v>
      </c>
      <c r="P736">
        <v>0</v>
      </c>
      <c r="Q736" s="8">
        <v>183.11</v>
      </c>
      <c r="R736" s="8">
        <v>183.11</v>
      </c>
      <c r="S736" s="9" t="s">
        <v>536</v>
      </c>
    </row>
    <row r="737" spans="1:19" hidden="1" x14ac:dyDescent="0.25">
      <c r="A737" t="s">
        <v>123</v>
      </c>
      <c r="B737" t="s">
        <v>76</v>
      </c>
      <c r="C737" t="s">
        <v>124</v>
      </c>
      <c r="D737" t="s">
        <v>531</v>
      </c>
      <c r="E737" t="s">
        <v>90</v>
      </c>
      <c r="F737" t="s">
        <v>91</v>
      </c>
      <c r="G737">
        <v>1</v>
      </c>
      <c r="H737">
        <v>2</v>
      </c>
      <c r="I737">
        <v>3</v>
      </c>
      <c r="J737">
        <v>2</v>
      </c>
      <c r="K737" s="6">
        <v>100</v>
      </c>
      <c r="L737" s="6">
        <v>0</v>
      </c>
      <c r="M737" s="6">
        <v>108.06</v>
      </c>
      <c r="N737">
        <v>8.06</v>
      </c>
      <c r="O737" s="6">
        <v>0</v>
      </c>
      <c r="P737">
        <v>1</v>
      </c>
      <c r="Q737" s="8">
        <v>183.11</v>
      </c>
      <c r="R737" s="8">
        <v>183.11</v>
      </c>
      <c r="S737" s="9" t="s">
        <v>537</v>
      </c>
    </row>
    <row r="738" spans="1:19" hidden="1" x14ac:dyDescent="0.25">
      <c r="A738" t="s">
        <v>123</v>
      </c>
      <c r="B738" t="s">
        <v>76</v>
      </c>
      <c r="C738" t="s">
        <v>124</v>
      </c>
      <c r="D738" t="s">
        <v>531</v>
      </c>
      <c r="E738" t="s">
        <v>90</v>
      </c>
      <c r="F738" t="s">
        <v>94</v>
      </c>
      <c r="G738">
        <v>2</v>
      </c>
      <c r="H738">
        <v>2</v>
      </c>
      <c r="I738">
        <v>3</v>
      </c>
      <c r="J738">
        <v>2</v>
      </c>
      <c r="K738" s="6">
        <v>100</v>
      </c>
      <c r="L738" s="6">
        <v>0</v>
      </c>
      <c r="M738" s="6">
        <v>108.06</v>
      </c>
      <c r="N738">
        <v>8.06</v>
      </c>
      <c r="O738" s="6">
        <v>0</v>
      </c>
      <c r="P738">
        <v>1</v>
      </c>
      <c r="Q738" s="8">
        <v>183.11</v>
      </c>
      <c r="R738" s="8">
        <v>183.11</v>
      </c>
      <c r="S738" s="9" t="s">
        <v>537</v>
      </c>
    </row>
    <row r="739" spans="1:19" hidden="1" x14ac:dyDescent="0.25">
      <c r="A739" t="s">
        <v>123</v>
      </c>
      <c r="B739" t="s">
        <v>76</v>
      </c>
      <c r="C739" t="s">
        <v>124</v>
      </c>
      <c r="D739" t="s">
        <v>531</v>
      </c>
      <c r="E739" t="s">
        <v>90</v>
      </c>
      <c r="F739" t="s">
        <v>96</v>
      </c>
      <c r="G739">
        <v>6</v>
      </c>
      <c r="H739">
        <v>2</v>
      </c>
      <c r="I739">
        <v>3</v>
      </c>
      <c r="J739">
        <v>2</v>
      </c>
      <c r="K739" s="6">
        <v>100</v>
      </c>
      <c r="L739" s="6">
        <v>0</v>
      </c>
      <c r="M739" s="6">
        <v>108.06</v>
      </c>
      <c r="N739">
        <v>8.06</v>
      </c>
      <c r="O739" s="6">
        <v>0</v>
      </c>
      <c r="P739">
        <v>1</v>
      </c>
      <c r="Q739" s="8">
        <v>183.11</v>
      </c>
      <c r="R739" s="8">
        <v>183.11</v>
      </c>
      <c r="S739" s="9" t="s">
        <v>537</v>
      </c>
    </row>
    <row r="740" spans="1:19" hidden="1" x14ac:dyDescent="0.25">
      <c r="A740" t="s">
        <v>123</v>
      </c>
      <c r="B740" t="s">
        <v>76</v>
      </c>
      <c r="C740" t="s">
        <v>124</v>
      </c>
      <c r="D740" t="s">
        <v>531</v>
      </c>
      <c r="E740" t="s">
        <v>90</v>
      </c>
      <c r="F740" t="s">
        <v>6</v>
      </c>
      <c r="G740">
        <v>13</v>
      </c>
      <c r="H740">
        <v>2</v>
      </c>
      <c r="I740">
        <v>3</v>
      </c>
      <c r="J740">
        <v>2</v>
      </c>
      <c r="K740" s="6">
        <v>99.66</v>
      </c>
      <c r="L740" s="6">
        <v>-0.33</v>
      </c>
      <c r="M740" s="6">
        <v>107.83</v>
      </c>
      <c r="N740">
        <v>8.17</v>
      </c>
      <c r="O740" s="6">
        <v>0</v>
      </c>
      <c r="P740">
        <v>1</v>
      </c>
      <c r="Q740" s="8">
        <v>183.11</v>
      </c>
      <c r="R740" s="8">
        <v>182.49</v>
      </c>
      <c r="S740" s="9" t="s">
        <v>537</v>
      </c>
    </row>
    <row r="741" spans="1:19" hidden="1" x14ac:dyDescent="0.25">
      <c r="A741" t="s">
        <v>123</v>
      </c>
      <c r="B741" t="s">
        <v>76</v>
      </c>
      <c r="C741" t="s">
        <v>124</v>
      </c>
      <c r="D741" t="s">
        <v>532</v>
      </c>
      <c r="E741" t="s">
        <v>90</v>
      </c>
      <c r="F741" t="s">
        <v>90</v>
      </c>
      <c r="G741">
        <v>0</v>
      </c>
      <c r="H741">
        <v>3</v>
      </c>
      <c r="I741">
        <v>3</v>
      </c>
      <c r="J741">
        <v>3</v>
      </c>
      <c r="K741" s="6">
        <v>100</v>
      </c>
      <c r="L741" s="6">
        <v>0</v>
      </c>
      <c r="M741" s="6">
        <v>100</v>
      </c>
      <c r="N741">
        <v>0</v>
      </c>
      <c r="O741" s="6">
        <v>0</v>
      </c>
      <c r="P741">
        <v>0</v>
      </c>
      <c r="Q741" s="8">
        <v>162.91</v>
      </c>
      <c r="R741" s="8">
        <v>162.91</v>
      </c>
      <c r="S741" s="9" t="s">
        <v>525</v>
      </c>
    </row>
    <row r="742" spans="1:19" hidden="1" x14ac:dyDescent="0.25">
      <c r="A742" t="s">
        <v>123</v>
      </c>
      <c r="B742" t="s">
        <v>76</v>
      </c>
      <c r="C742" t="s">
        <v>124</v>
      </c>
      <c r="D742" t="s">
        <v>532</v>
      </c>
      <c r="E742" t="s">
        <v>90</v>
      </c>
      <c r="F742" t="s">
        <v>91</v>
      </c>
      <c r="G742">
        <v>1</v>
      </c>
      <c r="H742">
        <v>3</v>
      </c>
      <c r="I742">
        <v>3</v>
      </c>
      <c r="J742">
        <v>3</v>
      </c>
      <c r="K742" s="6">
        <v>100</v>
      </c>
      <c r="L742" s="6">
        <v>0</v>
      </c>
      <c r="M742" s="6">
        <v>100</v>
      </c>
      <c r="N742">
        <v>0</v>
      </c>
      <c r="O742" s="6">
        <v>0</v>
      </c>
      <c r="P742">
        <v>0</v>
      </c>
      <c r="Q742" s="8">
        <v>162.91</v>
      </c>
      <c r="R742" s="8">
        <v>162.91</v>
      </c>
      <c r="S742" s="9" t="s">
        <v>526</v>
      </c>
    </row>
    <row r="743" spans="1:19" hidden="1" x14ac:dyDescent="0.25">
      <c r="A743" t="s">
        <v>123</v>
      </c>
      <c r="B743" t="s">
        <v>76</v>
      </c>
      <c r="C743" t="s">
        <v>124</v>
      </c>
      <c r="D743" t="s">
        <v>532</v>
      </c>
      <c r="E743" t="s">
        <v>90</v>
      </c>
      <c r="F743" t="s">
        <v>94</v>
      </c>
      <c r="G743">
        <v>2</v>
      </c>
      <c r="H743">
        <v>3</v>
      </c>
      <c r="I743">
        <v>3</v>
      </c>
      <c r="J743">
        <v>3</v>
      </c>
      <c r="K743" s="6">
        <v>100.2</v>
      </c>
      <c r="L743" s="6">
        <v>0</v>
      </c>
      <c r="M743" s="6">
        <v>100.2</v>
      </c>
      <c r="N743">
        <v>0</v>
      </c>
      <c r="O743" s="6">
        <v>0</v>
      </c>
      <c r="P743">
        <v>0</v>
      </c>
      <c r="Q743" s="8">
        <v>162.91</v>
      </c>
      <c r="R743" s="8">
        <v>163.24</v>
      </c>
      <c r="S743" s="9" t="s">
        <v>526</v>
      </c>
    </row>
    <row r="744" spans="1:19" hidden="1" x14ac:dyDescent="0.25">
      <c r="A744" t="s">
        <v>123</v>
      </c>
      <c r="B744" t="s">
        <v>76</v>
      </c>
      <c r="C744" t="s">
        <v>124</v>
      </c>
      <c r="D744" t="s">
        <v>532</v>
      </c>
      <c r="E744" t="s">
        <v>90</v>
      </c>
      <c r="F744" t="s">
        <v>96</v>
      </c>
      <c r="G744">
        <v>6</v>
      </c>
      <c r="H744">
        <v>3</v>
      </c>
      <c r="I744">
        <v>3</v>
      </c>
      <c r="J744">
        <v>3</v>
      </c>
      <c r="K744" s="6">
        <v>100.2</v>
      </c>
      <c r="L744" s="6">
        <v>0</v>
      </c>
      <c r="M744" s="6">
        <v>100.2</v>
      </c>
      <c r="N744">
        <v>0</v>
      </c>
      <c r="O744" s="6">
        <v>0</v>
      </c>
      <c r="P744">
        <v>0</v>
      </c>
      <c r="Q744" s="8">
        <v>162.91</v>
      </c>
      <c r="R744" s="8">
        <v>163.24</v>
      </c>
      <c r="S744" s="9" t="s">
        <v>526</v>
      </c>
    </row>
    <row r="745" spans="1:19" hidden="1" x14ac:dyDescent="0.25">
      <c r="A745" t="s">
        <v>123</v>
      </c>
      <c r="B745" t="s">
        <v>76</v>
      </c>
      <c r="C745" t="s">
        <v>124</v>
      </c>
      <c r="D745" t="s">
        <v>532</v>
      </c>
      <c r="E745" t="s">
        <v>90</v>
      </c>
      <c r="F745" t="s">
        <v>6</v>
      </c>
      <c r="G745">
        <v>13</v>
      </c>
      <c r="H745">
        <v>3</v>
      </c>
      <c r="I745">
        <v>3</v>
      </c>
      <c r="J745">
        <v>3</v>
      </c>
      <c r="K745" s="6">
        <v>100.2</v>
      </c>
      <c r="L745" s="6">
        <v>0</v>
      </c>
      <c r="M745" s="6">
        <v>100.2</v>
      </c>
      <c r="N745">
        <v>0</v>
      </c>
      <c r="O745" s="6">
        <v>0</v>
      </c>
      <c r="P745">
        <v>0</v>
      </c>
      <c r="Q745" s="8">
        <v>162.91</v>
      </c>
      <c r="R745" s="8">
        <v>163.24</v>
      </c>
      <c r="S745" s="9" t="s">
        <v>526</v>
      </c>
    </row>
    <row r="746" spans="1:19" hidden="1" x14ac:dyDescent="0.25">
      <c r="A746" t="s">
        <v>123</v>
      </c>
      <c r="B746" t="s">
        <v>76</v>
      </c>
      <c r="C746" t="s">
        <v>124</v>
      </c>
      <c r="D746" t="s">
        <v>533</v>
      </c>
      <c r="E746" t="s">
        <v>94</v>
      </c>
      <c r="F746" t="s">
        <v>94</v>
      </c>
      <c r="G746">
        <v>0</v>
      </c>
      <c r="H746">
        <v>6</v>
      </c>
      <c r="I746">
        <v>6</v>
      </c>
      <c r="J746">
        <v>6</v>
      </c>
      <c r="K746" s="6">
        <v>100</v>
      </c>
      <c r="L746" s="6">
        <v>0</v>
      </c>
      <c r="M746" s="6">
        <v>100</v>
      </c>
      <c r="N746">
        <v>0</v>
      </c>
      <c r="O746" s="6">
        <v>0</v>
      </c>
      <c r="P746">
        <v>0</v>
      </c>
      <c r="Q746" s="8">
        <v>168.65</v>
      </c>
      <c r="R746" s="8">
        <v>168.65</v>
      </c>
      <c r="S746" s="9" t="s">
        <v>534</v>
      </c>
    </row>
    <row r="747" spans="1:19" hidden="1" x14ac:dyDescent="0.25">
      <c r="A747" t="s">
        <v>123</v>
      </c>
      <c r="B747" t="s">
        <v>76</v>
      </c>
      <c r="C747" t="s">
        <v>124</v>
      </c>
      <c r="D747" t="s">
        <v>533</v>
      </c>
      <c r="E747" t="s">
        <v>94</v>
      </c>
      <c r="F747" t="s">
        <v>96</v>
      </c>
      <c r="G747">
        <v>4</v>
      </c>
      <c r="H747">
        <v>6</v>
      </c>
      <c r="I747">
        <v>6</v>
      </c>
      <c r="J747">
        <v>6</v>
      </c>
      <c r="K747" s="6">
        <v>100</v>
      </c>
      <c r="L747" s="6">
        <v>0</v>
      </c>
      <c r="M747" s="6">
        <v>100</v>
      </c>
      <c r="N747">
        <v>0</v>
      </c>
      <c r="O747" s="6">
        <v>0</v>
      </c>
      <c r="P747">
        <v>0</v>
      </c>
      <c r="Q747" s="8">
        <v>168.65</v>
      </c>
      <c r="R747" s="8">
        <v>168.65</v>
      </c>
      <c r="S747" s="9" t="s">
        <v>535</v>
      </c>
    </row>
    <row r="748" spans="1:19" hidden="1" x14ac:dyDescent="0.25">
      <c r="A748" t="s">
        <v>123</v>
      </c>
      <c r="B748" t="s">
        <v>76</v>
      </c>
      <c r="C748" t="s">
        <v>124</v>
      </c>
      <c r="D748" t="s">
        <v>533</v>
      </c>
      <c r="E748" t="s">
        <v>94</v>
      </c>
      <c r="F748" t="s">
        <v>6</v>
      </c>
      <c r="G748">
        <v>11</v>
      </c>
      <c r="H748">
        <v>6</v>
      </c>
      <c r="I748">
        <v>6</v>
      </c>
      <c r="J748">
        <v>6</v>
      </c>
      <c r="K748" s="6">
        <v>100.15</v>
      </c>
      <c r="L748" s="6">
        <v>0</v>
      </c>
      <c r="M748" s="6">
        <v>100.15</v>
      </c>
      <c r="N748">
        <v>0</v>
      </c>
      <c r="O748" s="6">
        <v>0</v>
      </c>
      <c r="P748">
        <v>0</v>
      </c>
      <c r="Q748" s="8">
        <v>168.65</v>
      </c>
      <c r="R748" s="8">
        <v>168.9</v>
      </c>
      <c r="S748" s="9" t="s">
        <v>535</v>
      </c>
    </row>
    <row r="749" spans="1:19" hidden="1" x14ac:dyDescent="0.25">
      <c r="A749" t="s">
        <v>123</v>
      </c>
      <c r="B749" t="s">
        <v>76</v>
      </c>
      <c r="C749" t="s">
        <v>124</v>
      </c>
      <c r="D749" t="s">
        <v>545</v>
      </c>
      <c r="E749" t="s">
        <v>94</v>
      </c>
      <c r="F749" t="s">
        <v>94</v>
      </c>
      <c r="G749">
        <v>0</v>
      </c>
      <c r="H749">
        <v>4</v>
      </c>
      <c r="I749">
        <v>4</v>
      </c>
      <c r="J749">
        <v>4</v>
      </c>
      <c r="K749" s="6">
        <v>100</v>
      </c>
      <c r="L749" s="6">
        <v>0</v>
      </c>
      <c r="M749" s="6">
        <v>100</v>
      </c>
      <c r="N749">
        <v>0</v>
      </c>
      <c r="O749" s="6">
        <v>0</v>
      </c>
      <c r="P749">
        <v>0</v>
      </c>
      <c r="Q749" s="8">
        <v>175.57</v>
      </c>
      <c r="R749" s="8">
        <v>175.57</v>
      </c>
      <c r="S749" s="9" t="s">
        <v>605</v>
      </c>
    </row>
    <row r="750" spans="1:19" hidden="1" x14ac:dyDescent="0.25">
      <c r="A750" t="s">
        <v>123</v>
      </c>
      <c r="B750" t="s">
        <v>76</v>
      </c>
      <c r="C750" t="s">
        <v>124</v>
      </c>
      <c r="D750" t="s">
        <v>545</v>
      </c>
      <c r="E750" t="s">
        <v>94</v>
      </c>
      <c r="F750" t="s">
        <v>96</v>
      </c>
      <c r="G750">
        <v>4</v>
      </c>
      <c r="H750">
        <v>4</v>
      </c>
      <c r="I750">
        <v>4</v>
      </c>
      <c r="J750">
        <v>4</v>
      </c>
      <c r="K750" s="6">
        <v>100</v>
      </c>
      <c r="L750" s="6">
        <v>0</v>
      </c>
      <c r="M750" s="6">
        <v>100</v>
      </c>
      <c r="N750">
        <v>0</v>
      </c>
      <c r="O750" s="6">
        <v>0</v>
      </c>
      <c r="P750">
        <v>0</v>
      </c>
      <c r="Q750" s="8">
        <v>175.57</v>
      </c>
      <c r="R750" s="8">
        <v>175.57</v>
      </c>
      <c r="S750" s="9" t="s">
        <v>548</v>
      </c>
    </row>
    <row r="751" spans="1:19" hidden="1" x14ac:dyDescent="0.25">
      <c r="A751" t="s">
        <v>123</v>
      </c>
      <c r="B751" t="s">
        <v>76</v>
      </c>
      <c r="C751" t="s">
        <v>124</v>
      </c>
      <c r="D751" t="s">
        <v>545</v>
      </c>
      <c r="E751" t="s">
        <v>94</v>
      </c>
      <c r="F751" t="s">
        <v>6</v>
      </c>
      <c r="G751">
        <v>11</v>
      </c>
      <c r="H751">
        <v>4</v>
      </c>
      <c r="I751">
        <v>4</v>
      </c>
      <c r="J751">
        <v>4</v>
      </c>
      <c r="K751" s="6">
        <v>99.15</v>
      </c>
      <c r="L751" s="6">
        <v>-0.95</v>
      </c>
      <c r="M751" s="6">
        <v>99.15</v>
      </c>
      <c r="N751">
        <v>0</v>
      </c>
      <c r="O751" s="6">
        <v>0</v>
      </c>
      <c r="P751">
        <v>0</v>
      </c>
      <c r="Q751" s="8">
        <v>175.57</v>
      </c>
      <c r="R751" s="8">
        <v>174.07</v>
      </c>
      <c r="S751" s="9" t="s">
        <v>548</v>
      </c>
    </row>
    <row r="752" spans="1:19" hidden="1" x14ac:dyDescent="0.25">
      <c r="A752" t="s">
        <v>123</v>
      </c>
      <c r="B752" t="s">
        <v>76</v>
      </c>
      <c r="C752" t="s">
        <v>126</v>
      </c>
      <c r="D752" t="s">
        <v>539</v>
      </c>
      <c r="E752" t="s">
        <v>96</v>
      </c>
      <c r="F752" t="s">
        <v>96</v>
      </c>
      <c r="G752">
        <v>0</v>
      </c>
      <c r="H752">
        <v>1</v>
      </c>
      <c r="I752">
        <v>1</v>
      </c>
      <c r="J752">
        <v>1</v>
      </c>
      <c r="K752" s="6">
        <v>100</v>
      </c>
      <c r="L752" s="6">
        <v>0</v>
      </c>
      <c r="M752" s="6">
        <v>100</v>
      </c>
      <c r="N752">
        <v>0</v>
      </c>
      <c r="O752" s="6">
        <v>0</v>
      </c>
      <c r="P752">
        <v>0</v>
      </c>
      <c r="Q752" s="8">
        <v>106.11</v>
      </c>
      <c r="R752" s="8">
        <v>106.11</v>
      </c>
      <c r="S752" s="9" t="s">
        <v>540</v>
      </c>
    </row>
    <row r="753" spans="1:19" hidden="1" x14ac:dyDescent="0.25">
      <c r="A753" t="s">
        <v>123</v>
      </c>
      <c r="B753" t="s">
        <v>76</v>
      </c>
      <c r="C753" t="s">
        <v>126</v>
      </c>
      <c r="D753" t="s">
        <v>539</v>
      </c>
      <c r="E753" t="s">
        <v>96</v>
      </c>
      <c r="F753" t="s">
        <v>6</v>
      </c>
      <c r="G753">
        <v>7</v>
      </c>
      <c r="H753">
        <v>1</v>
      </c>
      <c r="I753">
        <v>1</v>
      </c>
      <c r="J753">
        <v>1</v>
      </c>
      <c r="K753" s="6">
        <v>100</v>
      </c>
      <c r="L753" s="6">
        <v>0</v>
      </c>
      <c r="M753" s="6">
        <v>100</v>
      </c>
      <c r="N753">
        <v>0</v>
      </c>
      <c r="O753" s="6">
        <v>0</v>
      </c>
      <c r="P753">
        <v>0</v>
      </c>
      <c r="Q753" s="8">
        <v>106.11</v>
      </c>
      <c r="R753" s="8">
        <v>106.11</v>
      </c>
      <c r="S753" s="9" t="s">
        <v>541</v>
      </c>
    </row>
    <row r="754" spans="1:19" hidden="1" x14ac:dyDescent="0.25">
      <c r="A754" t="s">
        <v>123</v>
      </c>
      <c r="B754" t="s">
        <v>76</v>
      </c>
      <c r="C754" t="s">
        <v>126</v>
      </c>
      <c r="D754" t="s">
        <v>527</v>
      </c>
      <c r="E754" t="s">
        <v>90</v>
      </c>
      <c r="F754" t="s">
        <v>90</v>
      </c>
      <c r="G754">
        <v>0</v>
      </c>
      <c r="H754">
        <v>2</v>
      </c>
      <c r="I754">
        <v>2</v>
      </c>
      <c r="J754">
        <v>2</v>
      </c>
      <c r="K754" s="6">
        <v>100</v>
      </c>
      <c r="L754" s="6">
        <v>0</v>
      </c>
      <c r="M754" s="6">
        <v>100</v>
      </c>
      <c r="N754">
        <v>0</v>
      </c>
      <c r="O754" s="6">
        <v>0</v>
      </c>
      <c r="P754">
        <v>0</v>
      </c>
      <c r="Q754" s="8">
        <v>98.37</v>
      </c>
      <c r="R754" s="8">
        <v>98.37</v>
      </c>
      <c r="S754" s="9" t="s">
        <v>536</v>
      </c>
    </row>
    <row r="755" spans="1:19" hidden="1" x14ac:dyDescent="0.25">
      <c r="A755" t="s">
        <v>123</v>
      </c>
      <c r="B755" t="s">
        <v>76</v>
      </c>
      <c r="C755" t="s">
        <v>126</v>
      </c>
      <c r="D755" t="s">
        <v>527</v>
      </c>
      <c r="E755" t="s">
        <v>90</v>
      </c>
      <c r="F755" t="s">
        <v>91</v>
      </c>
      <c r="G755">
        <v>1</v>
      </c>
      <c r="H755">
        <v>2</v>
      </c>
      <c r="I755">
        <v>2</v>
      </c>
      <c r="J755">
        <v>2</v>
      </c>
      <c r="K755" s="6">
        <v>100</v>
      </c>
      <c r="L755" s="6">
        <v>0</v>
      </c>
      <c r="M755" s="6">
        <v>100</v>
      </c>
      <c r="N755">
        <v>0</v>
      </c>
      <c r="O755" s="6">
        <v>0</v>
      </c>
      <c r="P755">
        <v>0</v>
      </c>
      <c r="Q755" s="8">
        <v>98.37</v>
      </c>
      <c r="R755" s="8">
        <v>98.37</v>
      </c>
      <c r="S755" s="9" t="s">
        <v>537</v>
      </c>
    </row>
    <row r="756" spans="1:19" hidden="1" x14ac:dyDescent="0.25">
      <c r="A756" t="s">
        <v>123</v>
      </c>
      <c r="B756" t="s">
        <v>76</v>
      </c>
      <c r="C756" t="s">
        <v>126</v>
      </c>
      <c r="D756" t="s">
        <v>527</v>
      </c>
      <c r="E756" t="s">
        <v>90</v>
      </c>
      <c r="F756" t="s">
        <v>94</v>
      </c>
      <c r="G756">
        <v>2</v>
      </c>
      <c r="H756">
        <v>2</v>
      </c>
      <c r="I756">
        <v>2</v>
      </c>
      <c r="J756">
        <v>2</v>
      </c>
      <c r="K756" s="6">
        <v>100</v>
      </c>
      <c r="L756" s="6">
        <v>0</v>
      </c>
      <c r="M756" s="6">
        <v>100</v>
      </c>
      <c r="N756">
        <v>0</v>
      </c>
      <c r="O756" s="6">
        <v>0</v>
      </c>
      <c r="P756">
        <v>0</v>
      </c>
      <c r="Q756" s="8">
        <v>98.37</v>
      </c>
      <c r="R756" s="8">
        <v>98.37</v>
      </c>
      <c r="S756" s="9" t="s">
        <v>537</v>
      </c>
    </row>
    <row r="757" spans="1:19" hidden="1" x14ac:dyDescent="0.25">
      <c r="A757" t="s">
        <v>123</v>
      </c>
      <c r="B757" t="s">
        <v>76</v>
      </c>
      <c r="C757" t="s">
        <v>126</v>
      </c>
      <c r="D757" t="s">
        <v>527</v>
      </c>
      <c r="E757" t="s">
        <v>90</v>
      </c>
      <c r="F757" t="s">
        <v>96</v>
      </c>
      <c r="G757">
        <v>6</v>
      </c>
      <c r="H757">
        <v>2</v>
      </c>
      <c r="I757">
        <v>2</v>
      </c>
      <c r="J757">
        <v>2</v>
      </c>
      <c r="K757" s="6">
        <v>100</v>
      </c>
      <c r="L757" s="6">
        <v>0</v>
      </c>
      <c r="M757" s="6">
        <v>100</v>
      </c>
      <c r="N757">
        <v>0</v>
      </c>
      <c r="O757" s="6">
        <v>0</v>
      </c>
      <c r="P757">
        <v>0</v>
      </c>
      <c r="Q757" s="8">
        <v>98.37</v>
      </c>
      <c r="R757" s="8">
        <v>98.37</v>
      </c>
      <c r="S757" s="9" t="s">
        <v>537</v>
      </c>
    </row>
    <row r="758" spans="1:19" hidden="1" x14ac:dyDescent="0.25">
      <c r="A758" t="s">
        <v>123</v>
      </c>
      <c r="B758" t="s">
        <v>76</v>
      </c>
      <c r="C758" t="s">
        <v>126</v>
      </c>
      <c r="D758" t="s">
        <v>527</v>
      </c>
      <c r="E758" t="s">
        <v>90</v>
      </c>
      <c r="F758" t="s">
        <v>6</v>
      </c>
      <c r="G758">
        <v>13</v>
      </c>
      <c r="H758">
        <v>2</v>
      </c>
      <c r="I758">
        <v>2</v>
      </c>
      <c r="J758">
        <v>2</v>
      </c>
      <c r="K758" s="6">
        <v>98.82</v>
      </c>
      <c r="L758" s="6">
        <v>-1</v>
      </c>
      <c r="M758" s="6">
        <v>98.82</v>
      </c>
      <c r="N758">
        <v>0</v>
      </c>
      <c r="O758" s="6">
        <v>0</v>
      </c>
      <c r="P758">
        <v>0</v>
      </c>
      <c r="Q758" s="8">
        <v>98.37</v>
      </c>
      <c r="R758" s="8">
        <v>97.21</v>
      </c>
      <c r="S758" s="9" t="s">
        <v>537</v>
      </c>
    </row>
    <row r="759" spans="1:19" hidden="1" x14ac:dyDescent="0.25">
      <c r="A759" t="s">
        <v>123</v>
      </c>
      <c r="B759" t="s">
        <v>76</v>
      </c>
      <c r="C759" t="s">
        <v>126</v>
      </c>
      <c r="D759" t="s">
        <v>530</v>
      </c>
      <c r="E759" t="s">
        <v>90</v>
      </c>
      <c r="F759" t="s">
        <v>90</v>
      </c>
      <c r="G759">
        <v>0</v>
      </c>
      <c r="H759">
        <v>3</v>
      </c>
      <c r="I759">
        <v>3</v>
      </c>
      <c r="J759">
        <v>3</v>
      </c>
      <c r="K759" s="6">
        <v>100</v>
      </c>
      <c r="L759" s="6">
        <v>0</v>
      </c>
      <c r="M759" s="6">
        <v>100</v>
      </c>
      <c r="N759">
        <v>0</v>
      </c>
      <c r="O759" s="6">
        <v>0</v>
      </c>
      <c r="P759">
        <v>0</v>
      </c>
      <c r="Q759" s="8">
        <v>98.92</v>
      </c>
      <c r="R759" s="8">
        <v>98.92</v>
      </c>
      <c r="S759" s="9" t="s">
        <v>525</v>
      </c>
    </row>
    <row r="760" spans="1:19" hidden="1" x14ac:dyDescent="0.25">
      <c r="A760" t="s">
        <v>123</v>
      </c>
      <c r="B760" t="s">
        <v>76</v>
      </c>
      <c r="C760" t="s">
        <v>126</v>
      </c>
      <c r="D760" t="s">
        <v>530</v>
      </c>
      <c r="E760" t="s">
        <v>90</v>
      </c>
      <c r="F760" t="s">
        <v>91</v>
      </c>
      <c r="G760">
        <v>1</v>
      </c>
      <c r="H760">
        <v>3</v>
      </c>
      <c r="I760">
        <v>3</v>
      </c>
      <c r="J760">
        <v>3</v>
      </c>
      <c r="K760" s="6">
        <v>100.67</v>
      </c>
      <c r="L760" s="6">
        <v>0</v>
      </c>
      <c r="M760" s="6">
        <v>100.67</v>
      </c>
      <c r="N760">
        <v>0</v>
      </c>
      <c r="O760" s="6">
        <v>0</v>
      </c>
      <c r="P760">
        <v>0</v>
      </c>
      <c r="Q760" s="8">
        <v>98.92</v>
      </c>
      <c r="R760" s="8">
        <v>99.59</v>
      </c>
      <c r="S760" s="9" t="s">
        <v>526</v>
      </c>
    </row>
    <row r="761" spans="1:19" hidden="1" x14ac:dyDescent="0.25">
      <c r="A761" t="s">
        <v>123</v>
      </c>
      <c r="B761" t="s">
        <v>76</v>
      </c>
      <c r="C761" t="s">
        <v>126</v>
      </c>
      <c r="D761" t="s">
        <v>530</v>
      </c>
      <c r="E761" t="s">
        <v>90</v>
      </c>
      <c r="F761" t="s">
        <v>94</v>
      </c>
      <c r="G761">
        <v>2</v>
      </c>
      <c r="H761">
        <v>3</v>
      </c>
      <c r="I761">
        <v>3</v>
      </c>
      <c r="J761">
        <v>3</v>
      </c>
      <c r="K761" s="6">
        <v>100.67</v>
      </c>
      <c r="L761" s="6">
        <v>0</v>
      </c>
      <c r="M761" s="6">
        <v>100.67</v>
      </c>
      <c r="N761">
        <v>0</v>
      </c>
      <c r="O761" s="6">
        <v>0</v>
      </c>
      <c r="P761">
        <v>0</v>
      </c>
      <c r="Q761" s="8">
        <v>98.92</v>
      </c>
      <c r="R761" s="8">
        <v>99.59</v>
      </c>
      <c r="S761" s="9" t="s">
        <v>526</v>
      </c>
    </row>
    <row r="762" spans="1:19" hidden="1" x14ac:dyDescent="0.25">
      <c r="A762" t="s">
        <v>123</v>
      </c>
      <c r="B762" t="s">
        <v>76</v>
      </c>
      <c r="C762" t="s">
        <v>126</v>
      </c>
      <c r="D762" t="s">
        <v>530</v>
      </c>
      <c r="E762" t="s">
        <v>90</v>
      </c>
      <c r="F762" t="s">
        <v>96</v>
      </c>
      <c r="G762">
        <v>6</v>
      </c>
      <c r="H762">
        <v>3</v>
      </c>
      <c r="I762">
        <v>3</v>
      </c>
      <c r="J762">
        <v>3</v>
      </c>
      <c r="K762" s="6">
        <v>100.67</v>
      </c>
      <c r="L762" s="6">
        <v>0</v>
      </c>
      <c r="M762" s="6">
        <v>100.67</v>
      </c>
      <c r="N762">
        <v>0</v>
      </c>
      <c r="O762" s="6">
        <v>0</v>
      </c>
      <c r="P762">
        <v>0</v>
      </c>
      <c r="Q762" s="8">
        <v>98.92</v>
      </c>
      <c r="R762" s="8">
        <v>99.59</v>
      </c>
      <c r="S762" s="9" t="s">
        <v>526</v>
      </c>
    </row>
    <row r="763" spans="1:19" hidden="1" x14ac:dyDescent="0.25">
      <c r="A763" t="s">
        <v>123</v>
      </c>
      <c r="B763" t="s">
        <v>76</v>
      </c>
      <c r="C763" t="s">
        <v>126</v>
      </c>
      <c r="D763" t="s">
        <v>530</v>
      </c>
      <c r="E763" t="s">
        <v>90</v>
      </c>
      <c r="F763" t="s">
        <v>6</v>
      </c>
      <c r="G763">
        <v>13</v>
      </c>
      <c r="H763">
        <v>3</v>
      </c>
      <c r="I763">
        <v>3</v>
      </c>
      <c r="J763">
        <v>3</v>
      </c>
      <c r="K763" s="6">
        <v>99.92</v>
      </c>
      <c r="L763" s="6">
        <v>-1.08</v>
      </c>
      <c r="M763" s="6">
        <v>99.92</v>
      </c>
      <c r="N763">
        <v>0</v>
      </c>
      <c r="O763" s="6">
        <v>0</v>
      </c>
      <c r="P763">
        <v>0</v>
      </c>
      <c r="Q763" s="8">
        <v>98.92</v>
      </c>
      <c r="R763" s="8">
        <v>98.84</v>
      </c>
      <c r="S763" s="9" t="s">
        <v>526</v>
      </c>
    </row>
    <row r="764" spans="1:19" hidden="1" x14ac:dyDescent="0.25">
      <c r="A764" t="s">
        <v>123</v>
      </c>
      <c r="B764" t="s">
        <v>76</v>
      </c>
      <c r="C764" t="s">
        <v>126</v>
      </c>
      <c r="D764" t="s">
        <v>531</v>
      </c>
      <c r="E764" t="s">
        <v>90</v>
      </c>
      <c r="F764" t="s">
        <v>90</v>
      </c>
      <c r="G764">
        <v>0</v>
      </c>
      <c r="H764">
        <v>2</v>
      </c>
      <c r="I764">
        <v>2</v>
      </c>
      <c r="J764">
        <v>2</v>
      </c>
      <c r="K764" s="6">
        <v>100</v>
      </c>
      <c r="L764" s="6">
        <v>0</v>
      </c>
      <c r="M764" s="6">
        <v>100</v>
      </c>
      <c r="N764">
        <v>0</v>
      </c>
      <c r="O764" s="6">
        <v>0</v>
      </c>
      <c r="P764">
        <v>0</v>
      </c>
      <c r="Q764" s="8">
        <v>113.86</v>
      </c>
      <c r="R764" s="8">
        <v>113.86</v>
      </c>
      <c r="S764" s="9" t="s">
        <v>536</v>
      </c>
    </row>
    <row r="765" spans="1:19" hidden="1" x14ac:dyDescent="0.25">
      <c r="A765" t="s">
        <v>123</v>
      </c>
      <c r="B765" t="s">
        <v>76</v>
      </c>
      <c r="C765" t="s">
        <v>126</v>
      </c>
      <c r="D765" t="s">
        <v>531</v>
      </c>
      <c r="E765" t="s">
        <v>90</v>
      </c>
      <c r="F765" t="s">
        <v>91</v>
      </c>
      <c r="G765">
        <v>1</v>
      </c>
      <c r="H765">
        <v>2</v>
      </c>
      <c r="I765">
        <v>4</v>
      </c>
      <c r="J765">
        <v>2</v>
      </c>
      <c r="K765" s="6">
        <v>100.88</v>
      </c>
      <c r="L765" s="6">
        <v>0.88</v>
      </c>
      <c r="M765" s="6">
        <v>122.71</v>
      </c>
      <c r="N765">
        <v>21.83</v>
      </c>
      <c r="O765" s="6">
        <v>0</v>
      </c>
      <c r="P765">
        <v>2</v>
      </c>
      <c r="Q765" s="8">
        <v>113.86</v>
      </c>
      <c r="R765" s="8">
        <v>114.86</v>
      </c>
      <c r="S765" s="9" t="s">
        <v>537</v>
      </c>
    </row>
    <row r="766" spans="1:19" hidden="1" x14ac:dyDescent="0.25">
      <c r="A766" t="s">
        <v>123</v>
      </c>
      <c r="B766" t="s">
        <v>76</v>
      </c>
      <c r="C766" t="s">
        <v>126</v>
      </c>
      <c r="D766" t="s">
        <v>531</v>
      </c>
      <c r="E766" t="s">
        <v>90</v>
      </c>
      <c r="F766" t="s">
        <v>94</v>
      </c>
      <c r="G766">
        <v>2</v>
      </c>
      <c r="H766">
        <v>2</v>
      </c>
      <c r="I766">
        <v>4</v>
      </c>
      <c r="J766">
        <v>2</v>
      </c>
      <c r="K766" s="6">
        <v>100.88</v>
      </c>
      <c r="L766" s="6">
        <v>0.88</v>
      </c>
      <c r="M766" s="6">
        <v>122.71</v>
      </c>
      <c r="N766">
        <v>21.83</v>
      </c>
      <c r="O766" s="6">
        <v>0</v>
      </c>
      <c r="P766">
        <v>2</v>
      </c>
      <c r="Q766" s="8">
        <v>113.86</v>
      </c>
      <c r="R766" s="8">
        <v>114.86</v>
      </c>
      <c r="S766" s="9" t="s">
        <v>537</v>
      </c>
    </row>
    <row r="767" spans="1:19" hidden="1" x14ac:dyDescent="0.25">
      <c r="A767" t="s">
        <v>123</v>
      </c>
      <c r="B767" t="s">
        <v>76</v>
      </c>
      <c r="C767" t="s">
        <v>126</v>
      </c>
      <c r="D767" t="s">
        <v>531</v>
      </c>
      <c r="E767" t="s">
        <v>90</v>
      </c>
      <c r="F767" t="s">
        <v>96</v>
      </c>
      <c r="G767">
        <v>6</v>
      </c>
      <c r="H767">
        <v>2</v>
      </c>
      <c r="I767">
        <v>4</v>
      </c>
      <c r="J767">
        <v>2</v>
      </c>
      <c r="K767" s="6">
        <v>100.88</v>
      </c>
      <c r="L767" s="6">
        <v>0.88</v>
      </c>
      <c r="M767" s="6">
        <v>122.71</v>
      </c>
      <c r="N767">
        <v>21.83</v>
      </c>
      <c r="O767" s="6">
        <v>0</v>
      </c>
      <c r="P767">
        <v>2</v>
      </c>
      <c r="Q767" s="8">
        <v>113.86</v>
      </c>
      <c r="R767" s="8">
        <v>114.86</v>
      </c>
      <c r="S767" s="9" t="s">
        <v>537</v>
      </c>
    </row>
    <row r="768" spans="1:19" hidden="1" x14ac:dyDescent="0.25">
      <c r="A768" t="s">
        <v>123</v>
      </c>
      <c r="B768" t="s">
        <v>76</v>
      </c>
      <c r="C768" t="s">
        <v>126</v>
      </c>
      <c r="D768" t="s">
        <v>531</v>
      </c>
      <c r="E768" t="s">
        <v>90</v>
      </c>
      <c r="F768" t="s">
        <v>6</v>
      </c>
      <c r="G768">
        <v>13</v>
      </c>
      <c r="H768">
        <v>2</v>
      </c>
      <c r="I768">
        <v>4</v>
      </c>
      <c r="J768">
        <v>2</v>
      </c>
      <c r="K768" s="6">
        <v>100.44</v>
      </c>
      <c r="L768" s="6">
        <v>0.44</v>
      </c>
      <c r="M768" s="6">
        <v>122.49</v>
      </c>
      <c r="N768">
        <v>22.05</v>
      </c>
      <c r="O768" s="6">
        <v>0</v>
      </c>
      <c r="P768">
        <v>2</v>
      </c>
      <c r="Q768" s="8">
        <v>113.86</v>
      </c>
      <c r="R768" s="8">
        <v>114.36</v>
      </c>
      <c r="S768" s="9" t="s">
        <v>537</v>
      </c>
    </row>
    <row r="769" spans="1:19" hidden="1" x14ac:dyDescent="0.25">
      <c r="A769" t="s">
        <v>123</v>
      </c>
      <c r="B769" t="s">
        <v>76</v>
      </c>
      <c r="C769" t="s">
        <v>126</v>
      </c>
      <c r="D769" t="s">
        <v>532</v>
      </c>
      <c r="E769" t="s">
        <v>90</v>
      </c>
      <c r="F769" t="s">
        <v>90</v>
      </c>
      <c r="G769">
        <v>0</v>
      </c>
      <c r="H769">
        <v>3</v>
      </c>
      <c r="I769">
        <v>3</v>
      </c>
      <c r="J769">
        <v>3</v>
      </c>
      <c r="K769" s="6">
        <v>100</v>
      </c>
      <c r="L769" s="6">
        <v>0</v>
      </c>
      <c r="M769" s="6">
        <v>100</v>
      </c>
      <c r="N769">
        <v>0</v>
      </c>
      <c r="O769" s="6">
        <v>0</v>
      </c>
      <c r="P769">
        <v>0</v>
      </c>
      <c r="Q769" s="8">
        <v>88.16</v>
      </c>
      <c r="R769" s="8">
        <v>88.16</v>
      </c>
      <c r="S769" s="9" t="s">
        <v>525</v>
      </c>
    </row>
    <row r="770" spans="1:19" hidden="1" x14ac:dyDescent="0.25">
      <c r="A770" t="s">
        <v>123</v>
      </c>
      <c r="B770" t="s">
        <v>76</v>
      </c>
      <c r="C770" t="s">
        <v>126</v>
      </c>
      <c r="D770" t="s">
        <v>532</v>
      </c>
      <c r="E770" t="s">
        <v>90</v>
      </c>
      <c r="F770" t="s">
        <v>91</v>
      </c>
      <c r="G770">
        <v>1</v>
      </c>
      <c r="H770">
        <v>3</v>
      </c>
      <c r="I770">
        <v>3</v>
      </c>
      <c r="J770">
        <v>3</v>
      </c>
      <c r="K770" s="6">
        <v>100</v>
      </c>
      <c r="L770" s="6">
        <v>0</v>
      </c>
      <c r="M770" s="6">
        <v>100</v>
      </c>
      <c r="N770">
        <v>0</v>
      </c>
      <c r="O770" s="6">
        <v>0</v>
      </c>
      <c r="P770">
        <v>0</v>
      </c>
      <c r="Q770" s="8">
        <v>88.16</v>
      </c>
      <c r="R770" s="8">
        <v>88.16</v>
      </c>
      <c r="S770" s="9" t="s">
        <v>526</v>
      </c>
    </row>
    <row r="771" spans="1:19" hidden="1" x14ac:dyDescent="0.25">
      <c r="A771" t="s">
        <v>123</v>
      </c>
      <c r="B771" t="s">
        <v>76</v>
      </c>
      <c r="C771" t="s">
        <v>126</v>
      </c>
      <c r="D771" t="s">
        <v>532</v>
      </c>
      <c r="E771" t="s">
        <v>90</v>
      </c>
      <c r="F771" t="s">
        <v>94</v>
      </c>
      <c r="G771">
        <v>2</v>
      </c>
      <c r="H771">
        <v>3</v>
      </c>
      <c r="I771">
        <v>3</v>
      </c>
      <c r="J771">
        <v>3</v>
      </c>
      <c r="K771" s="6">
        <v>100.38</v>
      </c>
      <c r="L771" s="6">
        <v>0</v>
      </c>
      <c r="M771" s="6">
        <v>100.38</v>
      </c>
      <c r="N771">
        <v>0</v>
      </c>
      <c r="O771" s="6">
        <v>0</v>
      </c>
      <c r="P771">
        <v>0</v>
      </c>
      <c r="Q771" s="8">
        <v>88.16</v>
      </c>
      <c r="R771" s="8">
        <v>88.49</v>
      </c>
      <c r="S771" s="9" t="s">
        <v>526</v>
      </c>
    </row>
    <row r="772" spans="1:19" hidden="1" x14ac:dyDescent="0.25">
      <c r="A772" t="s">
        <v>123</v>
      </c>
      <c r="B772" t="s">
        <v>76</v>
      </c>
      <c r="C772" t="s">
        <v>126</v>
      </c>
      <c r="D772" t="s">
        <v>532</v>
      </c>
      <c r="E772" t="s">
        <v>90</v>
      </c>
      <c r="F772" t="s">
        <v>96</v>
      </c>
      <c r="G772">
        <v>6</v>
      </c>
      <c r="H772">
        <v>3</v>
      </c>
      <c r="I772">
        <v>3</v>
      </c>
      <c r="J772">
        <v>3</v>
      </c>
      <c r="K772" s="6">
        <v>100.38</v>
      </c>
      <c r="L772" s="6">
        <v>0</v>
      </c>
      <c r="M772" s="6">
        <v>100.38</v>
      </c>
      <c r="N772">
        <v>0</v>
      </c>
      <c r="O772" s="6">
        <v>0</v>
      </c>
      <c r="P772">
        <v>0</v>
      </c>
      <c r="Q772" s="8">
        <v>88.16</v>
      </c>
      <c r="R772" s="8">
        <v>88.49</v>
      </c>
      <c r="S772" s="9" t="s">
        <v>526</v>
      </c>
    </row>
    <row r="773" spans="1:19" hidden="1" x14ac:dyDescent="0.25">
      <c r="A773" t="s">
        <v>123</v>
      </c>
      <c r="B773" t="s">
        <v>76</v>
      </c>
      <c r="C773" t="s">
        <v>126</v>
      </c>
      <c r="D773" t="s">
        <v>532</v>
      </c>
      <c r="E773" t="s">
        <v>90</v>
      </c>
      <c r="F773" t="s">
        <v>6</v>
      </c>
      <c r="G773">
        <v>13</v>
      </c>
      <c r="H773">
        <v>3</v>
      </c>
      <c r="I773">
        <v>3</v>
      </c>
      <c r="J773">
        <v>3</v>
      </c>
      <c r="K773" s="6">
        <v>100.38</v>
      </c>
      <c r="L773" s="6">
        <v>0</v>
      </c>
      <c r="M773" s="6">
        <v>100.38</v>
      </c>
      <c r="N773">
        <v>0</v>
      </c>
      <c r="O773" s="6">
        <v>0</v>
      </c>
      <c r="P773">
        <v>0</v>
      </c>
      <c r="Q773" s="8">
        <v>88.16</v>
      </c>
      <c r="R773" s="8">
        <v>88.49</v>
      </c>
      <c r="S773" s="9" t="s">
        <v>526</v>
      </c>
    </row>
    <row r="774" spans="1:19" hidden="1" x14ac:dyDescent="0.25">
      <c r="A774" t="s">
        <v>123</v>
      </c>
      <c r="B774" t="s">
        <v>76</v>
      </c>
      <c r="C774" t="s">
        <v>126</v>
      </c>
      <c r="D774" t="s">
        <v>533</v>
      </c>
      <c r="E774" t="s">
        <v>94</v>
      </c>
      <c r="F774" t="s">
        <v>94</v>
      </c>
      <c r="G774">
        <v>0</v>
      </c>
      <c r="H774">
        <v>6</v>
      </c>
      <c r="I774">
        <v>6</v>
      </c>
      <c r="J774">
        <v>6</v>
      </c>
      <c r="K774" s="6">
        <v>100</v>
      </c>
      <c r="L774" s="6">
        <v>0</v>
      </c>
      <c r="M774" s="6">
        <v>100</v>
      </c>
      <c r="N774">
        <v>0</v>
      </c>
      <c r="O774" s="6">
        <v>0</v>
      </c>
      <c r="P774">
        <v>0</v>
      </c>
      <c r="Q774" s="8">
        <v>95.15</v>
      </c>
      <c r="R774" s="8">
        <v>95.15</v>
      </c>
      <c r="S774" s="9" t="s">
        <v>534</v>
      </c>
    </row>
    <row r="775" spans="1:19" hidden="1" x14ac:dyDescent="0.25">
      <c r="A775" t="s">
        <v>123</v>
      </c>
      <c r="B775" t="s">
        <v>76</v>
      </c>
      <c r="C775" t="s">
        <v>126</v>
      </c>
      <c r="D775" t="s">
        <v>533</v>
      </c>
      <c r="E775" t="s">
        <v>94</v>
      </c>
      <c r="F775" t="s">
        <v>96</v>
      </c>
      <c r="G775">
        <v>4</v>
      </c>
      <c r="H775">
        <v>6</v>
      </c>
      <c r="I775">
        <v>6</v>
      </c>
      <c r="J775">
        <v>6</v>
      </c>
      <c r="K775" s="6">
        <v>100</v>
      </c>
      <c r="L775" s="6">
        <v>0</v>
      </c>
      <c r="M775" s="6">
        <v>100</v>
      </c>
      <c r="N775">
        <v>0</v>
      </c>
      <c r="O775" s="6">
        <v>0</v>
      </c>
      <c r="P775">
        <v>0</v>
      </c>
      <c r="Q775" s="8">
        <v>95.15</v>
      </c>
      <c r="R775" s="8">
        <v>95.15</v>
      </c>
      <c r="S775" s="9" t="s">
        <v>535</v>
      </c>
    </row>
    <row r="776" spans="1:19" hidden="1" x14ac:dyDescent="0.25">
      <c r="A776" t="s">
        <v>123</v>
      </c>
      <c r="B776" t="s">
        <v>76</v>
      </c>
      <c r="C776" t="s">
        <v>126</v>
      </c>
      <c r="D776" t="s">
        <v>533</v>
      </c>
      <c r="E776" t="s">
        <v>94</v>
      </c>
      <c r="F776" t="s">
        <v>6</v>
      </c>
      <c r="G776">
        <v>11</v>
      </c>
      <c r="H776">
        <v>6</v>
      </c>
      <c r="I776">
        <v>6</v>
      </c>
      <c r="J776">
        <v>6</v>
      </c>
      <c r="K776" s="6">
        <v>99.41</v>
      </c>
      <c r="L776" s="6">
        <v>-0.52</v>
      </c>
      <c r="M776" s="6">
        <v>99.41</v>
      </c>
      <c r="N776">
        <v>0</v>
      </c>
      <c r="O776" s="6">
        <v>0</v>
      </c>
      <c r="P776">
        <v>0</v>
      </c>
      <c r="Q776" s="8">
        <v>95.15</v>
      </c>
      <c r="R776" s="8">
        <v>94.59</v>
      </c>
      <c r="S776" s="9" t="s">
        <v>535</v>
      </c>
    </row>
    <row r="777" spans="1:19" hidden="1" x14ac:dyDescent="0.25">
      <c r="A777" t="s">
        <v>123</v>
      </c>
      <c r="B777" t="s">
        <v>76</v>
      </c>
      <c r="C777" t="s">
        <v>126</v>
      </c>
      <c r="D777" t="s">
        <v>545</v>
      </c>
      <c r="E777" t="s">
        <v>94</v>
      </c>
      <c r="F777" t="s">
        <v>94</v>
      </c>
      <c r="G777">
        <v>0</v>
      </c>
      <c r="H777">
        <v>4</v>
      </c>
      <c r="I777">
        <v>4</v>
      </c>
      <c r="J777">
        <v>4</v>
      </c>
      <c r="K777" s="6">
        <v>100</v>
      </c>
      <c r="L777" s="6">
        <v>0</v>
      </c>
      <c r="M777" s="6">
        <v>100</v>
      </c>
      <c r="N777">
        <v>0</v>
      </c>
      <c r="O777" s="6">
        <v>0</v>
      </c>
      <c r="P777">
        <v>0</v>
      </c>
      <c r="Q777" s="8">
        <v>109.89</v>
      </c>
      <c r="R777" s="8">
        <v>109.89</v>
      </c>
      <c r="S777" s="9" t="s">
        <v>605</v>
      </c>
    </row>
    <row r="778" spans="1:19" hidden="1" x14ac:dyDescent="0.25">
      <c r="A778" t="s">
        <v>123</v>
      </c>
      <c r="B778" t="s">
        <v>76</v>
      </c>
      <c r="C778" t="s">
        <v>126</v>
      </c>
      <c r="D778" t="s">
        <v>545</v>
      </c>
      <c r="E778" t="s">
        <v>94</v>
      </c>
      <c r="F778" t="s">
        <v>96</v>
      </c>
      <c r="G778">
        <v>4</v>
      </c>
      <c r="H778">
        <v>4</v>
      </c>
      <c r="I778">
        <v>4</v>
      </c>
      <c r="J778">
        <v>4</v>
      </c>
      <c r="K778" s="6">
        <v>100</v>
      </c>
      <c r="L778" s="6">
        <v>0</v>
      </c>
      <c r="M778" s="6">
        <v>100</v>
      </c>
      <c r="N778">
        <v>0</v>
      </c>
      <c r="O778" s="6">
        <v>0</v>
      </c>
      <c r="P778">
        <v>0</v>
      </c>
      <c r="Q778" s="8">
        <v>109.89</v>
      </c>
      <c r="R778" s="8">
        <v>109.89</v>
      </c>
      <c r="S778" s="9" t="s">
        <v>548</v>
      </c>
    </row>
    <row r="779" spans="1:19" hidden="1" x14ac:dyDescent="0.25">
      <c r="A779" t="s">
        <v>123</v>
      </c>
      <c r="B779" t="s">
        <v>76</v>
      </c>
      <c r="C779" t="s">
        <v>126</v>
      </c>
      <c r="D779" t="s">
        <v>545</v>
      </c>
      <c r="E779" t="s">
        <v>94</v>
      </c>
      <c r="F779" t="s">
        <v>6</v>
      </c>
      <c r="G779">
        <v>11</v>
      </c>
      <c r="H779">
        <v>4</v>
      </c>
      <c r="I779">
        <v>4</v>
      </c>
      <c r="J779">
        <v>4</v>
      </c>
      <c r="K779" s="6">
        <v>99.13</v>
      </c>
      <c r="L779" s="6">
        <v>-1.49</v>
      </c>
      <c r="M779" s="6">
        <v>99.13</v>
      </c>
      <c r="N779">
        <v>0</v>
      </c>
      <c r="O779" s="6">
        <v>0</v>
      </c>
      <c r="P779">
        <v>0</v>
      </c>
      <c r="Q779" s="8">
        <v>109.89</v>
      </c>
      <c r="R779" s="8">
        <v>108.93</v>
      </c>
      <c r="S779" s="9" t="s">
        <v>548</v>
      </c>
    </row>
    <row r="780" spans="1:19" hidden="1" x14ac:dyDescent="0.25">
      <c r="A780" t="s">
        <v>123</v>
      </c>
      <c r="B780" t="s">
        <v>76</v>
      </c>
      <c r="C780" t="s">
        <v>127</v>
      </c>
      <c r="D780" t="s">
        <v>539</v>
      </c>
      <c r="E780" t="s">
        <v>91</v>
      </c>
      <c r="F780" t="s">
        <v>91</v>
      </c>
      <c r="G780">
        <v>0</v>
      </c>
      <c r="H780">
        <v>1</v>
      </c>
      <c r="I780">
        <v>1</v>
      </c>
      <c r="J780">
        <v>1</v>
      </c>
      <c r="K780" s="6">
        <v>100</v>
      </c>
      <c r="L780" s="6">
        <v>0</v>
      </c>
      <c r="M780" s="6">
        <v>100</v>
      </c>
      <c r="N780">
        <v>0</v>
      </c>
      <c r="O780" s="6">
        <v>0</v>
      </c>
      <c r="P780">
        <v>0</v>
      </c>
      <c r="Q780" s="8">
        <v>153.12</v>
      </c>
      <c r="R780" s="8">
        <v>153.12</v>
      </c>
      <c r="S780" s="9" t="s">
        <v>540</v>
      </c>
    </row>
    <row r="781" spans="1:19" hidden="1" x14ac:dyDescent="0.25">
      <c r="A781" t="s">
        <v>123</v>
      </c>
      <c r="B781" t="s">
        <v>76</v>
      </c>
      <c r="C781" t="s">
        <v>127</v>
      </c>
      <c r="D781" t="s">
        <v>539</v>
      </c>
      <c r="E781" t="s">
        <v>91</v>
      </c>
      <c r="F781" t="s">
        <v>96</v>
      </c>
      <c r="G781">
        <v>5</v>
      </c>
      <c r="H781">
        <v>1</v>
      </c>
      <c r="I781">
        <v>1</v>
      </c>
      <c r="J781">
        <v>0</v>
      </c>
      <c r="M781" s="6">
        <v>91.07</v>
      </c>
      <c r="O781" s="6">
        <v>100</v>
      </c>
      <c r="P781">
        <v>1</v>
      </c>
      <c r="S781" s="9" t="s">
        <v>542</v>
      </c>
    </row>
    <row r="782" spans="1:19" hidden="1" x14ac:dyDescent="0.25">
      <c r="A782" t="s">
        <v>123</v>
      </c>
      <c r="B782" t="s">
        <v>76</v>
      </c>
      <c r="C782" t="s">
        <v>127</v>
      </c>
      <c r="D782" t="s">
        <v>527</v>
      </c>
      <c r="E782" t="s">
        <v>90</v>
      </c>
      <c r="F782" t="s">
        <v>90</v>
      </c>
      <c r="G782">
        <v>0</v>
      </c>
      <c r="H782">
        <v>2</v>
      </c>
      <c r="I782">
        <v>2</v>
      </c>
      <c r="J782">
        <v>2</v>
      </c>
      <c r="K782" s="6">
        <v>100</v>
      </c>
      <c r="L782" s="6">
        <v>0</v>
      </c>
      <c r="M782" s="6">
        <v>100</v>
      </c>
      <c r="N782">
        <v>0</v>
      </c>
      <c r="O782" s="6">
        <v>0</v>
      </c>
      <c r="P782">
        <v>0</v>
      </c>
      <c r="Q782" s="8">
        <v>120.48</v>
      </c>
      <c r="R782" s="8">
        <v>120.48</v>
      </c>
      <c r="S782" s="9" t="s">
        <v>536</v>
      </c>
    </row>
    <row r="783" spans="1:19" hidden="1" x14ac:dyDescent="0.25">
      <c r="A783" t="s">
        <v>123</v>
      </c>
      <c r="B783" t="s">
        <v>76</v>
      </c>
      <c r="C783" t="s">
        <v>127</v>
      </c>
      <c r="D783" t="s">
        <v>527</v>
      </c>
      <c r="E783" t="s">
        <v>90</v>
      </c>
      <c r="F783" t="s">
        <v>91</v>
      </c>
      <c r="G783">
        <v>1</v>
      </c>
      <c r="H783">
        <v>2</v>
      </c>
      <c r="I783">
        <v>2</v>
      </c>
      <c r="J783">
        <v>2</v>
      </c>
      <c r="K783" s="6">
        <v>100</v>
      </c>
      <c r="L783" s="6">
        <v>0</v>
      </c>
      <c r="M783" s="6">
        <v>100</v>
      </c>
      <c r="N783">
        <v>0</v>
      </c>
      <c r="O783" s="6">
        <v>0</v>
      </c>
      <c r="P783">
        <v>0</v>
      </c>
      <c r="Q783" s="8">
        <v>120.48</v>
      </c>
      <c r="R783" s="8">
        <v>120.48</v>
      </c>
      <c r="S783" s="9" t="s">
        <v>537</v>
      </c>
    </row>
    <row r="784" spans="1:19" hidden="1" x14ac:dyDescent="0.25">
      <c r="A784" t="s">
        <v>123</v>
      </c>
      <c r="B784" t="s">
        <v>76</v>
      </c>
      <c r="C784" t="s">
        <v>127</v>
      </c>
      <c r="D784" t="s">
        <v>527</v>
      </c>
      <c r="E784" t="s">
        <v>90</v>
      </c>
      <c r="F784" t="s">
        <v>94</v>
      </c>
      <c r="G784">
        <v>2</v>
      </c>
      <c r="H784">
        <v>2</v>
      </c>
      <c r="I784">
        <v>2</v>
      </c>
      <c r="J784">
        <v>2</v>
      </c>
      <c r="K784" s="6">
        <v>100</v>
      </c>
      <c r="L784" s="6">
        <v>0</v>
      </c>
      <c r="M784" s="6">
        <v>100</v>
      </c>
      <c r="N784">
        <v>0</v>
      </c>
      <c r="O784" s="6">
        <v>0</v>
      </c>
      <c r="P784">
        <v>0</v>
      </c>
      <c r="Q784" s="8">
        <v>120.48</v>
      </c>
      <c r="R784" s="8">
        <v>120.48</v>
      </c>
      <c r="S784" s="9" t="s">
        <v>537</v>
      </c>
    </row>
    <row r="785" spans="1:19" hidden="1" x14ac:dyDescent="0.25">
      <c r="A785" t="s">
        <v>123</v>
      </c>
      <c r="B785" t="s">
        <v>76</v>
      </c>
      <c r="C785" t="s">
        <v>127</v>
      </c>
      <c r="D785" t="s">
        <v>527</v>
      </c>
      <c r="E785" t="s">
        <v>90</v>
      </c>
      <c r="F785" t="s">
        <v>96</v>
      </c>
      <c r="G785">
        <v>6</v>
      </c>
      <c r="H785">
        <v>2</v>
      </c>
      <c r="I785">
        <v>2</v>
      </c>
      <c r="J785">
        <v>2</v>
      </c>
      <c r="K785" s="6">
        <v>100</v>
      </c>
      <c r="L785" s="6">
        <v>0</v>
      </c>
      <c r="M785" s="6">
        <v>100</v>
      </c>
      <c r="N785">
        <v>0</v>
      </c>
      <c r="O785" s="6">
        <v>0</v>
      </c>
      <c r="P785">
        <v>0</v>
      </c>
      <c r="Q785" s="8">
        <v>120.48</v>
      </c>
      <c r="R785" s="8">
        <v>120.48</v>
      </c>
      <c r="S785" s="9" t="s">
        <v>537</v>
      </c>
    </row>
    <row r="786" spans="1:19" hidden="1" x14ac:dyDescent="0.25">
      <c r="A786" t="s">
        <v>123</v>
      </c>
      <c r="B786" t="s">
        <v>76</v>
      </c>
      <c r="C786" t="s">
        <v>127</v>
      </c>
      <c r="D786" t="s">
        <v>527</v>
      </c>
      <c r="E786" t="s">
        <v>90</v>
      </c>
      <c r="F786" t="s">
        <v>6</v>
      </c>
      <c r="G786">
        <v>13</v>
      </c>
      <c r="H786">
        <v>2</v>
      </c>
      <c r="I786">
        <v>2</v>
      </c>
      <c r="J786">
        <v>2</v>
      </c>
      <c r="K786" s="6">
        <v>98.69</v>
      </c>
      <c r="L786" s="6">
        <v>-1.34</v>
      </c>
      <c r="M786" s="6">
        <v>98.69</v>
      </c>
      <c r="N786">
        <v>0</v>
      </c>
      <c r="O786" s="6">
        <v>0</v>
      </c>
      <c r="P786">
        <v>0</v>
      </c>
      <c r="Q786" s="8">
        <v>120.48</v>
      </c>
      <c r="R786" s="8">
        <v>118.9</v>
      </c>
      <c r="S786" s="9" t="s">
        <v>537</v>
      </c>
    </row>
    <row r="787" spans="1:19" hidden="1" x14ac:dyDescent="0.25">
      <c r="A787" t="s">
        <v>123</v>
      </c>
      <c r="B787" t="s">
        <v>76</v>
      </c>
      <c r="C787" t="s">
        <v>127</v>
      </c>
      <c r="D787" t="s">
        <v>530</v>
      </c>
      <c r="E787" t="s">
        <v>90</v>
      </c>
      <c r="F787" t="s">
        <v>90</v>
      </c>
      <c r="G787">
        <v>0</v>
      </c>
      <c r="H787">
        <v>3</v>
      </c>
      <c r="I787">
        <v>3</v>
      </c>
      <c r="J787">
        <v>3</v>
      </c>
      <c r="K787" s="6">
        <v>100</v>
      </c>
      <c r="L787" s="6">
        <v>0</v>
      </c>
      <c r="M787" s="6">
        <v>100</v>
      </c>
      <c r="N787">
        <v>0</v>
      </c>
      <c r="O787" s="6">
        <v>0</v>
      </c>
      <c r="P787">
        <v>0</v>
      </c>
      <c r="Q787" s="8">
        <v>121.17</v>
      </c>
      <c r="R787" s="8">
        <v>121.17</v>
      </c>
      <c r="S787" s="9" t="s">
        <v>525</v>
      </c>
    </row>
    <row r="788" spans="1:19" hidden="1" x14ac:dyDescent="0.25">
      <c r="A788" t="s">
        <v>123</v>
      </c>
      <c r="B788" t="s">
        <v>76</v>
      </c>
      <c r="C788" t="s">
        <v>127</v>
      </c>
      <c r="D788" t="s">
        <v>530</v>
      </c>
      <c r="E788" t="s">
        <v>90</v>
      </c>
      <c r="F788" t="s">
        <v>91</v>
      </c>
      <c r="G788">
        <v>1</v>
      </c>
      <c r="H788">
        <v>3</v>
      </c>
      <c r="I788">
        <v>3</v>
      </c>
      <c r="J788">
        <v>3</v>
      </c>
      <c r="K788" s="6">
        <v>100</v>
      </c>
      <c r="L788" s="6">
        <v>0</v>
      </c>
      <c r="M788" s="6">
        <v>100</v>
      </c>
      <c r="N788">
        <v>0</v>
      </c>
      <c r="O788" s="6">
        <v>0</v>
      </c>
      <c r="P788">
        <v>0</v>
      </c>
      <c r="Q788" s="8">
        <v>121.17</v>
      </c>
      <c r="R788" s="8">
        <v>121.17</v>
      </c>
      <c r="S788" s="9" t="s">
        <v>526</v>
      </c>
    </row>
    <row r="789" spans="1:19" hidden="1" x14ac:dyDescent="0.25">
      <c r="A789" t="s">
        <v>123</v>
      </c>
      <c r="B789" t="s">
        <v>76</v>
      </c>
      <c r="C789" t="s">
        <v>127</v>
      </c>
      <c r="D789" t="s">
        <v>530</v>
      </c>
      <c r="E789" t="s">
        <v>90</v>
      </c>
      <c r="F789" t="s">
        <v>94</v>
      </c>
      <c r="G789">
        <v>2</v>
      </c>
      <c r="H789">
        <v>3</v>
      </c>
      <c r="I789">
        <v>3</v>
      </c>
      <c r="J789">
        <v>3</v>
      </c>
      <c r="K789" s="6">
        <v>100.55</v>
      </c>
      <c r="L789" s="6">
        <v>0</v>
      </c>
      <c r="M789" s="6">
        <v>100.55</v>
      </c>
      <c r="N789">
        <v>0</v>
      </c>
      <c r="O789" s="6">
        <v>0</v>
      </c>
      <c r="P789">
        <v>0</v>
      </c>
      <c r="Q789" s="8">
        <v>121.17</v>
      </c>
      <c r="R789" s="8">
        <v>121.84</v>
      </c>
      <c r="S789" s="9" t="s">
        <v>526</v>
      </c>
    </row>
    <row r="790" spans="1:19" hidden="1" x14ac:dyDescent="0.25">
      <c r="A790" t="s">
        <v>123</v>
      </c>
      <c r="B790" t="s">
        <v>76</v>
      </c>
      <c r="C790" t="s">
        <v>127</v>
      </c>
      <c r="D790" t="s">
        <v>530</v>
      </c>
      <c r="E790" t="s">
        <v>90</v>
      </c>
      <c r="F790" t="s">
        <v>96</v>
      </c>
      <c r="G790">
        <v>6</v>
      </c>
      <c r="H790">
        <v>3</v>
      </c>
      <c r="I790">
        <v>3</v>
      </c>
      <c r="J790">
        <v>3</v>
      </c>
      <c r="K790" s="6">
        <v>100.55</v>
      </c>
      <c r="L790" s="6">
        <v>0</v>
      </c>
      <c r="M790" s="6">
        <v>100.55</v>
      </c>
      <c r="N790">
        <v>0</v>
      </c>
      <c r="O790" s="6">
        <v>0</v>
      </c>
      <c r="P790">
        <v>0</v>
      </c>
      <c r="Q790" s="8">
        <v>121.17</v>
      </c>
      <c r="R790" s="8">
        <v>121.84</v>
      </c>
      <c r="S790" s="9" t="s">
        <v>526</v>
      </c>
    </row>
    <row r="791" spans="1:19" hidden="1" x14ac:dyDescent="0.25">
      <c r="A791" t="s">
        <v>123</v>
      </c>
      <c r="B791" t="s">
        <v>76</v>
      </c>
      <c r="C791" t="s">
        <v>127</v>
      </c>
      <c r="D791" t="s">
        <v>530</v>
      </c>
      <c r="E791" t="s">
        <v>90</v>
      </c>
      <c r="F791" t="s">
        <v>6</v>
      </c>
      <c r="G791">
        <v>13</v>
      </c>
      <c r="H791">
        <v>3</v>
      </c>
      <c r="I791">
        <v>3</v>
      </c>
      <c r="J791">
        <v>3</v>
      </c>
      <c r="K791" s="6">
        <v>100.55</v>
      </c>
      <c r="L791" s="6">
        <v>0</v>
      </c>
      <c r="M791" s="6">
        <v>100.55</v>
      </c>
      <c r="N791">
        <v>0</v>
      </c>
      <c r="O791" s="6">
        <v>0</v>
      </c>
      <c r="P791">
        <v>0</v>
      </c>
      <c r="Q791" s="8">
        <v>121.17</v>
      </c>
      <c r="R791" s="8">
        <v>121.84</v>
      </c>
      <c r="S791" s="9" t="s">
        <v>526</v>
      </c>
    </row>
    <row r="792" spans="1:19" hidden="1" x14ac:dyDescent="0.25">
      <c r="A792" t="s">
        <v>123</v>
      </c>
      <c r="B792" t="s">
        <v>76</v>
      </c>
      <c r="C792" t="s">
        <v>127</v>
      </c>
      <c r="D792" t="s">
        <v>531</v>
      </c>
      <c r="E792" t="s">
        <v>90</v>
      </c>
      <c r="F792" t="s">
        <v>90</v>
      </c>
      <c r="G792">
        <v>0</v>
      </c>
      <c r="H792">
        <v>2</v>
      </c>
      <c r="I792">
        <v>2</v>
      </c>
      <c r="J792">
        <v>2</v>
      </c>
      <c r="K792" s="6">
        <v>100</v>
      </c>
      <c r="L792" s="6">
        <v>0</v>
      </c>
      <c r="M792" s="6">
        <v>100</v>
      </c>
      <c r="N792">
        <v>0</v>
      </c>
      <c r="O792" s="6">
        <v>0</v>
      </c>
      <c r="P792">
        <v>0</v>
      </c>
      <c r="Q792" s="8">
        <v>135.11000000000001</v>
      </c>
      <c r="R792" s="8">
        <v>135.11000000000001</v>
      </c>
      <c r="S792" s="9" t="s">
        <v>536</v>
      </c>
    </row>
    <row r="793" spans="1:19" hidden="1" x14ac:dyDescent="0.25">
      <c r="A793" t="s">
        <v>123</v>
      </c>
      <c r="B793" t="s">
        <v>76</v>
      </c>
      <c r="C793" t="s">
        <v>127</v>
      </c>
      <c r="D793" t="s">
        <v>531</v>
      </c>
      <c r="E793" t="s">
        <v>90</v>
      </c>
      <c r="F793" t="s">
        <v>91</v>
      </c>
      <c r="G793">
        <v>1</v>
      </c>
      <c r="H793">
        <v>2</v>
      </c>
      <c r="I793">
        <v>3</v>
      </c>
      <c r="J793">
        <v>2</v>
      </c>
      <c r="K793" s="6">
        <v>100</v>
      </c>
      <c r="L793" s="6">
        <v>0</v>
      </c>
      <c r="M793" s="6">
        <v>107.51</v>
      </c>
      <c r="N793">
        <v>7.51</v>
      </c>
      <c r="O793" s="6">
        <v>0</v>
      </c>
      <c r="P793">
        <v>1</v>
      </c>
      <c r="Q793" s="8">
        <v>135.11000000000001</v>
      </c>
      <c r="R793" s="8">
        <v>135.11000000000001</v>
      </c>
      <c r="S793" s="9" t="s">
        <v>537</v>
      </c>
    </row>
    <row r="794" spans="1:19" hidden="1" x14ac:dyDescent="0.25">
      <c r="A794" t="s">
        <v>123</v>
      </c>
      <c r="B794" t="s">
        <v>76</v>
      </c>
      <c r="C794" t="s">
        <v>127</v>
      </c>
      <c r="D794" t="s">
        <v>531</v>
      </c>
      <c r="E794" t="s">
        <v>90</v>
      </c>
      <c r="F794" t="s">
        <v>94</v>
      </c>
      <c r="G794">
        <v>2</v>
      </c>
      <c r="H794">
        <v>2</v>
      </c>
      <c r="I794">
        <v>3</v>
      </c>
      <c r="J794">
        <v>2</v>
      </c>
      <c r="K794" s="6">
        <v>100</v>
      </c>
      <c r="L794" s="6">
        <v>0</v>
      </c>
      <c r="M794" s="6">
        <v>107.51</v>
      </c>
      <c r="N794">
        <v>7.51</v>
      </c>
      <c r="O794" s="6">
        <v>0</v>
      </c>
      <c r="P794">
        <v>1</v>
      </c>
      <c r="Q794" s="8">
        <v>135.11000000000001</v>
      </c>
      <c r="R794" s="8">
        <v>135.11000000000001</v>
      </c>
      <c r="S794" s="9" t="s">
        <v>537</v>
      </c>
    </row>
    <row r="795" spans="1:19" hidden="1" x14ac:dyDescent="0.25">
      <c r="A795" t="s">
        <v>123</v>
      </c>
      <c r="B795" t="s">
        <v>76</v>
      </c>
      <c r="C795" t="s">
        <v>127</v>
      </c>
      <c r="D795" t="s">
        <v>531</v>
      </c>
      <c r="E795" t="s">
        <v>90</v>
      </c>
      <c r="F795" t="s">
        <v>96</v>
      </c>
      <c r="G795">
        <v>6</v>
      </c>
      <c r="H795">
        <v>2</v>
      </c>
      <c r="I795">
        <v>3</v>
      </c>
      <c r="J795">
        <v>2</v>
      </c>
      <c r="K795" s="6">
        <v>100</v>
      </c>
      <c r="L795" s="6">
        <v>0</v>
      </c>
      <c r="M795" s="6">
        <v>107.96</v>
      </c>
      <c r="N795">
        <v>7.96</v>
      </c>
      <c r="O795" s="6">
        <v>0</v>
      </c>
      <c r="P795">
        <v>1</v>
      </c>
      <c r="Q795" s="8">
        <v>135.11000000000001</v>
      </c>
      <c r="R795" s="8">
        <v>135.11000000000001</v>
      </c>
      <c r="S795" s="9" t="s">
        <v>537</v>
      </c>
    </row>
    <row r="796" spans="1:19" hidden="1" x14ac:dyDescent="0.25">
      <c r="A796" t="s">
        <v>123</v>
      </c>
      <c r="B796" t="s">
        <v>76</v>
      </c>
      <c r="C796" t="s">
        <v>127</v>
      </c>
      <c r="D796" t="s">
        <v>531</v>
      </c>
      <c r="E796" t="s">
        <v>90</v>
      </c>
      <c r="F796" t="s">
        <v>6</v>
      </c>
      <c r="G796">
        <v>13</v>
      </c>
      <c r="H796">
        <v>2</v>
      </c>
      <c r="I796">
        <v>2</v>
      </c>
      <c r="J796">
        <v>2</v>
      </c>
      <c r="K796" s="6">
        <v>99.17</v>
      </c>
      <c r="L796" s="6">
        <v>-0.83</v>
      </c>
      <c r="M796" s="6">
        <v>99.17</v>
      </c>
      <c r="N796">
        <v>0</v>
      </c>
      <c r="O796" s="6">
        <v>0</v>
      </c>
      <c r="P796">
        <v>0</v>
      </c>
      <c r="Q796" s="8">
        <v>135.11000000000001</v>
      </c>
      <c r="R796" s="8">
        <v>133.99</v>
      </c>
      <c r="S796" s="9" t="s">
        <v>537</v>
      </c>
    </row>
    <row r="797" spans="1:19" hidden="1" x14ac:dyDescent="0.25">
      <c r="A797" t="s">
        <v>123</v>
      </c>
      <c r="B797" t="s">
        <v>76</v>
      </c>
      <c r="C797" t="s">
        <v>127</v>
      </c>
      <c r="D797" t="s">
        <v>532</v>
      </c>
      <c r="E797" t="s">
        <v>90</v>
      </c>
      <c r="F797" t="s">
        <v>90</v>
      </c>
      <c r="G797">
        <v>0</v>
      </c>
      <c r="H797">
        <v>3</v>
      </c>
      <c r="I797">
        <v>3</v>
      </c>
      <c r="J797">
        <v>3</v>
      </c>
      <c r="K797" s="6">
        <v>100</v>
      </c>
      <c r="L797" s="6">
        <v>0</v>
      </c>
      <c r="M797" s="6">
        <v>100</v>
      </c>
      <c r="N797">
        <v>0</v>
      </c>
      <c r="O797" s="6">
        <v>0</v>
      </c>
      <c r="P797">
        <v>0</v>
      </c>
      <c r="Q797" s="8">
        <v>111.58</v>
      </c>
      <c r="R797" s="8">
        <v>111.58</v>
      </c>
      <c r="S797" s="9" t="s">
        <v>525</v>
      </c>
    </row>
    <row r="798" spans="1:19" hidden="1" x14ac:dyDescent="0.25">
      <c r="A798" t="s">
        <v>123</v>
      </c>
      <c r="B798" t="s">
        <v>76</v>
      </c>
      <c r="C798" t="s">
        <v>127</v>
      </c>
      <c r="D798" t="s">
        <v>532</v>
      </c>
      <c r="E798" t="s">
        <v>90</v>
      </c>
      <c r="F798" t="s">
        <v>91</v>
      </c>
      <c r="G798">
        <v>1</v>
      </c>
      <c r="H798">
        <v>3</v>
      </c>
      <c r="I798">
        <v>3</v>
      </c>
      <c r="J798">
        <v>3</v>
      </c>
      <c r="K798" s="6">
        <v>100</v>
      </c>
      <c r="L798" s="6">
        <v>0</v>
      </c>
      <c r="M798" s="6">
        <v>100</v>
      </c>
      <c r="N798">
        <v>0</v>
      </c>
      <c r="O798" s="6">
        <v>0</v>
      </c>
      <c r="P798">
        <v>0</v>
      </c>
      <c r="Q798" s="8">
        <v>111.58</v>
      </c>
      <c r="R798" s="8">
        <v>111.58</v>
      </c>
      <c r="S798" s="9" t="s">
        <v>526</v>
      </c>
    </row>
    <row r="799" spans="1:19" hidden="1" x14ac:dyDescent="0.25">
      <c r="A799" t="s">
        <v>123</v>
      </c>
      <c r="B799" t="s">
        <v>76</v>
      </c>
      <c r="C799" t="s">
        <v>127</v>
      </c>
      <c r="D799" t="s">
        <v>532</v>
      </c>
      <c r="E799" t="s">
        <v>90</v>
      </c>
      <c r="F799" t="s">
        <v>94</v>
      </c>
      <c r="G799">
        <v>2</v>
      </c>
      <c r="H799">
        <v>3</v>
      </c>
      <c r="I799">
        <v>3</v>
      </c>
      <c r="J799">
        <v>3</v>
      </c>
      <c r="K799" s="6">
        <v>100.6</v>
      </c>
      <c r="L799" s="6">
        <v>0</v>
      </c>
      <c r="M799" s="6">
        <v>100.6</v>
      </c>
      <c r="N799">
        <v>0</v>
      </c>
      <c r="O799" s="6">
        <v>0</v>
      </c>
      <c r="P799">
        <v>0</v>
      </c>
      <c r="Q799" s="8">
        <v>111.58</v>
      </c>
      <c r="R799" s="8">
        <v>112.24</v>
      </c>
      <c r="S799" s="9" t="s">
        <v>526</v>
      </c>
    </row>
    <row r="800" spans="1:19" hidden="1" x14ac:dyDescent="0.25">
      <c r="A800" t="s">
        <v>123</v>
      </c>
      <c r="B800" t="s">
        <v>76</v>
      </c>
      <c r="C800" t="s">
        <v>127</v>
      </c>
      <c r="D800" t="s">
        <v>532</v>
      </c>
      <c r="E800" t="s">
        <v>90</v>
      </c>
      <c r="F800" t="s">
        <v>96</v>
      </c>
      <c r="G800">
        <v>6</v>
      </c>
      <c r="H800">
        <v>3</v>
      </c>
      <c r="I800">
        <v>3</v>
      </c>
      <c r="J800">
        <v>3</v>
      </c>
      <c r="K800" s="6">
        <v>100.6</v>
      </c>
      <c r="L800" s="6">
        <v>0</v>
      </c>
      <c r="M800" s="6">
        <v>100.6</v>
      </c>
      <c r="N800">
        <v>0</v>
      </c>
      <c r="O800" s="6">
        <v>0</v>
      </c>
      <c r="P800">
        <v>0</v>
      </c>
      <c r="Q800" s="8">
        <v>111.58</v>
      </c>
      <c r="R800" s="8">
        <v>112.24</v>
      </c>
      <c r="S800" s="9" t="s">
        <v>526</v>
      </c>
    </row>
    <row r="801" spans="1:19" hidden="1" x14ac:dyDescent="0.25">
      <c r="A801" t="s">
        <v>123</v>
      </c>
      <c r="B801" t="s">
        <v>76</v>
      </c>
      <c r="C801" t="s">
        <v>127</v>
      </c>
      <c r="D801" t="s">
        <v>532</v>
      </c>
      <c r="E801" t="s">
        <v>90</v>
      </c>
      <c r="F801" t="s">
        <v>6</v>
      </c>
      <c r="G801">
        <v>13</v>
      </c>
      <c r="H801">
        <v>3</v>
      </c>
      <c r="I801">
        <v>3</v>
      </c>
      <c r="J801">
        <v>3</v>
      </c>
      <c r="K801" s="6">
        <v>100.9</v>
      </c>
      <c r="L801" s="6">
        <v>0.92</v>
      </c>
      <c r="M801" s="6">
        <v>100.9</v>
      </c>
      <c r="N801">
        <v>0</v>
      </c>
      <c r="O801" s="6">
        <v>0</v>
      </c>
      <c r="P801">
        <v>0</v>
      </c>
      <c r="Q801" s="8">
        <v>111.58</v>
      </c>
      <c r="R801" s="8">
        <v>112.58</v>
      </c>
      <c r="S801" s="9" t="s">
        <v>526</v>
      </c>
    </row>
    <row r="802" spans="1:19" hidden="1" x14ac:dyDescent="0.25">
      <c r="A802" t="s">
        <v>123</v>
      </c>
      <c r="B802" t="s">
        <v>76</v>
      </c>
      <c r="C802" t="s">
        <v>127</v>
      </c>
      <c r="D802" t="s">
        <v>533</v>
      </c>
      <c r="E802" t="s">
        <v>94</v>
      </c>
      <c r="F802" t="s">
        <v>94</v>
      </c>
      <c r="G802">
        <v>0</v>
      </c>
      <c r="H802">
        <v>6</v>
      </c>
      <c r="I802">
        <v>6</v>
      </c>
      <c r="J802">
        <v>6</v>
      </c>
      <c r="K802" s="6">
        <v>100</v>
      </c>
      <c r="L802" s="6">
        <v>0</v>
      </c>
      <c r="M802" s="6">
        <v>100</v>
      </c>
      <c r="N802">
        <v>0</v>
      </c>
      <c r="O802" s="6">
        <v>0</v>
      </c>
      <c r="P802">
        <v>0</v>
      </c>
      <c r="Q802" s="8">
        <v>117.43</v>
      </c>
      <c r="R802" s="8">
        <v>117.43</v>
      </c>
      <c r="S802" s="9" t="s">
        <v>534</v>
      </c>
    </row>
    <row r="803" spans="1:19" hidden="1" x14ac:dyDescent="0.25">
      <c r="A803" t="s">
        <v>123</v>
      </c>
      <c r="B803" t="s">
        <v>76</v>
      </c>
      <c r="C803" t="s">
        <v>127</v>
      </c>
      <c r="D803" t="s">
        <v>533</v>
      </c>
      <c r="E803" t="s">
        <v>94</v>
      </c>
      <c r="F803" t="s">
        <v>96</v>
      </c>
      <c r="G803">
        <v>4</v>
      </c>
      <c r="H803">
        <v>6</v>
      </c>
      <c r="I803">
        <v>6</v>
      </c>
      <c r="J803">
        <v>6</v>
      </c>
      <c r="K803" s="6">
        <v>100</v>
      </c>
      <c r="L803" s="6">
        <v>0</v>
      </c>
      <c r="M803" s="6">
        <v>100</v>
      </c>
      <c r="N803">
        <v>0</v>
      </c>
      <c r="O803" s="6">
        <v>0</v>
      </c>
      <c r="P803">
        <v>0</v>
      </c>
      <c r="Q803" s="8">
        <v>117.43</v>
      </c>
      <c r="R803" s="8">
        <v>117.43</v>
      </c>
      <c r="S803" s="9" t="s">
        <v>535</v>
      </c>
    </row>
    <row r="804" spans="1:19" hidden="1" x14ac:dyDescent="0.25">
      <c r="A804" t="s">
        <v>123</v>
      </c>
      <c r="B804" t="s">
        <v>76</v>
      </c>
      <c r="C804" t="s">
        <v>127</v>
      </c>
      <c r="D804" t="s">
        <v>533</v>
      </c>
      <c r="E804" t="s">
        <v>94</v>
      </c>
      <c r="F804" t="s">
        <v>6</v>
      </c>
      <c r="G804">
        <v>11</v>
      </c>
      <c r="H804">
        <v>6</v>
      </c>
      <c r="I804">
        <v>6</v>
      </c>
      <c r="J804">
        <v>6</v>
      </c>
      <c r="K804" s="6">
        <v>99.84</v>
      </c>
      <c r="L804" s="6">
        <v>0</v>
      </c>
      <c r="M804" s="6">
        <v>99.84</v>
      </c>
      <c r="N804">
        <v>0</v>
      </c>
      <c r="O804" s="6">
        <v>0</v>
      </c>
      <c r="P804">
        <v>0</v>
      </c>
      <c r="Q804" s="8">
        <v>117.43</v>
      </c>
      <c r="R804" s="8">
        <v>117.24</v>
      </c>
      <c r="S804" s="9" t="s">
        <v>535</v>
      </c>
    </row>
    <row r="805" spans="1:19" hidden="1" x14ac:dyDescent="0.25">
      <c r="A805" t="s">
        <v>123</v>
      </c>
      <c r="B805" t="s">
        <v>76</v>
      </c>
      <c r="C805" t="s">
        <v>127</v>
      </c>
      <c r="D805" t="s">
        <v>545</v>
      </c>
      <c r="E805" t="s">
        <v>94</v>
      </c>
      <c r="F805" t="s">
        <v>94</v>
      </c>
      <c r="G805">
        <v>0</v>
      </c>
      <c r="H805">
        <v>4</v>
      </c>
      <c r="I805">
        <v>4</v>
      </c>
      <c r="J805">
        <v>4</v>
      </c>
      <c r="K805" s="6">
        <v>100</v>
      </c>
      <c r="L805" s="6">
        <v>0</v>
      </c>
      <c r="M805" s="6">
        <v>100</v>
      </c>
      <c r="N805">
        <v>0</v>
      </c>
      <c r="O805" s="6">
        <v>0</v>
      </c>
      <c r="P805">
        <v>0</v>
      </c>
      <c r="Q805" s="8">
        <v>132.44999999999999</v>
      </c>
      <c r="R805" s="8">
        <v>132.44999999999999</v>
      </c>
      <c r="S805" s="9" t="s">
        <v>605</v>
      </c>
    </row>
    <row r="806" spans="1:19" hidden="1" x14ac:dyDescent="0.25">
      <c r="A806" t="s">
        <v>123</v>
      </c>
      <c r="B806" t="s">
        <v>76</v>
      </c>
      <c r="C806" t="s">
        <v>127</v>
      </c>
      <c r="D806" t="s">
        <v>545</v>
      </c>
      <c r="E806" t="s">
        <v>94</v>
      </c>
      <c r="F806" t="s">
        <v>96</v>
      </c>
      <c r="G806">
        <v>4</v>
      </c>
      <c r="H806">
        <v>4</v>
      </c>
      <c r="I806">
        <v>4</v>
      </c>
      <c r="J806">
        <v>4</v>
      </c>
      <c r="K806" s="6">
        <v>100</v>
      </c>
      <c r="L806" s="6">
        <v>0</v>
      </c>
      <c r="M806" s="6">
        <v>100</v>
      </c>
      <c r="N806">
        <v>0</v>
      </c>
      <c r="O806" s="6">
        <v>0</v>
      </c>
      <c r="P806">
        <v>0</v>
      </c>
      <c r="Q806" s="8">
        <v>132.44999999999999</v>
      </c>
      <c r="R806" s="8">
        <v>132.44999999999999</v>
      </c>
      <c r="S806" s="9" t="s">
        <v>548</v>
      </c>
    </row>
    <row r="807" spans="1:19" hidden="1" x14ac:dyDescent="0.25">
      <c r="A807" t="s">
        <v>123</v>
      </c>
      <c r="B807" t="s">
        <v>76</v>
      </c>
      <c r="C807" t="s">
        <v>127</v>
      </c>
      <c r="D807" t="s">
        <v>545</v>
      </c>
      <c r="E807" t="s">
        <v>94</v>
      </c>
      <c r="F807" t="s">
        <v>6</v>
      </c>
      <c r="G807">
        <v>11</v>
      </c>
      <c r="H807">
        <v>4</v>
      </c>
      <c r="I807">
        <v>4</v>
      </c>
      <c r="J807">
        <v>4</v>
      </c>
      <c r="K807" s="6">
        <v>100.24</v>
      </c>
      <c r="L807" s="6">
        <v>0</v>
      </c>
      <c r="M807" s="6">
        <v>100.24</v>
      </c>
      <c r="N807">
        <v>0</v>
      </c>
      <c r="O807" s="6">
        <v>0</v>
      </c>
      <c r="P807">
        <v>0</v>
      </c>
      <c r="Q807" s="8">
        <v>132.44999999999999</v>
      </c>
      <c r="R807" s="8">
        <v>132.76</v>
      </c>
      <c r="S807" s="9" t="s">
        <v>548</v>
      </c>
    </row>
    <row r="808" spans="1:19" hidden="1" x14ac:dyDescent="0.25">
      <c r="A808" t="s">
        <v>123</v>
      </c>
      <c r="B808" t="s">
        <v>76</v>
      </c>
      <c r="C808" t="s">
        <v>128</v>
      </c>
      <c r="D808" t="s">
        <v>539</v>
      </c>
      <c r="E808" t="s">
        <v>96</v>
      </c>
      <c r="F808" t="s">
        <v>96</v>
      </c>
      <c r="G808">
        <v>0</v>
      </c>
      <c r="H808">
        <v>1</v>
      </c>
      <c r="I808">
        <v>1</v>
      </c>
      <c r="J808">
        <v>1</v>
      </c>
      <c r="K808" s="6">
        <v>100</v>
      </c>
      <c r="L808" s="6">
        <v>0</v>
      </c>
      <c r="M808" s="6">
        <v>100</v>
      </c>
      <c r="N808">
        <v>0</v>
      </c>
      <c r="O808" s="6">
        <v>0</v>
      </c>
      <c r="P808">
        <v>0</v>
      </c>
      <c r="Q808" s="8">
        <v>325.56</v>
      </c>
      <c r="R808" s="8">
        <v>325.56</v>
      </c>
      <c r="S808" s="9" t="s">
        <v>540</v>
      </c>
    </row>
    <row r="809" spans="1:19" hidden="1" x14ac:dyDescent="0.25">
      <c r="A809" t="s">
        <v>123</v>
      </c>
      <c r="B809" t="s">
        <v>76</v>
      </c>
      <c r="C809" t="s">
        <v>128</v>
      </c>
      <c r="D809" t="s">
        <v>527</v>
      </c>
      <c r="E809" t="s">
        <v>90</v>
      </c>
      <c r="F809" t="s">
        <v>90</v>
      </c>
      <c r="G809">
        <v>0</v>
      </c>
      <c r="H809">
        <v>2</v>
      </c>
      <c r="I809">
        <v>2</v>
      </c>
      <c r="J809">
        <v>2</v>
      </c>
      <c r="K809" s="6">
        <v>100</v>
      </c>
      <c r="L809" s="6">
        <v>0</v>
      </c>
      <c r="M809" s="6">
        <v>100</v>
      </c>
      <c r="N809">
        <v>0</v>
      </c>
      <c r="O809" s="6">
        <v>0</v>
      </c>
      <c r="P809">
        <v>0</v>
      </c>
      <c r="Q809" s="8">
        <v>300.32</v>
      </c>
      <c r="R809" s="8">
        <v>300.32</v>
      </c>
      <c r="S809" s="9" t="s">
        <v>536</v>
      </c>
    </row>
    <row r="810" spans="1:19" hidden="1" x14ac:dyDescent="0.25">
      <c r="A810" t="s">
        <v>123</v>
      </c>
      <c r="B810" t="s">
        <v>76</v>
      </c>
      <c r="C810" t="s">
        <v>128</v>
      </c>
      <c r="D810" t="s">
        <v>527</v>
      </c>
      <c r="E810" t="s">
        <v>90</v>
      </c>
      <c r="F810" t="s">
        <v>91</v>
      </c>
      <c r="G810">
        <v>1</v>
      </c>
      <c r="H810">
        <v>2</v>
      </c>
      <c r="I810">
        <v>2</v>
      </c>
      <c r="J810">
        <v>2</v>
      </c>
      <c r="K810" s="6">
        <v>100</v>
      </c>
      <c r="L810" s="6">
        <v>0</v>
      </c>
      <c r="M810" s="6">
        <v>100</v>
      </c>
      <c r="N810">
        <v>0</v>
      </c>
      <c r="O810" s="6">
        <v>0</v>
      </c>
      <c r="P810">
        <v>0</v>
      </c>
      <c r="Q810" s="8">
        <v>300.32</v>
      </c>
      <c r="R810" s="8">
        <v>300.32</v>
      </c>
      <c r="S810" s="9" t="s">
        <v>537</v>
      </c>
    </row>
    <row r="811" spans="1:19" hidden="1" x14ac:dyDescent="0.25">
      <c r="A811" t="s">
        <v>123</v>
      </c>
      <c r="B811" t="s">
        <v>76</v>
      </c>
      <c r="C811" t="s">
        <v>128</v>
      </c>
      <c r="D811" t="s">
        <v>527</v>
      </c>
      <c r="E811" t="s">
        <v>90</v>
      </c>
      <c r="F811" t="s">
        <v>94</v>
      </c>
      <c r="G811">
        <v>2</v>
      </c>
      <c r="H811">
        <v>2</v>
      </c>
      <c r="I811">
        <v>2</v>
      </c>
      <c r="J811">
        <v>2</v>
      </c>
      <c r="K811" s="6">
        <v>100</v>
      </c>
      <c r="L811" s="6">
        <v>0</v>
      </c>
      <c r="M811" s="6">
        <v>100</v>
      </c>
      <c r="N811">
        <v>0</v>
      </c>
      <c r="O811" s="6">
        <v>0</v>
      </c>
      <c r="P811">
        <v>0</v>
      </c>
      <c r="Q811" s="8">
        <v>300.32</v>
      </c>
      <c r="R811" s="8">
        <v>300.32</v>
      </c>
      <c r="S811" s="9" t="s">
        <v>537</v>
      </c>
    </row>
    <row r="812" spans="1:19" hidden="1" x14ac:dyDescent="0.25">
      <c r="A812" t="s">
        <v>123</v>
      </c>
      <c r="B812" t="s">
        <v>76</v>
      </c>
      <c r="C812" t="s">
        <v>128</v>
      </c>
      <c r="D812" t="s">
        <v>527</v>
      </c>
      <c r="E812" t="s">
        <v>90</v>
      </c>
      <c r="F812" t="s">
        <v>96</v>
      </c>
      <c r="G812">
        <v>6</v>
      </c>
      <c r="H812">
        <v>2</v>
      </c>
      <c r="I812">
        <v>2</v>
      </c>
      <c r="J812">
        <v>2</v>
      </c>
      <c r="K812" s="6">
        <v>100</v>
      </c>
      <c r="L812" s="6">
        <v>0</v>
      </c>
      <c r="M812" s="6">
        <v>100</v>
      </c>
      <c r="N812">
        <v>0</v>
      </c>
      <c r="O812" s="6">
        <v>0</v>
      </c>
      <c r="P812">
        <v>0</v>
      </c>
      <c r="Q812" s="8">
        <v>300.32</v>
      </c>
      <c r="R812" s="8">
        <v>300.32</v>
      </c>
      <c r="S812" s="9" t="s">
        <v>537</v>
      </c>
    </row>
    <row r="813" spans="1:19" hidden="1" x14ac:dyDescent="0.25">
      <c r="A813" t="s">
        <v>123</v>
      </c>
      <c r="B813" t="s">
        <v>76</v>
      </c>
      <c r="C813" t="s">
        <v>128</v>
      </c>
      <c r="D813" t="s">
        <v>527</v>
      </c>
      <c r="E813" t="s">
        <v>90</v>
      </c>
      <c r="F813" t="s">
        <v>6</v>
      </c>
      <c r="G813">
        <v>13</v>
      </c>
      <c r="H813">
        <v>2</v>
      </c>
      <c r="I813">
        <v>2</v>
      </c>
      <c r="J813">
        <v>2</v>
      </c>
      <c r="K813" s="6">
        <v>98.3</v>
      </c>
      <c r="L813" s="6">
        <v>-2.0099999999999998</v>
      </c>
      <c r="M813" s="6">
        <v>98.3</v>
      </c>
      <c r="N813">
        <v>0</v>
      </c>
      <c r="O813" s="6">
        <v>0</v>
      </c>
      <c r="P813">
        <v>0</v>
      </c>
      <c r="Q813" s="8">
        <v>300.32</v>
      </c>
      <c r="R813" s="8">
        <v>295.20999999999998</v>
      </c>
      <c r="S813" s="9" t="s">
        <v>537</v>
      </c>
    </row>
    <row r="814" spans="1:19" hidden="1" x14ac:dyDescent="0.25">
      <c r="A814" t="s">
        <v>123</v>
      </c>
      <c r="B814" t="s">
        <v>76</v>
      </c>
      <c r="C814" t="s">
        <v>128</v>
      </c>
      <c r="D814" t="s">
        <v>530</v>
      </c>
      <c r="E814" t="s">
        <v>90</v>
      </c>
      <c r="F814" t="s">
        <v>90</v>
      </c>
      <c r="G814">
        <v>0</v>
      </c>
      <c r="H814">
        <v>3</v>
      </c>
      <c r="I814">
        <v>3</v>
      </c>
      <c r="J814">
        <v>3</v>
      </c>
      <c r="K814" s="6">
        <v>100</v>
      </c>
      <c r="L814" s="6">
        <v>0</v>
      </c>
      <c r="M814" s="6">
        <v>100</v>
      </c>
      <c r="N814">
        <v>0</v>
      </c>
      <c r="O814" s="6">
        <v>0</v>
      </c>
      <c r="P814">
        <v>0</v>
      </c>
      <c r="Q814" s="8">
        <v>359.51</v>
      </c>
      <c r="R814" s="8">
        <v>359.51</v>
      </c>
      <c r="S814" s="9" t="s">
        <v>525</v>
      </c>
    </row>
    <row r="815" spans="1:19" hidden="1" x14ac:dyDescent="0.25">
      <c r="A815" t="s">
        <v>123</v>
      </c>
      <c r="B815" t="s">
        <v>76</v>
      </c>
      <c r="C815" t="s">
        <v>128</v>
      </c>
      <c r="D815" t="s">
        <v>530</v>
      </c>
      <c r="E815" t="s">
        <v>90</v>
      </c>
      <c r="F815" t="s">
        <v>91</v>
      </c>
      <c r="G815">
        <v>1</v>
      </c>
      <c r="H815">
        <v>3</v>
      </c>
      <c r="I815">
        <v>3</v>
      </c>
      <c r="J815">
        <v>3</v>
      </c>
      <c r="K815" s="6">
        <v>100</v>
      </c>
      <c r="L815" s="6">
        <v>0</v>
      </c>
      <c r="M815" s="6">
        <v>100</v>
      </c>
      <c r="N815">
        <v>0</v>
      </c>
      <c r="O815" s="6">
        <v>0</v>
      </c>
      <c r="P815">
        <v>0</v>
      </c>
      <c r="Q815" s="8">
        <v>359.51</v>
      </c>
      <c r="R815" s="8">
        <v>359.51</v>
      </c>
      <c r="S815" s="9" t="s">
        <v>526</v>
      </c>
    </row>
    <row r="816" spans="1:19" hidden="1" x14ac:dyDescent="0.25">
      <c r="A816" t="s">
        <v>123</v>
      </c>
      <c r="B816" t="s">
        <v>76</v>
      </c>
      <c r="C816" t="s">
        <v>128</v>
      </c>
      <c r="D816" t="s">
        <v>530</v>
      </c>
      <c r="E816" t="s">
        <v>90</v>
      </c>
      <c r="F816" t="s">
        <v>94</v>
      </c>
      <c r="G816">
        <v>2</v>
      </c>
      <c r="H816">
        <v>3</v>
      </c>
      <c r="I816">
        <v>3</v>
      </c>
      <c r="J816">
        <v>3</v>
      </c>
      <c r="K816" s="6">
        <v>100</v>
      </c>
      <c r="L816" s="6">
        <v>0</v>
      </c>
      <c r="M816" s="6">
        <v>100</v>
      </c>
      <c r="N816">
        <v>0</v>
      </c>
      <c r="O816" s="6">
        <v>0</v>
      </c>
      <c r="P816">
        <v>0</v>
      </c>
      <c r="Q816" s="8">
        <v>359.51</v>
      </c>
      <c r="R816" s="8">
        <v>359.51</v>
      </c>
      <c r="S816" s="9" t="s">
        <v>526</v>
      </c>
    </row>
    <row r="817" spans="1:19" hidden="1" x14ac:dyDescent="0.25">
      <c r="A817" t="s">
        <v>123</v>
      </c>
      <c r="B817" t="s">
        <v>76</v>
      </c>
      <c r="C817" t="s">
        <v>128</v>
      </c>
      <c r="D817" t="s">
        <v>530</v>
      </c>
      <c r="E817" t="s">
        <v>90</v>
      </c>
      <c r="F817" t="s">
        <v>96</v>
      </c>
      <c r="G817">
        <v>6</v>
      </c>
      <c r="H817">
        <v>3</v>
      </c>
      <c r="I817">
        <v>3</v>
      </c>
      <c r="J817">
        <v>3</v>
      </c>
      <c r="K817" s="6">
        <v>100</v>
      </c>
      <c r="L817" s="6">
        <v>0</v>
      </c>
      <c r="M817" s="6">
        <v>100</v>
      </c>
      <c r="N817">
        <v>0</v>
      </c>
      <c r="O817" s="6">
        <v>0</v>
      </c>
      <c r="P817">
        <v>0</v>
      </c>
      <c r="Q817" s="8">
        <v>359.51</v>
      </c>
      <c r="R817" s="8">
        <v>359.51</v>
      </c>
      <c r="S817" s="9" t="s">
        <v>526</v>
      </c>
    </row>
    <row r="818" spans="1:19" hidden="1" x14ac:dyDescent="0.25">
      <c r="A818" t="s">
        <v>123</v>
      </c>
      <c r="B818" t="s">
        <v>76</v>
      </c>
      <c r="C818" t="s">
        <v>128</v>
      </c>
      <c r="D818" t="s">
        <v>530</v>
      </c>
      <c r="E818" t="s">
        <v>90</v>
      </c>
      <c r="F818" t="s">
        <v>6</v>
      </c>
      <c r="G818">
        <v>13</v>
      </c>
      <c r="H818">
        <v>3</v>
      </c>
      <c r="I818">
        <v>3</v>
      </c>
      <c r="J818">
        <v>3</v>
      </c>
      <c r="K818" s="6">
        <v>100</v>
      </c>
      <c r="L818" s="6">
        <v>0</v>
      </c>
      <c r="M818" s="6">
        <v>100</v>
      </c>
      <c r="N818">
        <v>0</v>
      </c>
      <c r="O818" s="6">
        <v>0</v>
      </c>
      <c r="P818">
        <v>0</v>
      </c>
      <c r="Q818" s="8">
        <v>359.51</v>
      </c>
      <c r="R818" s="8">
        <v>359.51</v>
      </c>
      <c r="S818" s="9" t="s">
        <v>526</v>
      </c>
    </row>
    <row r="819" spans="1:19" hidden="1" x14ac:dyDescent="0.25">
      <c r="A819" t="s">
        <v>123</v>
      </c>
      <c r="B819" t="s">
        <v>76</v>
      </c>
      <c r="C819" t="s">
        <v>128</v>
      </c>
      <c r="D819" t="s">
        <v>531</v>
      </c>
      <c r="E819" t="s">
        <v>90</v>
      </c>
      <c r="F819" t="s">
        <v>90</v>
      </c>
      <c r="G819">
        <v>0</v>
      </c>
      <c r="H819">
        <v>2</v>
      </c>
      <c r="I819">
        <v>2</v>
      </c>
      <c r="J819">
        <v>2</v>
      </c>
      <c r="K819" s="6">
        <v>100</v>
      </c>
      <c r="L819" s="6">
        <v>0</v>
      </c>
      <c r="M819" s="6">
        <v>100</v>
      </c>
      <c r="N819">
        <v>0</v>
      </c>
      <c r="O819" s="6">
        <v>0</v>
      </c>
      <c r="P819">
        <v>0</v>
      </c>
      <c r="Q819" s="8">
        <v>338.24</v>
      </c>
      <c r="R819" s="8">
        <v>338.24</v>
      </c>
      <c r="S819" s="9" t="s">
        <v>536</v>
      </c>
    </row>
    <row r="820" spans="1:19" hidden="1" x14ac:dyDescent="0.25">
      <c r="A820" t="s">
        <v>123</v>
      </c>
      <c r="B820" t="s">
        <v>76</v>
      </c>
      <c r="C820" t="s">
        <v>128</v>
      </c>
      <c r="D820" t="s">
        <v>531</v>
      </c>
      <c r="E820" t="s">
        <v>90</v>
      </c>
      <c r="F820" t="s">
        <v>91</v>
      </c>
      <c r="G820">
        <v>1</v>
      </c>
      <c r="H820">
        <v>2</v>
      </c>
      <c r="I820">
        <v>2</v>
      </c>
      <c r="J820">
        <v>2</v>
      </c>
      <c r="K820" s="6">
        <v>100</v>
      </c>
      <c r="L820" s="6">
        <v>0</v>
      </c>
      <c r="M820" s="6">
        <v>100</v>
      </c>
      <c r="N820">
        <v>0</v>
      </c>
      <c r="O820" s="6">
        <v>0</v>
      </c>
      <c r="P820">
        <v>0</v>
      </c>
      <c r="Q820" s="8">
        <v>338.24</v>
      </c>
      <c r="R820" s="8">
        <v>338.24</v>
      </c>
      <c r="S820" s="9" t="s">
        <v>537</v>
      </c>
    </row>
    <row r="821" spans="1:19" hidden="1" x14ac:dyDescent="0.25">
      <c r="A821" t="s">
        <v>123</v>
      </c>
      <c r="B821" t="s">
        <v>76</v>
      </c>
      <c r="C821" t="s">
        <v>128</v>
      </c>
      <c r="D821" t="s">
        <v>531</v>
      </c>
      <c r="E821" t="s">
        <v>90</v>
      </c>
      <c r="F821" t="s">
        <v>94</v>
      </c>
      <c r="G821">
        <v>2</v>
      </c>
      <c r="H821">
        <v>2</v>
      </c>
      <c r="I821">
        <v>2</v>
      </c>
      <c r="J821">
        <v>2</v>
      </c>
      <c r="K821" s="6">
        <v>100</v>
      </c>
      <c r="L821" s="6">
        <v>0</v>
      </c>
      <c r="M821" s="6">
        <v>100</v>
      </c>
      <c r="N821">
        <v>0</v>
      </c>
      <c r="O821" s="6">
        <v>0</v>
      </c>
      <c r="P821">
        <v>0</v>
      </c>
      <c r="Q821" s="8">
        <v>338.24</v>
      </c>
      <c r="R821" s="8">
        <v>338.24</v>
      </c>
      <c r="S821" s="9" t="s">
        <v>537</v>
      </c>
    </row>
    <row r="822" spans="1:19" hidden="1" x14ac:dyDescent="0.25">
      <c r="A822" t="s">
        <v>123</v>
      </c>
      <c r="B822" t="s">
        <v>76</v>
      </c>
      <c r="C822" t="s">
        <v>128</v>
      </c>
      <c r="D822" t="s">
        <v>531</v>
      </c>
      <c r="E822" t="s">
        <v>90</v>
      </c>
      <c r="F822" t="s">
        <v>96</v>
      </c>
      <c r="G822">
        <v>6</v>
      </c>
      <c r="H822">
        <v>2</v>
      </c>
      <c r="I822">
        <v>2</v>
      </c>
      <c r="J822">
        <v>2</v>
      </c>
      <c r="K822" s="6">
        <v>100</v>
      </c>
      <c r="L822" s="6">
        <v>0</v>
      </c>
      <c r="M822" s="6">
        <v>100</v>
      </c>
      <c r="N822">
        <v>0</v>
      </c>
      <c r="O822" s="6">
        <v>0</v>
      </c>
      <c r="P822">
        <v>0</v>
      </c>
      <c r="Q822" s="8">
        <v>338.24</v>
      </c>
      <c r="R822" s="8">
        <v>338.24</v>
      </c>
      <c r="S822" s="9" t="s">
        <v>537</v>
      </c>
    </row>
    <row r="823" spans="1:19" hidden="1" x14ac:dyDescent="0.25">
      <c r="A823" t="s">
        <v>123</v>
      </c>
      <c r="B823" t="s">
        <v>76</v>
      </c>
      <c r="C823" t="s">
        <v>128</v>
      </c>
      <c r="D823" t="s">
        <v>531</v>
      </c>
      <c r="E823" t="s">
        <v>90</v>
      </c>
      <c r="F823" t="s">
        <v>6</v>
      </c>
      <c r="G823">
        <v>13</v>
      </c>
      <c r="H823">
        <v>2</v>
      </c>
      <c r="I823">
        <v>1</v>
      </c>
      <c r="J823">
        <v>1</v>
      </c>
      <c r="K823" s="6">
        <v>100</v>
      </c>
      <c r="L823" s="6">
        <v>0</v>
      </c>
      <c r="M823" s="6">
        <v>92.5</v>
      </c>
      <c r="N823">
        <v>-7.5</v>
      </c>
      <c r="O823" s="6">
        <v>50</v>
      </c>
      <c r="P823">
        <v>0</v>
      </c>
      <c r="Q823" s="8">
        <v>312.88</v>
      </c>
      <c r="R823" s="8">
        <v>312.88</v>
      </c>
      <c r="S823" s="9" t="s">
        <v>541</v>
      </c>
    </row>
    <row r="824" spans="1:19" hidden="1" x14ac:dyDescent="0.25">
      <c r="A824" t="s">
        <v>123</v>
      </c>
      <c r="B824" t="s">
        <v>76</v>
      </c>
      <c r="C824" t="s">
        <v>128</v>
      </c>
      <c r="D824" t="s">
        <v>532</v>
      </c>
      <c r="E824" t="s">
        <v>90</v>
      </c>
      <c r="F824" t="s">
        <v>90</v>
      </c>
      <c r="G824">
        <v>0</v>
      </c>
      <c r="H824">
        <v>3</v>
      </c>
      <c r="I824">
        <v>3</v>
      </c>
      <c r="J824">
        <v>3</v>
      </c>
      <c r="K824" s="6">
        <v>100</v>
      </c>
      <c r="L824" s="6">
        <v>0</v>
      </c>
      <c r="M824" s="6">
        <v>100</v>
      </c>
      <c r="N824">
        <v>0</v>
      </c>
      <c r="O824" s="6">
        <v>0</v>
      </c>
      <c r="P824">
        <v>0</v>
      </c>
      <c r="Q824" s="8">
        <v>308.74</v>
      </c>
      <c r="R824" s="8">
        <v>308.74</v>
      </c>
      <c r="S824" s="9" t="s">
        <v>525</v>
      </c>
    </row>
    <row r="825" spans="1:19" hidden="1" x14ac:dyDescent="0.25">
      <c r="A825" t="s">
        <v>123</v>
      </c>
      <c r="B825" t="s">
        <v>76</v>
      </c>
      <c r="C825" t="s">
        <v>128</v>
      </c>
      <c r="D825" t="s">
        <v>532</v>
      </c>
      <c r="E825" t="s">
        <v>90</v>
      </c>
      <c r="F825" t="s">
        <v>91</v>
      </c>
      <c r="G825">
        <v>1</v>
      </c>
      <c r="H825">
        <v>3</v>
      </c>
      <c r="I825">
        <v>3</v>
      </c>
      <c r="J825">
        <v>3</v>
      </c>
      <c r="K825" s="6">
        <v>100</v>
      </c>
      <c r="L825" s="6">
        <v>0</v>
      </c>
      <c r="M825" s="6">
        <v>100</v>
      </c>
      <c r="N825">
        <v>0</v>
      </c>
      <c r="O825" s="6">
        <v>0</v>
      </c>
      <c r="P825">
        <v>0</v>
      </c>
      <c r="Q825" s="8">
        <v>308.74</v>
      </c>
      <c r="R825" s="8">
        <v>308.74</v>
      </c>
      <c r="S825" s="9" t="s">
        <v>526</v>
      </c>
    </row>
    <row r="826" spans="1:19" hidden="1" x14ac:dyDescent="0.25">
      <c r="A826" t="s">
        <v>123</v>
      </c>
      <c r="B826" t="s">
        <v>76</v>
      </c>
      <c r="C826" t="s">
        <v>128</v>
      </c>
      <c r="D826" t="s">
        <v>532</v>
      </c>
      <c r="E826" t="s">
        <v>90</v>
      </c>
      <c r="F826" t="s">
        <v>94</v>
      </c>
      <c r="G826">
        <v>2</v>
      </c>
      <c r="H826">
        <v>3</v>
      </c>
      <c r="I826">
        <v>3</v>
      </c>
      <c r="J826">
        <v>3</v>
      </c>
      <c r="K826" s="6">
        <v>100</v>
      </c>
      <c r="L826" s="6">
        <v>0</v>
      </c>
      <c r="M826" s="6">
        <v>100</v>
      </c>
      <c r="N826">
        <v>0</v>
      </c>
      <c r="O826" s="6">
        <v>0</v>
      </c>
      <c r="P826">
        <v>0</v>
      </c>
      <c r="Q826" s="8">
        <v>308.74</v>
      </c>
      <c r="R826" s="8">
        <v>308.74</v>
      </c>
      <c r="S826" s="9" t="s">
        <v>526</v>
      </c>
    </row>
    <row r="827" spans="1:19" hidden="1" x14ac:dyDescent="0.25">
      <c r="A827" t="s">
        <v>123</v>
      </c>
      <c r="B827" t="s">
        <v>76</v>
      </c>
      <c r="C827" t="s">
        <v>128</v>
      </c>
      <c r="D827" t="s">
        <v>532</v>
      </c>
      <c r="E827" t="s">
        <v>90</v>
      </c>
      <c r="F827" t="s">
        <v>96</v>
      </c>
      <c r="G827">
        <v>6</v>
      </c>
      <c r="H827">
        <v>3</v>
      </c>
      <c r="I827">
        <v>3</v>
      </c>
      <c r="J827">
        <v>3</v>
      </c>
      <c r="K827" s="6">
        <v>100</v>
      </c>
      <c r="L827" s="6">
        <v>0</v>
      </c>
      <c r="M827" s="6">
        <v>100</v>
      </c>
      <c r="N827">
        <v>0</v>
      </c>
      <c r="O827" s="6">
        <v>0</v>
      </c>
      <c r="P827">
        <v>0</v>
      </c>
      <c r="Q827" s="8">
        <v>308.74</v>
      </c>
      <c r="R827" s="8">
        <v>308.74</v>
      </c>
      <c r="S827" s="9" t="s">
        <v>526</v>
      </c>
    </row>
    <row r="828" spans="1:19" hidden="1" x14ac:dyDescent="0.25">
      <c r="A828" t="s">
        <v>123</v>
      </c>
      <c r="B828" t="s">
        <v>76</v>
      </c>
      <c r="C828" t="s">
        <v>128</v>
      </c>
      <c r="D828" t="s">
        <v>532</v>
      </c>
      <c r="E828" t="s">
        <v>90</v>
      </c>
      <c r="F828" t="s">
        <v>6</v>
      </c>
      <c r="G828">
        <v>13</v>
      </c>
      <c r="H828">
        <v>3</v>
      </c>
      <c r="I828">
        <v>3</v>
      </c>
      <c r="J828">
        <v>3</v>
      </c>
      <c r="K828" s="6">
        <v>100</v>
      </c>
      <c r="L828" s="6">
        <v>0</v>
      </c>
      <c r="M828" s="6">
        <v>100</v>
      </c>
      <c r="N828">
        <v>0</v>
      </c>
      <c r="O828" s="6">
        <v>0</v>
      </c>
      <c r="P828">
        <v>0</v>
      </c>
      <c r="Q828" s="8">
        <v>308.74</v>
      </c>
      <c r="R828" s="8">
        <v>308.74</v>
      </c>
      <c r="S828" s="9" t="s">
        <v>526</v>
      </c>
    </row>
    <row r="829" spans="1:19" hidden="1" x14ac:dyDescent="0.25">
      <c r="A829" t="s">
        <v>123</v>
      </c>
      <c r="B829" t="s">
        <v>76</v>
      </c>
      <c r="C829" t="s">
        <v>128</v>
      </c>
      <c r="D829" t="s">
        <v>533</v>
      </c>
      <c r="E829" t="s">
        <v>94</v>
      </c>
      <c r="F829" t="s">
        <v>94</v>
      </c>
      <c r="G829">
        <v>0</v>
      </c>
      <c r="H829">
        <v>5</v>
      </c>
      <c r="I829">
        <v>5</v>
      </c>
      <c r="J829">
        <v>5</v>
      </c>
      <c r="K829" s="6">
        <v>100</v>
      </c>
      <c r="L829" s="6">
        <v>0</v>
      </c>
      <c r="M829" s="6">
        <v>100</v>
      </c>
      <c r="N829">
        <v>0</v>
      </c>
      <c r="O829" s="6">
        <v>0</v>
      </c>
      <c r="P829">
        <v>0</v>
      </c>
      <c r="Q829" s="8">
        <v>333.95</v>
      </c>
      <c r="R829" s="8">
        <v>333.95</v>
      </c>
      <c r="S829" s="9" t="s">
        <v>538</v>
      </c>
    </row>
    <row r="830" spans="1:19" hidden="1" x14ac:dyDescent="0.25">
      <c r="A830" t="s">
        <v>123</v>
      </c>
      <c r="B830" t="s">
        <v>76</v>
      </c>
      <c r="C830" t="s">
        <v>128</v>
      </c>
      <c r="D830" t="s">
        <v>533</v>
      </c>
      <c r="E830" t="s">
        <v>94</v>
      </c>
      <c r="F830" t="s">
        <v>96</v>
      </c>
      <c r="G830">
        <v>4</v>
      </c>
      <c r="H830">
        <v>5</v>
      </c>
      <c r="I830">
        <v>5</v>
      </c>
      <c r="J830">
        <v>5</v>
      </c>
      <c r="K830" s="6">
        <v>100</v>
      </c>
      <c r="L830" s="6">
        <v>0</v>
      </c>
      <c r="M830" s="6">
        <v>100</v>
      </c>
      <c r="N830">
        <v>0</v>
      </c>
      <c r="O830" s="6">
        <v>0</v>
      </c>
      <c r="P830">
        <v>0</v>
      </c>
      <c r="Q830" s="8">
        <v>333.95</v>
      </c>
      <c r="R830" s="8">
        <v>333.95</v>
      </c>
      <c r="S830" s="9" t="s">
        <v>133</v>
      </c>
    </row>
    <row r="831" spans="1:19" hidden="1" x14ac:dyDescent="0.25">
      <c r="A831" t="s">
        <v>123</v>
      </c>
      <c r="B831" t="s">
        <v>76</v>
      </c>
      <c r="C831" t="s">
        <v>128</v>
      </c>
      <c r="D831" t="s">
        <v>533</v>
      </c>
      <c r="E831" t="s">
        <v>94</v>
      </c>
      <c r="F831" t="s">
        <v>6</v>
      </c>
      <c r="G831">
        <v>11</v>
      </c>
      <c r="H831">
        <v>5</v>
      </c>
      <c r="I831">
        <v>5</v>
      </c>
      <c r="J831">
        <v>5</v>
      </c>
      <c r="K831" s="6">
        <v>99.93</v>
      </c>
      <c r="L831" s="6">
        <v>0</v>
      </c>
      <c r="M831" s="6">
        <v>99.93</v>
      </c>
      <c r="N831">
        <v>0</v>
      </c>
      <c r="O831" s="6">
        <v>0</v>
      </c>
      <c r="P831">
        <v>0</v>
      </c>
      <c r="Q831" s="8">
        <v>333.95</v>
      </c>
      <c r="R831" s="8">
        <v>333.7</v>
      </c>
      <c r="S831" s="9" t="s">
        <v>133</v>
      </c>
    </row>
    <row r="832" spans="1:19" hidden="1" x14ac:dyDescent="0.25">
      <c r="A832" t="s">
        <v>123</v>
      </c>
      <c r="B832" t="s">
        <v>76</v>
      </c>
      <c r="C832" t="s">
        <v>128</v>
      </c>
      <c r="D832" t="s">
        <v>545</v>
      </c>
      <c r="E832" t="s">
        <v>94</v>
      </c>
      <c r="F832" t="s">
        <v>94</v>
      </c>
      <c r="G832">
        <v>0</v>
      </c>
      <c r="H832">
        <v>4</v>
      </c>
      <c r="I832">
        <v>4</v>
      </c>
      <c r="J832">
        <v>4</v>
      </c>
      <c r="K832" s="6">
        <v>100</v>
      </c>
      <c r="L832" s="6">
        <v>0</v>
      </c>
      <c r="M832" s="6">
        <v>100</v>
      </c>
      <c r="N832">
        <v>0</v>
      </c>
      <c r="O832" s="6">
        <v>0</v>
      </c>
      <c r="P832">
        <v>0</v>
      </c>
      <c r="Q832" s="8">
        <v>368.74</v>
      </c>
      <c r="R832" s="8">
        <v>368.74</v>
      </c>
      <c r="S832" s="9" t="s">
        <v>605</v>
      </c>
    </row>
    <row r="833" spans="1:19" hidden="1" x14ac:dyDescent="0.25">
      <c r="A833" t="s">
        <v>123</v>
      </c>
      <c r="B833" t="s">
        <v>76</v>
      </c>
      <c r="C833" t="s">
        <v>128</v>
      </c>
      <c r="D833" t="s">
        <v>545</v>
      </c>
      <c r="E833" t="s">
        <v>94</v>
      </c>
      <c r="F833" t="s">
        <v>96</v>
      </c>
      <c r="G833">
        <v>4</v>
      </c>
      <c r="H833">
        <v>4</v>
      </c>
      <c r="I833">
        <v>4</v>
      </c>
      <c r="J833">
        <v>4</v>
      </c>
      <c r="K833" s="6">
        <v>100</v>
      </c>
      <c r="L833" s="6">
        <v>0</v>
      </c>
      <c r="M833" s="6">
        <v>100</v>
      </c>
      <c r="N833">
        <v>0</v>
      </c>
      <c r="O833" s="6">
        <v>0</v>
      </c>
      <c r="P833">
        <v>0</v>
      </c>
      <c r="Q833" s="8">
        <v>368.74</v>
      </c>
      <c r="R833" s="8">
        <v>368.74</v>
      </c>
      <c r="S833" s="9" t="s">
        <v>548</v>
      </c>
    </row>
    <row r="834" spans="1:19" hidden="1" x14ac:dyDescent="0.25">
      <c r="A834" t="s">
        <v>123</v>
      </c>
      <c r="B834" t="s">
        <v>76</v>
      </c>
      <c r="C834" t="s">
        <v>128</v>
      </c>
      <c r="D834" t="s">
        <v>545</v>
      </c>
      <c r="E834" t="s">
        <v>94</v>
      </c>
      <c r="F834" t="s">
        <v>6</v>
      </c>
      <c r="G834">
        <v>11</v>
      </c>
      <c r="H834">
        <v>4</v>
      </c>
      <c r="I834">
        <v>4</v>
      </c>
      <c r="J834">
        <v>4</v>
      </c>
      <c r="K834" s="6">
        <v>100.61</v>
      </c>
      <c r="L834" s="6">
        <v>0</v>
      </c>
      <c r="M834" s="6">
        <v>100.61</v>
      </c>
      <c r="N834">
        <v>0</v>
      </c>
      <c r="O834" s="6">
        <v>0</v>
      </c>
      <c r="P834">
        <v>0</v>
      </c>
      <c r="Q834" s="8">
        <v>368.74</v>
      </c>
      <c r="R834" s="8">
        <v>370.99</v>
      </c>
      <c r="S834" s="9" t="s">
        <v>548</v>
      </c>
    </row>
    <row r="835" spans="1:19" hidden="1" x14ac:dyDescent="0.25">
      <c r="A835" t="s">
        <v>123</v>
      </c>
      <c r="B835" t="s">
        <v>80</v>
      </c>
      <c r="C835" t="s">
        <v>124</v>
      </c>
      <c r="D835" t="s">
        <v>539</v>
      </c>
      <c r="E835" t="s">
        <v>91</v>
      </c>
      <c r="F835" t="s">
        <v>91</v>
      </c>
      <c r="G835">
        <v>0</v>
      </c>
      <c r="H835">
        <v>1</v>
      </c>
      <c r="I835">
        <v>1</v>
      </c>
      <c r="J835">
        <v>1</v>
      </c>
      <c r="K835" s="6">
        <v>100</v>
      </c>
      <c r="L835" s="6">
        <v>0</v>
      </c>
      <c r="M835" s="6">
        <v>100</v>
      </c>
      <c r="N835">
        <v>0</v>
      </c>
      <c r="O835" s="6">
        <v>0</v>
      </c>
      <c r="P835">
        <v>0</v>
      </c>
      <c r="Q835" s="8">
        <v>97</v>
      </c>
      <c r="R835" s="8">
        <v>97</v>
      </c>
      <c r="S835" s="9" t="s">
        <v>540</v>
      </c>
    </row>
    <row r="836" spans="1:19" hidden="1" x14ac:dyDescent="0.25">
      <c r="A836" t="s">
        <v>123</v>
      </c>
      <c r="B836" t="s">
        <v>80</v>
      </c>
      <c r="C836" t="s">
        <v>124</v>
      </c>
      <c r="D836" t="s">
        <v>552</v>
      </c>
      <c r="E836" t="s">
        <v>6</v>
      </c>
      <c r="F836" t="s">
        <v>6</v>
      </c>
      <c r="G836">
        <v>0</v>
      </c>
      <c r="H836">
        <v>1</v>
      </c>
      <c r="I836">
        <v>1</v>
      </c>
      <c r="J836">
        <v>1</v>
      </c>
      <c r="K836" s="6">
        <v>100</v>
      </c>
      <c r="L836" s="6">
        <v>0</v>
      </c>
      <c r="M836" s="6">
        <v>100</v>
      </c>
      <c r="N836">
        <v>0</v>
      </c>
      <c r="O836" s="6">
        <v>0</v>
      </c>
      <c r="P836">
        <v>0</v>
      </c>
      <c r="Q836" s="8">
        <v>156.19999999999999</v>
      </c>
      <c r="R836" s="8">
        <v>156.19999999999999</v>
      </c>
      <c r="S836" s="9" t="s">
        <v>540</v>
      </c>
    </row>
    <row r="837" spans="1:19" hidden="1" x14ac:dyDescent="0.25">
      <c r="A837" t="s">
        <v>123</v>
      </c>
      <c r="B837" t="s">
        <v>80</v>
      </c>
      <c r="C837" t="s">
        <v>124</v>
      </c>
      <c r="D837" t="s">
        <v>527</v>
      </c>
      <c r="E837" t="s">
        <v>91</v>
      </c>
      <c r="F837" t="s">
        <v>91</v>
      </c>
      <c r="G837">
        <v>0</v>
      </c>
      <c r="H837">
        <v>2</v>
      </c>
      <c r="I837">
        <v>2</v>
      </c>
      <c r="J837">
        <v>2</v>
      </c>
      <c r="K837" s="6">
        <v>100</v>
      </c>
      <c r="L837" s="6">
        <v>0</v>
      </c>
      <c r="M837" s="6">
        <v>100</v>
      </c>
      <c r="N837">
        <v>0</v>
      </c>
      <c r="O837" s="6">
        <v>0</v>
      </c>
      <c r="P837">
        <v>0</v>
      </c>
      <c r="Q837" s="8">
        <v>128.93</v>
      </c>
      <c r="R837" s="8">
        <v>128.93</v>
      </c>
      <c r="S837" s="9" t="s">
        <v>536</v>
      </c>
    </row>
    <row r="838" spans="1:19" hidden="1" x14ac:dyDescent="0.25">
      <c r="A838" t="s">
        <v>123</v>
      </c>
      <c r="B838" t="s">
        <v>80</v>
      </c>
      <c r="C838" t="s">
        <v>124</v>
      </c>
      <c r="D838" t="s">
        <v>527</v>
      </c>
      <c r="E838" t="s">
        <v>91</v>
      </c>
      <c r="F838" t="s">
        <v>94</v>
      </c>
      <c r="G838">
        <v>1</v>
      </c>
      <c r="H838">
        <v>2</v>
      </c>
      <c r="I838">
        <v>2</v>
      </c>
      <c r="J838">
        <v>2</v>
      </c>
      <c r="K838" s="6">
        <v>100</v>
      </c>
      <c r="L838" s="6">
        <v>0</v>
      </c>
      <c r="M838" s="6">
        <v>100</v>
      </c>
      <c r="N838">
        <v>0</v>
      </c>
      <c r="O838" s="6">
        <v>0</v>
      </c>
      <c r="P838">
        <v>0</v>
      </c>
      <c r="Q838" s="8">
        <v>128.93</v>
      </c>
      <c r="R838" s="8">
        <v>128.93</v>
      </c>
      <c r="S838" s="9" t="s">
        <v>537</v>
      </c>
    </row>
    <row r="839" spans="1:19" hidden="1" x14ac:dyDescent="0.25">
      <c r="A839" t="s">
        <v>123</v>
      </c>
      <c r="B839" t="s">
        <v>80</v>
      </c>
      <c r="C839" t="s">
        <v>124</v>
      </c>
      <c r="D839" t="s">
        <v>527</v>
      </c>
      <c r="E839" t="s">
        <v>91</v>
      </c>
      <c r="F839" t="s">
        <v>96</v>
      </c>
      <c r="G839">
        <v>5</v>
      </c>
      <c r="H839">
        <v>2</v>
      </c>
      <c r="I839">
        <v>2</v>
      </c>
      <c r="J839">
        <v>2</v>
      </c>
      <c r="K839" s="6">
        <v>107.76</v>
      </c>
      <c r="L839" s="6">
        <v>6.71</v>
      </c>
      <c r="M839" s="6">
        <v>107.76</v>
      </c>
      <c r="N839">
        <v>0</v>
      </c>
      <c r="O839" s="6">
        <v>0</v>
      </c>
      <c r="P839">
        <v>0</v>
      </c>
      <c r="Q839" s="8">
        <v>128.93</v>
      </c>
      <c r="R839" s="8">
        <v>138.93</v>
      </c>
      <c r="S839" s="9" t="s">
        <v>537</v>
      </c>
    </row>
    <row r="840" spans="1:19" hidden="1" x14ac:dyDescent="0.25">
      <c r="A840" t="s">
        <v>123</v>
      </c>
      <c r="B840" t="s">
        <v>80</v>
      </c>
      <c r="C840" t="s">
        <v>124</v>
      </c>
      <c r="D840" t="s">
        <v>527</v>
      </c>
      <c r="E840" t="s">
        <v>91</v>
      </c>
      <c r="F840" t="s">
        <v>6</v>
      </c>
      <c r="G840">
        <v>12</v>
      </c>
      <c r="H840">
        <v>2</v>
      </c>
      <c r="I840">
        <v>2</v>
      </c>
      <c r="J840">
        <v>2</v>
      </c>
      <c r="K840" s="6">
        <v>100.18</v>
      </c>
      <c r="L840" s="6">
        <v>-0.19</v>
      </c>
      <c r="M840" s="6">
        <v>100.18</v>
      </c>
      <c r="N840">
        <v>0</v>
      </c>
      <c r="O840" s="6">
        <v>0</v>
      </c>
      <c r="P840">
        <v>0</v>
      </c>
      <c r="Q840" s="8">
        <v>128.93</v>
      </c>
      <c r="R840" s="8">
        <v>129.16999999999999</v>
      </c>
      <c r="S840" s="9" t="s">
        <v>537</v>
      </c>
    </row>
    <row r="841" spans="1:19" hidden="1" x14ac:dyDescent="0.25">
      <c r="A841" t="s">
        <v>123</v>
      </c>
      <c r="B841" t="s">
        <v>80</v>
      </c>
      <c r="C841" t="s">
        <v>124</v>
      </c>
      <c r="D841" t="s">
        <v>545</v>
      </c>
      <c r="E841" t="s">
        <v>94</v>
      </c>
      <c r="F841" t="s">
        <v>94</v>
      </c>
      <c r="G841">
        <v>0</v>
      </c>
      <c r="H841">
        <v>1</v>
      </c>
      <c r="I841">
        <v>1</v>
      </c>
      <c r="J841">
        <v>1</v>
      </c>
      <c r="K841" s="6">
        <v>100</v>
      </c>
      <c r="L841" s="6">
        <v>0</v>
      </c>
      <c r="M841" s="6">
        <v>100</v>
      </c>
      <c r="N841">
        <v>0</v>
      </c>
      <c r="O841" s="6">
        <v>0</v>
      </c>
      <c r="P841">
        <v>0</v>
      </c>
      <c r="Q841" s="8">
        <v>103.62</v>
      </c>
      <c r="R841" s="8">
        <v>103.62</v>
      </c>
      <c r="S841" s="9" t="s">
        <v>540</v>
      </c>
    </row>
    <row r="842" spans="1:19" hidden="1" x14ac:dyDescent="0.25">
      <c r="A842" t="s">
        <v>123</v>
      </c>
      <c r="B842" t="s">
        <v>80</v>
      </c>
      <c r="C842" t="s">
        <v>124</v>
      </c>
      <c r="D842" t="s">
        <v>545</v>
      </c>
      <c r="E842" t="s">
        <v>94</v>
      </c>
      <c r="F842" t="s">
        <v>96</v>
      </c>
      <c r="G842">
        <v>4</v>
      </c>
      <c r="H842">
        <v>1</v>
      </c>
      <c r="I842">
        <v>1</v>
      </c>
      <c r="J842">
        <v>1</v>
      </c>
      <c r="K842" s="6">
        <v>100</v>
      </c>
      <c r="L842" s="6">
        <v>0</v>
      </c>
      <c r="M842" s="6">
        <v>100</v>
      </c>
      <c r="N842">
        <v>0</v>
      </c>
      <c r="O842" s="6">
        <v>0</v>
      </c>
      <c r="P842">
        <v>0</v>
      </c>
      <c r="Q842" s="8">
        <v>103.62</v>
      </c>
      <c r="R842" s="8">
        <v>103.62</v>
      </c>
      <c r="S842" s="9" t="s">
        <v>541</v>
      </c>
    </row>
    <row r="843" spans="1:19" hidden="1" x14ac:dyDescent="0.25">
      <c r="A843" t="s">
        <v>123</v>
      </c>
      <c r="B843" t="s">
        <v>80</v>
      </c>
      <c r="C843" t="s">
        <v>124</v>
      </c>
      <c r="D843" t="s">
        <v>545</v>
      </c>
      <c r="E843" t="s">
        <v>94</v>
      </c>
      <c r="F843" t="s">
        <v>6</v>
      </c>
      <c r="G843">
        <v>11</v>
      </c>
      <c r="H843">
        <v>1</v>
      </c>
      <c r="I843">
        <v>1</v>
      </c>
      <c r="J843">
        <v>1</v>
      </c>
      <c r="K843" s="6">
        <v>100.37</v>
      </c>
      <c r="L843" s="6">
        <v>0.37</v>
      </c>
      <c r="M843" s="6">
        <v>100.37</v>
      </c>
      <c r="N843">
        <v>0</v>
      </c>
      <c r="O843" s="6">
        <v>0</v>
      </c>
      <c r="P843">
        <v>0</v>
      </c>
      <c r="Q843" s="8">
        <v>103.62</v>
      </c>
      <c r="R843" s="8">
        <v>104</v>
      </c>
      <c r="S843" s="9" t="s">
        <v>541</v>
      </c>
    </row>
    <row r="844" spans="1:19" hidden="1" x14ac:dyDescent="0.25">
      <c r="A844" t="s">
        <v>123</v>
      </c>
      <c r="B844" t="s">
        <v>80</v>
      </c>
      <c r="C844" t="s">
        <v>124</v>
      </c>
      <c r="D844" t="s">
        <v>570</v>
      </c>
      <c r="E844" t="s">
        <v>94</v>
      </c>
      <c r="F844" t="s">
        <v>94</v>
      </c>
      <c r="G844">
        <v>0</v>
      </c>
      <c r="H844">
        <v>1</v>
      </c>
      <c r="I844">
        <v>1</v>
      </c>
      <c r="J844">
        <v>1</v>
      </c>
      <c r="K844" s="6">
        <v>100</v>
      </c>
      <c r="L844" s="6">
        <v>0</v>
      </c>
      <c r="M844" s="6">
        <v>100</v>
      </c>
      <c r="N844">
        <v>0</v>
      </c>
      <c r="O844" s="6">
        <v>0</v>
      </c>
      <c r="P844">
        <v>0</v>
      </c>
      <c r="Q844" s="8">
        <v>93.47</v>
      </c>
      <c r="R844" s="8">
        <v>93.47</v>
      </c>
      <c r="S844" s="9" t="s">
        <v>540</v>
      </c>
    </row>
    <row r="845" spans="1:19" hidden="1" x14ac:dyDescent="0.25">
      <c r="A845" t="s">
        <v>123</v>
      </c>
      <c r="B845" t="s">
        <v>80</v>
      </c>
      <c r="C845" t="s">
        <v>124</v>
      </c>
      <c r="D845" t="s">
        <v>570</v>
      </c>
      <c r="E845" t="s">
        <v>94</v>
      </c>
      <c r="F845" t="s">
        <v>96</v>
      </c>
      <c r="G845">
        <v>4</v>
      </c>
      <c r="H845">
        <v>1</v>
      </c>
      <c r="I845">
        <v>1</v>
      </c>
      <c r="J845">
        <v>1</v>
      </c>
      <c r="K845" s="6">
        <v>100</v>
      </c>
      <c r="L845" s="6">
        <v>0</v>
      </c>
      <c r="M845" s="6">
        <v>100</v>
      </c>
      <c r="N845">
        <v>0</v>
      </c>
      <c r="O845" s="6">
        <v>0</v>
      </c>
      <c r="P845">
        <v>0</v>
      </c>
      <c r="Q845" s="8">
        <v>93.47</v>
      </c>
      <c r="R845" s="8">
        <v>93.47</v>
      </c>
      <c r="S845" s="9" t="s">
        <v>541</v>
      </c>
    </row>
    <row r="846" spans="1:19" hidden="1" x14ac:dyDescent="0.25">
      <c r="A846" t="s">
        <v>123</v>
      </c>
      <c r="B846" t="s">
        <v>80</v>
      </c>
      <c r="C846" t="s">
        <v>124</v>
      </c>
      <c r="D846" t="s">
        <v>570</v>
      </c>
      <c r="E846" t="s">
        <v>94</v>
      </c>
      <c r="F846" t="s">
        <v>6</v>
      </c>
      <c r="G846">
        <v>11</v>
      </c>
      <c r="H846">
        <v>1</v>
      </c>
      <c r="I846">
        <v>1</v>
      </c>
      <c r="J846">
        <v>1</v>
      </c>
      <c r="K846" s="6">
        <v>100.64</v>
      </c>
      <c r="L846" s="6">
        <v>0.64</v>
      </c>
      <c r="M846" s="6">
        <v>100.64</v>
      </c>
      <c r="N846">
        <v>0</v>
      </c>
      <c r="O846" s="6">
        <v>0</v>
      </c>
      <c r="P846">
        <v>0</v>
      </c>
      <c r="Q846" s="8">
        <v>93.47</v>
      </c>
      <c r="R846" s="8">
        <v>94.07</v>
      </c>
      <c r="S846" s="9" t="s">
        <v>541</v>
      </c>
    </row>
    <row r="847" spans="1:19" hidden="1" x14ac:dyDescent="0.25">
      <c r="A847" t="s">
        <v>123</v>
      </c>
      <c r="B847" t="s">
        <v>80</v>
      </c>
      <c r="C847" t="s">
        <v>126</v>
      </c>
      <c r="D847" t="s">
        <v>539</v>
      </c>
      <c r="E847" t="s">
        <v>91</v>
      </c>
      <c r="F847" t="s">
        <v>91</v>
      </c>
      <c r="G847">
        <v>0</v>
      </c>
      <c r="H847">
        <v>1</v>
      </c>
      <c r="I847">
        <v>1</v>
      </c>
      <c r="J847">
        <v>1</v>
      </c>
      <c r="K847" s="6">
        <v>100</v>
      </c>
      <c r="L847" s="6">
        <v>0</v>
      </c>
      <c r="M847" s="6">
        <v>100</v>
      </c>
      <c r="N847">
        <v>0</v>
      </c>
      <c r="O847" s="6">
        <v>0</v>
      </c>
      <c r="P847">
        <v>0</v>
      </c>
      <c r="Q847" s="8">
        <v>50.85</v>
      </c>
      <c r="R847" s="8">
        <v>50.85</v>
      </c>
      <c r="S847" s="9" t="s">
        <v>540</v>
      </c>
    </row>
    <row r="848" spans="1:19" hidden="1" x14ac:dyDescent="0.25">
      <c r="A848" t="s">
        <v>123</v>
      </c>
      <c r="B848" t="s">
        <v>80</v>
      </c>
      <c r="C848" t="s">
        <v>126</v>
      </c>
      <c r="D848" t="s">
        <v>539</v>
      </c>
      <c r="E848" t="s">
        <v>91</v>
      </c>
      <c r="F848" t="s">
        <v>94</v>
      </c>
      <c r="G848">
        <v>1</v>
      </c>
      <c r="H848">
        <v>1</v>
      </c>
      <c r="I848">
        <v>1</v>
      </c>
      <c r="J848">
        <v>1</v>
      </c>
      <c r="K848" s="6">
        <v>100</v>
      </c>
      <c r="L848" s="6">
        <v>0</v>
      </c>
      <c r="M848" s="6">
        <v>100</v>
      </c>
      <c r="N848">
        <v>0</v>
      </c>
      <c r="O848" s="6">
        <v>0</v>
      </c>
      <c r="P848">
        <v>0</v>
      </c>
      <c r="Q848" s="8">
        <v>50.85</v>
      </c>
      <c r="R848" s="8">
        <v>50.85</v>
      </c>
      <c r="S848" s="9" t="s">
        <v>541</v>
      </c>
    </row>
    <row r="849" spans="1:19" hidden="1" x14ac:dyDescent="0.25">
      <c r="A849" t="s">
        <v>123</v>
      </c>
      <c r="B849" t="s">
        <v>80</v>
      </c>
      <c r="C849" t="s">
        <v>126</v>
      </c>
      <c r="D849" t="s">
        <v>552</v>
      </c>
      <c r="E849" t="s">
        <v>91</v>
      </c>
      <c r="F849" t="s">
        <v>91</v>
      </c>
      <c r="G849">
        <v>0</v>
      </c>
      <c r="H849">
        <v>1</v>
      </c>
      <c r="I849">
        <v>1</v>
      </c>
      <c r="J849">
        <v>1</v>
      </c>
      <c r="K849" s="6">
        <v>100</v>
      </c>
      <c r="L849" s="6">
        <v>0</v>
      </c>
      <c r="M849" s="6">
        <v>100</v>
      </c>
      <c r="N849">
        <v>0</v>
      </c>
      <c r="O849" s="6">
        <v>0</v>
      </c>
      <c r="P849">
        <v>0</v>
      </c>
      <c r="Q849" s="8">
        <v>69.53</v>
      </c>
      <c r="R849" s="8">
        <v>69.53</v>
      </c>
      <c r="S849" s="9" t="s">
        <v>540</v>
      </c>
    </row>
    <row r="850" spans="1:19" hidden="1" x14ac:dyDescent="0.25">
      <c r="A850" t="s">
        <v>123</v>
      </c>
      <c r="B850" t="s">
        <v>80</v>
      </c>
      <c r="C850" t="s">
        <v>126</v>
      </c>
      <c r="D850" t="s">
        <v>552</v>
      </c>
      <c r="E850" t="s">
        <v>91</v>
      </c>
      <c r="F850" t="s">
        <v>94</v>
      </c>
      <c r="G850">
        <v>1</v>
      </c>
      <c r="H850">
        <v>1</v>
      </c>
      <c r="I850">
        <v>1</v>
      </c>
      <c r="J850">
        <v>1</v>
      </c>
      <c r="K850" s="6">
        <v>100</v>
      </c>
      <c r="L850" s="6">
        <v>0</v>
      </c>
      <c r="M850" s="6">
        <v>100</v>
      </c>
      <c r="N850">
        <v>0</v>
      </c>
      <c r="O850" s="6">
        <v>0</v>
      </c>
      <c r="P850">
        <v>0</v>
      </c>
      <c r="Q850" s="8">
        <v>69.53</v>
      </c>
      <c r="R850" s="8">
        <v>69.53</v>
      </c>
      <c r="S850" s="9" t="s">
        <v>541</v>
      </c>
    </row>
    <row r="851" spans="1:19" hidden="1" x14ac:dyDescent="0.25">
      <c r="A851" t="s">
        <v>123</v>
      </c>
      <c r="B851" t="s">
        <v>80</v>
      </c>
      <c r="C851" t="s">
        <v>126</v>
      </c>
      <c r="D851" t="s">
        <v>552</v>
      </c>
      <c r="E851" t="s">
        <v>91</v>
      </c>
      <c r="F851" t="s">
        <v>96</v>
      </c>
      <c r="G851">
        <v>5</v>
      </c>
      <c r="H851">
        <v>1</v>
      </c>
      <c r="I851">
        <v>1</v>
      </c>
      <c r="J851">
        <v>1</v>
      </c>
      <c r="K851" s="6">
        <v>100</v>
      </c>
      <c r="L851" s="6">
        <v>0</v>
      </c>
      <c r="M851" s="6">
        <v>100</v>
      </c>
      <c r="N851">
        <v>0</v>
      </c>
      <c r="O851" s="6">
        <v>0</v>
      </c>
      <c r="P851">
        <v>0</v>
      </c>
      <c r="Q851" s="8">
        <v>69.53</v>
      </c>
      <c r="R851" s="8">
        <v>69.53</v>
      </c>
      <c r="S851" s="9" t="s">
        <v>541</v>
      </c>
    </row>
    <row r="852" spans="1:19" hidden="1" x14ac:dyDescent="0.25">
      <c r="A852" t="s">
        <v>123</v>
      </c>
      <c r="B852" t="s">
        <v>80</v>
      </c>
      <c r="C852" t="s">
        <v>126</v>
      </c>
      <c r="D852" t="s">
        <v>552</v>
      </c>
      <c r="E852" t="s">
        <v>91</v>
      </c>
      <c r="F852" t="s">
        <v>6</v>
      </c>
      <c r="G852">
        <v>12</v>
      </c>
      <c r="H852">
        <v>1</v>
      </c>
      <c r="I852">
        <v>1</v>
      </c>
      <c r="J852">
        <v>1</v>
      </c>
      <c r="K852" s="6">
        <v>99.04</v>
      </c>
      <c r="L852" s="6">
        <v>-0.96</v>
      </c>
      <c r="M852" s="6">
        <v>99.04</v>
      </c>
      <c r="N852">
        <v>0</v>
      </c>
      <c r="O852" s="6">
        <v>0</v>
      </c>
      <c r="P852">
        <v>0</v>
      </c>
      <c r="Q852" s="8">
        <v>69.53</v>
      </c>
      <c r="R852" s="8">
        <v>68.87</v>
      </c>
      <c r="S852" s="9" t="s">
        <v>541</v>
      </c>
    </row>
    <row r="853" spans="1:19" hidden="1" x14ac:dyDescent="0.25">
      <c r="A853" t="s">
        <v>123</v>
      </c>
      <c r="B853" t="s">
        <v>80</v>
      </c>
      <c r="C853" t="s">
        <v>126</v>
      </c>
      <c r="D853" t="s">
        <v>527</v>
      </c>
      <c r="E853" t="s">
        <v>91</v>
      </c>
      <c r="F853" t="s">
        <v>91</v>
      </c>
      <c r="G853">
        <v>0</v>
      </c>
      <c r="H853">
        <v>2</v>
      </c>
      <c r="I853">
        <v>2</v>
      </c>
      <c r="J853">
        <v>2</v>
      </c>
      <c r="K853" s="6">
        <v>100</v>
      </c>
      <c r="L853" s="6">
        <v>0</v>
      </c>
      <c r="M853" s="6">
        <v>100</v>
      </c>
      <c r="N853">
        <v>0</v>
      </c>
      <c r="O853" s="6">
        <v>0</v>
      </c>
      <c r="P853">
        <v>0</v>
      </c>
      <c r="Q853" s="8">
        <v>67.36</v>
      </c>
      <c r="R853" s="8">
        <v>67.36</v>
      </c>
      <c r="S853" s="9" t="s">
        <v>536</v>
      </c>
    </row>
    <row r="854" spans="1:19" hidden="1" x14ac:dyDescent="0.25">
      <c r="A854" t="s">
        <v>123</v>
      </c>
      <c r="B854" t="s">
        <v>80</v>
      </c>
      <c r="C854" t="s">
        <v>126</v>
      </c>
      <c r="D854" t="s">
        <v>527</v>
      </c>
      <c r="E854" t="s">
        <v>91</v>
      </c>
      <c r="F854" t="s">
        <v>94</v>
      </c>
      <c r="G854">
        <v>1</v>
      </c>
      <c r="H854">
        <v>2</v>
      </c>
      <c r="I854">
        <v>2</v>
      </c>
      <c r="J854">
        <v>2</v>
      </c>
      <c r="K854" s="6">
        <v>98.52</v>
      </c>
      <c r="L854" s="6">
        <v>-1.59</v>
      </c>
      <c r="M854" s="6">
        <v>98.52</v>
      </c>
      <c r="N854">
        <v>0</v>
      </c>
      <c r="O854" s="6">
        <v>0</v>
      </c>
      <c r="P854">
        <v>0</v>
      </c>
      <c r="Q854" s="8">
        <v>67.36</v>
      </c>
      <c r="R854" s="8">
        <v>66.36</v>
      </c>
      <c r="S854" s="9" t="s">
        <v>537</v>
      </c>
    </row>
    <row r="855" spans="1:19" hidden="1" x14ac:dyDescent="0.25">
      <c r="A855" t="s">
        <v>123</v>
      </c>
      <c r="B855" t="s">
        <v>80</v>
      </c>
      <c r="C855" t="s">
        <v>126</v>
      </c>
      <c r="D855" t="s">
        <v>527</v>
      </c>
      <c r="E855" t="s">
        <v>91</v>
      </c>
      <c r="F855" t="s">
        <v>96</v>
      </c>
      <c r="G855">
        <v>5</v>
      </c>
      <c r="H855">
        <v>2</v>
      </c>
      <c r="I855">
        <v>2</v>
      </c>
      <c r="J855">
        <v>2</v>
      </c>
      <c r="K855" s="6">
        <v>98.52</v>
      </c>
      <c r="L855" s="6">
        <v>-1.59</v>
      </c>
      <c r="M855" s="6">
        <v>98.52</v>
      </c>
      <c r="N855">
        <v>0</v>
      </c>
      <c r="O855" s="6">
        <v>0</v>
      </c>
      <c r="P855">
        <v>0</v>
      </c>
      <c r="Q855" s="8">
        <v>67.36</v>
      </c>
      <c r="R855" s="8">
        <v>66.36</v>
      </c>
      <c r="S855" s="9" t="s">
        <v>537</v>
      </c>
    </row>
    <row r="856" spans="1:19" hidden="1" x14ac:dyDescent="0.25">
      <c r="A856" t="s">
        <v>123</v>
      </c>
      <c r="B856" t="s">
        <v>80</v>
      </c>
      <c r="C856" t="s">
        <v>126</v>
      </c>
      <c r="D856" t="s">
        <v>527</v>
      </c>
      <c r="E856" t="s">
        <v>91</v>
      </c>
      <c r="F856" t="s">
        <v>6</v>
      </c>
      <c r="G856">
        <v>12</v>
      </c>
      <c r="H856">
        <v>2</v>
      </c>
      <c r="I856">
        <v>2</v>
      </c>
      <c r="J856">
        <v>2</v>
      </c>
      <c r="K856" s="6">
        <v>99.4</v>
      </c>
      <c r="L856" s="6">
        <v>-0.63</v>
      </c>
      <c r="M856" s="6">
        <v>99.4</v>
      </c>
      <c r="N856">
        <v>0</v>
      </c>
      <c r="O856" s="6">
        <v>0</v>
      </c>
      <c r="P856">
        <v>0</v>
      </c>
      <c r="Q856" s="8">
        <v>67.36</v>
      </c>
      <c r="R856" s="8">
        <v>66.95</v>
      </c>
      <c r="S856" s="9" t="s">
        <v>537</v>
      </c>
    </row>
    <row r="857" spans="1:19" hidden="1" x14ac:dyDescent="0.25">
      <c r="A857" t="s">
        <v>123</v>
      </c>
      <c r="B857" t="s">
        <v>80</v>
      </c>
      <c r="C857" t="s">
        <v>126</v>
      </c>
      <c r="D857" t="s">
        <v>545</v>
      </c>
      <c r="E857" t="s">
        <v>94</v>
      </c>
      <c r="F857" t="s">
        <v>94</v>
      </c>
      <c r="G857">
        <v>0</v>
      </c>
      <c r="H857">
        <v>1</v>
      </c>
      <c r="I857">
        <v>1</v>
      </c>
      <c r="J857">
        <v>1</v>
      </c>
      <c r="K857" s="6">
        <v>100</v>
      </c>
      <c r="L857" s="6">
        <v>0</v>
      </c>
      <c r="M857" s="6">
        <v>100</v>
      </c>
      <c r="N857">
        <v>0</v>
      </c>
      <c r="O857" s="6">
        <v>0</v>
      </c>
      <c r="P857">
        <v>0</v>
      </c>
      <c r="Q857" s="8">
        <v>54</v>
      </c>
      <c r="R857" s="8">
        <v>54</v>
      </c>
      <c r="S857" s="9" t="s">
        <v>540</v>
      </c>
    </row>
    <row r="858" spans="1:19" hidden="1" x14ac:dyDescent="0.25">
      <c r="A858" t="s">
        <v>123</v>
      </c>
      <c r="B858" t="s">
        <v>80</v>
      </c>
      <c r="C858" t="s">
        <v>126</v>
      </c>
      <c r="D858" t="s">
        <v>545</v>
      </c>
      <c r="E858" t="s">
        <v>94</v>
      </c>
      <c r="F858" t="s">
        <v>96</v>
      </c>
      <c r="G858">
        <v>4</v>
      </c>
      <c r="H858">
        <v>1</v>
      </c>
      <c r="I858">
        <v>1</v>
      </c>
      <c r="J858">
        <v>1</v>
      </c>
      <c r="K858" s="6">
        <v>100</v>
      </c>
      <c r="L858" s="6">
        <v>0</v>
      </c>
      <c r="M858" s="6">
        <v>100</v>
      </c>
      <c r="N858">
        <v>0</v>
      </c>
      <c r="O858" s="6">
        <v>0</v>
      </c>
      <c r="P858">
        <v>0</v>
      </c>
      <c r="Q858" s="8">
        <v>54</v>
      </c>
      <c r="R858" s="8">
        <v>54</v>
      </c>
      <c r="S858" s="9" t="s">
        <v>541</v>
      </c>
    </row>
    <row r="859" spans="1:19" hidden="1" x14ac:dyDescent="0.25">
      <c r="A859" t="s">
        <v>123</v>
      </c>
      <c r="B859" t="s">
        <v>80</v>
      </c>
      <c r="C859" t="s">
        <v>126</v>
      </c>
      <c r="D859" t="s">
        <v>545</v>
      </c>
      <c r="E859" t="s">
        <v>94</v>
      </c>
      <c r="F859" t="s">
        <v>6</v>
      </c>
      <c r="G859">
        <v>11</v>
      </c>
      <c r="H859">
        <v>1</v>
      </c>
      <c r="I859">
        <v>1</v>
      </c>
      <c r="J859">
        <v>1</v>
      </c>
      <c r="K859" s="6">
        <v>100</v>
      </c>
      <c r="L859" s="6">
        <v>0</v>
      </c>
      <c r="M859" s="6">
        <v>100</v>
      </c>
      <c r="N859">
        <v>0</v>
      </c>
      <c r="O859" s="6">
        <v>0</v>
      </c>
      <c r="P859">
        <v>0</v>
      </c>
      <c r="Q859" s="8">
        <v>54</v>
      </c>
      <c r="R859" s="8">
        <v>54</v>
      </c>
      <c r="S859" s="9" t="s">
        <v>541</v>
      </c>
    </row>
    <row r="860" spans="1:19" hidden="1" x14ac:dyDescent="0.25">
      <c r="A860" t="s">
        <v>123</v>
      </c>
      <c r="B860" t="s">
        <v>80</v>
      </c>
      <c r="C860" t="s">
        <v>126</v>
      </c>
      <c r="D860" t="s">
        <v>570</v>
      </c>
      <c r="E860" t="s">
        <v>94</v>
      </c>
      <c r="F860" t="s">
        <v>94</v>
      </c>
      <c r="G860">
        <v>0</v>
      </c>
      <c r="H860">
        <v>1</v>
      </c>
      <c r="I860">
        <v>1</v>
      </c>
      <c r="J860">
        <v>1</v>
      </c>
      <c r="K860" s="6">
        <v>100</v>
      </c>
      <c r="L860" s="6">
        <v>0</v>
      </c>
      <c r="M860" s="6">
        <v>100</v>
      </c>
      <c r="N860">
        <v>0</v>
      </c>
      <c r="O860" s="6">
        <v>0</v>
      </c>
      <c r="P860">
        <v>0</v>
      </c>
      <c r="Q860" s="8">
        <v>57.93</v>
      </c>
      <c r="R860" s="8">
        <v>57.93</v>
      </c>
      <c r="S860" s="9" t="s">
        <v>540</v>
      </c>
    </row>
    <row r="861" spans="1:19" hidden="1" x14ac:dyDescent="0.25">
      <c r="A861" t="s">
        <v>123</v>
      </c>
      <c r="B861" t="s">
        <v>80</v>
      </c>
      <c r="C861" t="s">
        <v>126</v>
      </c>
      <c r="D861" t="s">
        <v>570</v>
      </c>
      <c r="E861" t="s">
        <v>94</v>
      </c>
      <c r="F861" t="s">
        <v>96</v>
      </c>
      <c r="G861">
        <v>4</v>
      </c>
      <c r="H861">
        <v>1</v>
      </c>
      <c r="I861">
        <v>1</v>
      </c>
      <c r="J861">
        <v>1</v>
      </c>
      <c r="K861" s="6">
        <v>100</v>
      </c>
      <c r="L861" s="6">
        <v>0</v>
      </c>
      <c r="M861" s="6">
        <v>100</v>
      </c>
      <c r="N861">
        <v>0</v>
      </c>
      <c r="O861" s="6">
        <v>0</v>
      </c>
      <c r="P861">
        <v>0</v>
      </c>
      <c r="Q861" s="8">
        <v>57.93</v>
      </c>
      <c r="R861" s="8">
        <v>57.93</v>
      </c>
      <c r="S861" s="9" t="s">
        <v>541</v>
      </c>
    </row>
    <row r="862" spans="1:19" hidden="1" x14ac:dyDescent="0.25">
      <c r="A862" t="s">
        <v>123</v>
      </c>
      <c r="B862" t="s">
        <v>80</v>
      </c>
      <c r="C862" t="s">
        <v>126</v>
      </c>
      <c r="D862" t="s">
        <v>570</v>
      </c>
      <c r="E862" t="s">
        <v>94</v>
      </c>
      <c r="F862" t="s">
        <v>6</v>
      </c>
      <c r="G862">
        <v>11</v>
      </c>
      <c r="H862">
        <v>1</v>
      </c>
      <c r="I862">
        <v>1</v>
      </c>
      <c r="J862">
        <v>1</v>
      </c>
      <c r="K862" s="6">
        <v>100.81</v>
      </c>
      <c r="L862" s="6">
        <v>0.81</v>
      </c>
      <c r="M862" s="6">
        <v>100.81</v>
      </c>
      <c r="N862">
        <v>0</v>
      </c>
      <c r="O862" s="6">
        <v>0</v>
      </c>
      <c r="P862">
        <v>0</v>
      </c>
      <c r="Q862" s="8">
        <v>57.93</v>
      </c>
      <c r="R862" s="8">
        <v>58.4</v>
      </c>
      <c r="S862" s="9" t="s">
        <v>541</v>
      </c>
    </row>
    <row r="863" spans="1:19" hidden="1" x14ac:dyDescent="0.25">
      <c r="A863" t="s">
        <v>123</v>
      </c>
      <c r="B863" t="s">
        <v>80</v>
      </c>
      <c r="C863" t="s">
        <v>127</v>
      </c>
      <c r="D863" t="s">
        <v>539</v>
      </c>
      <c r="E863" t="s">
        <v>91</v>
      </c>
      <c r="F863" t="s">
        <v>91</v>
      </c>
      <c r="G863">
        <v>0</v>
      </c>
      <c r="H863">
        <v>1</v>
      </c>
      <c r="I863">
        <v>1</v>
      </c>
      <c r="J863">
        <v>1</v>
      </c>
      <c r="K863" s="6">
        <v>100</v>
      </c>
      <c r="L863" s="6">
        <v>0</v>
      </c>
      <c r="M863" s="6">
        <v>100</v>
      </c>
      <c r="N863">
        <v>0</v>
      </c>
      <c r="O863" s="6">
        <v>0</v>
      </c>
      <c r="P863">
        <v>0</v>
      </c>
      <c r="Q863" s="8">
        <v>63.15</v>
      </c>
      <c r="R863" s="8">
        <v>63.15</v>
      </c>
      <c r="S863" s="9" t="s">
        <v>540</v>
      </c>
    </row>
    <row r="864" spans="1:19" hidden="1" x14ac:dyDescent="0.25">
      <c r="A864" t="s">
        <v>123</v>
      </c>
      <c r="B864" t="s">
        <v>80</v>
      </c>
      <c r="C864" t="s">
        <v>127</v>
      </c>
      <c r="D864" t="s">
        <v>539</v>
      </c>
      <c r="E864" t="s">
        <v>91</v>
      </c>
      <c r="F864" t="s">
        <v>94</v>
      </c>
      <c r="G864">
        <v>1</v>
      </c>
      <c r="H864">
        <v>1</v>
      </c>
      <c r="I864">
        <v>1</v>
      </c>
      <c r="J864">
        <v>1</v>
      </c>
      <c r="K864" s="6">
        <v>100</v>
      </c>
      <c r="L864" s="6">
        <v>0</v>
      </c>
      <c r="M864" s="6">
        <v>100</v>
      </c>
      <c r="N864">
        <v>0</v>
      </c>
      <c r="O864" s="6">
        <v>0</v>
      </c>
      <c r="P864">
        <v>0</v>
      </c>
      <c r="Q864" s="8">
        <v>63.15</v>
      </c>
      <c r="R864" s="8">
        <v>63.15</v>
      </c>
      <c r="S864" s="9" t="s">
        <v>541</v>
      </c>
    </row>
    <row r="865" spans="1:19" hidden="1" x14ac:dyDescent="0.25">
      <c r="A865" t="s">
        <v>123</v>
      </c>
      <c r="B865" t="s">
        <v>80</v>
      </c>
      <c r="C865" t="s">
        <v>127</v>
      </c>
      <c r="D865" t="s">
        <v>527</v>
      </c>
      <c r="E865" t="s">
        <v>91</v>
      </c>
      <c r="F865" t="s">
        <v>91</v>
      </c>
      <c r="G865">
        <v>0</v>
      </c>
      <c r="H865">
        <v>2</v>
      </c>
      <c r="I865">
        <v>2</v>
      </c>
      <c r="J865">
        <v>2</v>
      </c>
      <c r="K865" s="6">
        <v>100</v>
      </c>
      <c r="L865" s="6">
        <v>0</v>
      </c>
      <c r="M865" s="6">
        <v>100</v>
      </c>
      <c r="N865">
        <v>0</v>
      </c>
      <c r="O865" s="6">
        <v>0</v>
      </c>
      <c r="P865">
        <v>0</v>
      </c>
      <c r="Q865" s="8">
        <v>95.74</v>
      </c>
      <c r="R865" s="8">
        <v>95.74</v>
      </c>
      <c r="S865" s="9" t="s">
        <v>536</v>
      </c>
    </row>
    <row r="866" spans="1:19" hidden="1" x14ac:dyDescent="0.25">
      <c r="A866" t="s">
        <v>123</v>
      </c>
      <c r="B866" t="s">
        <v>80</v>
      </c>
      <c r="C866" t="s">
        <v>127</v>
      </c>
      <c r="D866" t="s">
        <v>527</v>
      </c>
      <c r="E866" t="s">
        <v>91</v>
      </c>
      <c r="F866" t="s">
        <v>94</v>
      </c>
      <c r="G866">
        <v>1</v>
      </c>
      <c r="H866">
        <v>2</v>
      </c>
      <c r="I866">
        <v>2</v>
      </c>
      <c r="J866">
        <v>2</v>
      </c>
      <c r="K866" s="6">
        <v>100</v>
      </c>
      <c r="L866" s="6">
        <v>0</v>
      </c>
      <c r="M866" s="6">
        <v>100</v>
      </c>
      <c r="N866">
        <v>0</v>
      </c>
      <c r="O866" s="6">
        <v>0</v>
      </c>
      <c r="P866">
        <v>0</v>
      </c>
      <c r="Q866" s="8">
        <v>95.74</v>
      </c>
      <c r="R866" s="8">
        <v>95.74</v>
      </c>
      <c r="S866" s="9" t="s">
        <v>537</v>
      </c>
    </row>
    <row r="867" spans="1:19" hidden="1" x14ac:dyDescent="0.25">
      <c r="A867" t="s">
        <v>123</v>
      </c>
      <c r="B867" t="s">
        <v>80</v>
      </c>
      <c r="C867" t="s">
        <v>127</v>
      </c>
      <c r="D867" t="s">
        <v>527</v>
      </c>
      <c r="E867" t="s">
        <v>91</v>
      </c>
      <c r="F867" t="s">
        <v>96</v>
      </c>
      <c r="G867">
        <v>5</v>
      </c>
      <c r="H867">
        <v>2</v>
      </c>
      <c r="I867">
        <v>2</v>
      </c>
      <c r="J867">
        <v>2</v>
      </c>
      <c r="K867" s="6">
        <v>100</v>
      </c>
      <c r="L867" s="6">
        <v>0</v>
      </c>
      <c r="M867" s="6">
        <v>100</v>
      </c>
      <c r="N867">
        <v>0</v>
      </c>
      <c r="O867" s="6">
        <v>0</v>
      </c>
      <c r="P867">
        <v>0</v>
      </c>
      <c r="Q867" s="8">
        <v>95.74</v>
      </c>
      <c r="R867" s="8">
        <v>95.74</v>
      </c>
      <c r="S867" s="9" t="s">
        <v>537</v>
      </c>
    </row>
    <row r="868" spans="1:19" hidden="1" x14ac:dyDescent="0.25">
      <c r="A868" t="s">
        <v>123</v>
      </c>
      <c r="B868" t="s">
        <v>80</v>
      </c>
      <c r="C868" t="s">
        <v>127</v>
      </c>
      <c r="D868" t="s">
        <v>527</v>
      </c>
      <c r="E868" t="s">
        <v>91</v>
      </c>
      <c r="F868" t="s">
        <v>6</v>
      </c>
      <c r="G868">
        <v>12</v>
      </c>
      <c r="H868">
        <v>2</v>
      </c>
      <c r="I868">
        <v>2</v>
      </c>
      <c r="J868">
        <v>2</v>
      </c>
      <c r="K868" s="6">
        <v>101.49</v>
      </c>
      <c r="L868" s="6">
        <v>1.53</v>
      </c>
      <c r="M868" s="6">
        <v>101.49</v>
      </c>
      <c r="N868">
        <v>0</v>
      </c>
      <c r="O868" s="6">
        <v>0</v>
      </c>
      <c r="P868">
        <v>0</v>
      </c>
      <c r="Q868" s="8">
        <v>95.74</v>
      </c>
      <c r="R868" s="8">
        <v>97.17</v>
      </c>
      <c r="S868" s="9" t="s">
        <v>537</v>
      </c>
    </row>
    <row r="869" spans="1:19" hidden="1" x14ac:dyDescent="0.25">
      <c r="A869" t="s">
        <v>123</v>
      </c>
      <c r="B869" t="s">
        <v>80</v>
      </c>
      <c r="C869" t="s">
        <v>127</v>
      </c>
      <c r="D869" t="s">
        <v>545</v>
      </c>
      <c r="E869" t="s">
        <v>94</v>
      </c>
      <c r="F869" t="s">
        <v>94</v>
      </c>
      <c r="G869">
        <v>0</v>
      </c>
      <c r="H869">
        <v>1</v>
      </c>
      <c r="I869">
        <v>1</v>
      </c>
      <c r="J869">
        <v>1</v>
      </c>
      <c r="K869" s="6">
        <v>100</v>
      </c>
      <c r="L869" s="6">
        <v>0</v>
      </c>
      <c r="M869" s="6">
        <v>100</v>
      </c>
      <c r="N869">
        <v>0</v>
      </c>
      <c r="O869" s="6">
        <v>0</v>
      </c>
      <c r="P869">
        <v>0</v>
      </c>
      <c r="Q869" s="8">
        <v>70.92</v>
      </c>
      <c r="R869" s="8">
        <v>70.92</v>
      </c>
      <c r="S869" s="9" t="s">
        <v>540</v>
      </c>
    </row>
    <row r="870" spans="1:19" hidden="1" x14ac:dyDescent="0.25">
      <c r="A870" t="s">
        <v>123</v>
      </c>
      <c r="B870" t="s">
        <v>80</v>
      </c>
      <c r="C870" t="s">
        <v>127</v>
      </c>
      <c r="D870" t="s">
        <v>545</v>
      </c>
      <c r="E870" t="s">
        <v>94</v>
      </c>
      <c r="F870" t="s">
        <v>96</v>
      </c>
      <c r="G870">
        <v>4</v>
      </c>
      <c r="H870">
        <v>1</v>
      </c>
      <c r="I870">
        <v>1</v>
      </c>
      <c r="J870">
        <v>1</v>
      </c>
      <c r="K870" s="6">
        <v>100</v>
      </c>
      <c r="L870" s="6">
        <v>0</v>
      </c>
      <c r="M870" s="6">
        <v>100</v>
      </c>
      <c r="N870">
        <v>0</v>
      </c>
      <c r="O870" s="6">
        <v>0</v>
      </c>
      <c r="P870">
        <v>0</v>
      </c>
      <c r="Q870" s="8">
        <v>70.92</v>
      </c>
      <c r="R870" s="8">
        <v>70.92</v>
      </c>
      <c r="S870" s="9" t="s">
        <v>541</v>
      </c>
    </row>
    <row r="871" spans="1:19" hidden="1" x14ac:dyDescent="0.25">
      <c r="A871" t="s">
        <v>123</v>
      </c>
      <c r="B871" t="s">
        <v>80</v>
      </c>
      <c r="C871" t="s">
        <v>127</v>
      </c>
      <c r="D871" t="s">
        <v>545</v>
      </c>
      <c r="E871" t="s">
        <v>94</v>
      </c>
      <c r="F871" t="s">
        <v>6</v>
      </c>
      <c r="G871">
        <v>11</v>
      </c>
      <c r="H871">
        <v>1</v>
      </c>
      <c r="I871">
        <v>1</v>
      </c>
      <c r="J871">
        <v>1</v>
      </c>
      <c r="K871" s="6">
        <v>100</v>
      </c>
      <c r="L871" s="6">
        <v>0</v>
      </c>
      <c r="M871" s="6">
        <v>100</v>
      </c>
      <c r="N871">
        <v>0</v>
      </c>
      <c r="O871" s="6">
        <v>0</v>
      </c>
      <c r="P871">
        <v>0</v>
      </c>
      <c r="Q871" s="8">
        <v>70.92</v>
      </c>
      <c r="R871" s="8">
        <v>70.92</v>
      </c>
      <c r="S871" s="9" t="s">
        <v>541</v>
      </c>
    </row>
    <row r="872" spans="1:19" hidden="1" x14ac:dyDescent="0.25">
      <c r="A872" t="s">
        <v>123</v>
      </c>
      <c r="B872" t="s">
        <v>80</v>
      </c>
      <c r="C872" t="s">
        <v>127</v>
      </c>
      <c r="D872" t="s">
        <v>570</v>
      </c>
      <c r="E872" t="s">
        <v>94</v>
      </c>
      <c r="F872" t="s">
        <v>94</v>
      </c>
      <c r="G872">
        <v>0</v>
      </c>
      <c r="H872">
        <v>1</v>
      </c>
      <c r="I872">
        <v>1</v>
      </c>
      <c r="J872">
        <v>1</v>
      </c>
      <c r="K872" s="6">
        <v>100</v>
      </c>
      <c r="L872" s="6">
        <v>0</v>
      </c>
      <c r="M872" s="6">
        <v>100</v>
      </c>
      <c r="N872">
        <v>0</v>
      </c>
      <c r="O872" s="6">
        <v>0</v>
      </c>
      <c r="P872">
        <v>0</v>
      </c>
      <c r="Q872" s="8">
        <v>73.8</v>
      </c>
      <c r="R872" s="8">
        <v>73.8</v>
      </c>
      <c r="S872" s="9" t="s">
        <v>540</v>
      </c>
    </row>
    <row r="873" spans="1:19" hidden="1" x14ac:dyDescent="0.25">
      <c r="A873" t="s">
        <v>123</v>
      </c>
      <c r="B873" t="s">
        <v>80</v>
      </c>
      <c r="C873" t="s">
        <v>127</v>
      </c>
      <c r="D873" t="s">
        <v>570</v>
      </c>
      <c r="E873" t="s">
        <v>94</v>
      </c>
      <c r="F873" t="s">
        <v>96</v>
      </c>
      <c r="G873">
        <v>4</v>
      </c>
      <c r="H873">
        <v>1</v>
      </c>
      <c r="I873">
        <v>1</v>
      </c>
      <c r="J873">
        <v>1</v>
      </c>
      <c r="K873" s="6">
        <v>100</v>
      </c>
      <c r="L873" s="6">
        <v>0</v>
      </c>
      <c r="M873" s="6">
        <v>100</v>
      </c>
      <c r="N873">
        <v>0</v>
      </c>
      <c r="O873" s="6">
        <v>0</v>
      </c>
      <c r="P873">
        <v>0</v>
      </c>
      <c r="Q873" s="8">
        <v>73.8</v>
      </c>
      <c r="R873" s="8">
        <v>73.8</v>
      </c>
      <c r="S873" s="9" t="s">
        <v>541</v>
      </c>
    </row>
    <row r="874" spans="1:19" hidden="1" x14ac:dyDescent="0.25">
      <c r="A874" t="s">
        <v>123</v>
      </c>
      <c r="B874" t="s">
        <v>80</v>
      </c>
      <c r="C874" t="s">
        <v>127</v>
      </c>
      <c r="D874" t="s">
        <v>570</v>
      </c>
      <c r="E874" t="s">
        <v>94</v>
      </c>
      <c r="F874" t="s">
        <v>6</v>
      </c>
      <c r="G874">
        <v>11</v>
      </c>
      <c r="H874">
        <v>1</v>
      </c>
      <c r="I874">
        <v>1</v>
      </c>
      <c r="J874">
        <v>1</v>
      </c>
      <c r="K874" s="6">
        <v>101.72</v>
      </c>
      <c r="L874" s="6">
        <v>1.72</v>
      </c>
      <c r="M874" s="6">
        <v>101.72</v>
      </c>
      <c r="N874">
        <v>0</v>
      </c>
      <c r="O874" s="6">
        <v>0</v>
      </c>
      <c r="P874">
        <v>0</v>
      </c>
      <c r="Q874" s="8">
        <v>73.8</v>
      </c>
      <c r="R874" s="8">
        <v>75.069999999999993</v>
      </c>
      <c r="S874" s="9" t="s">
        <v>541</v>
      </c>
    </row>
    <row r="875" spans="1:19" hidden="1" x14ac:dyDescent="0.25">
      <c r="A875" t="s">
        <v>123</v>
      </c>
      <c r="B875" t="s">
        <v>80</v>
      </c>
      <c r="C875" t="s">
        <v>128</v>
      </c>
      <c r="D875" t="s">
        <v>539</v>
      </c>
      <c r="E875" t="s">
        <v>91</v>
      </c>
      <c r="F875" t="s">
        <v>91</v>
      </c>
      <c r="G875">
        <v>0</v>
      </c>
      <c r="H875">
        <v>1</v>
      </c>
      <c r="I875">
        <v>1</v>
      </c>
      <c r="J875">
        <v>1</v>
      </c>
      <c r="K875" s="6">
        <v>100</v>
      </c>
      <c r="L875" s="6">
        <v>0</v>
      </c>
      <c r="M875" s="6">
        <v>100</v>
      </c>
      <c r="N875">
        <v>0</v>
      </c>
      <c r="O875" s="6">
        <v>0</v>
      </c>
      <c r="P875">
        <v>0</v>
      </c>
      <c r="Q875" s="8">
        <v>225.46</v>
      </c>
      <c r="R875" s="8">
        <v>225.46</v>
      </c>
      <c r="S875" s="9" t="s">
        <v>540</v>
      </c>
    </row>
    <row r="876" spans="1:19" hidden="1" x14ac:dyDescent="0.25">
      <c r="A876" t="s">
        <v>123</v>
      </c>
      <c r="B876" t="s">
        <v>80</v>
      </c>
      <c r="C876" t="s">
        <v>128</v>
      </c>
      <c r="D876" t="s">
        <v>539</v>
      </c>
      <c r="E876" t="s">
        <v>91</v>
      </c>
      <c r="F876" t="s">
        <v>94</v>
      </c>
      <c r="G876">
        <v>1</v>
      </c>
      <c r="H876">
        <v>1</v>
      </c>
      <c r="I876">
        <v>1</v>
      </c>
      <c r="J876">
        <v>1</v>
      </c>
      <c r="K876" s="6">
        <v>77.819999999999993</v>
      </c>
      <c r="L876" s="6">
        <v>-22.18</v>
      </c>
      <c r="M876" s="6">
        <v>77.819999999999993</v>
      </c>
      <c r="N876">
        <v>0</v>
      </c>
      <c r="O876" s="6">
        <v>0</v>
      </c>
      <c r="P876">
        <v>0</v>
      </c>
      <c r="Q876" s="8">
        <v>225.46</v>
      </c>
      <c r="R876" s="8">
        <v>175.46</v>
      </c>
      <c r="S876" s="9" t="s">
        <v>541</v>
      </c>
    </row>
    <row r="877" spans="1:19" hidden="1" x14ac:dyDescent="0.25">
      <c r="A877" t="s">
        <v>123</v>
      </c>
      <c r="B877" t="s">
        <v>80</v>
      </c>
      <c r="C877" t="s">
        <v>128</v>
      </c>
      <c r="D877" t="s">
        <v>552</v>
      </c>
      <c r="E877" t="s">
        <v>6</v>
      </c>
      <c r="F877" t="s">
        <v>6</v>
      </c>
      <c r="G877">
        <v>0</v>
      </c>
      <c r="H877">
        <v>1</v>
      </c>
      <c r="I877">
        <v>1</v>
      </c>
      <c r="J877">
        <v>1</v>
      </c>
      <c r="K877" s="6">
        <v>100</v>
      </c>
      <c r="L877" s="6">
        <v>0</v>
      </c>
      <c r="M877" s="6">
        <v>100</v>
      </c>
      <c r="N877">
        <v>0</v>
      </c>
      <c r="O877" s="6">
        <v>0</v>
      </c>
      <c r="P877">
        <v>0</v>
      </c>
      <c r="Q877" s="8">
        <v>176.47</v>
      </c>
      <c r="R877" s="8">
        <v>176.47</v>
      </c>
      <c r="S877" s="9" t="s">
        <v>540</v>
      </c>
    </row>
    <row r="878" spans="1:19" hidden="1" x14ac:dyDescent="0.25">
      <c r="A878" t="s">
        <v>123</v>
      </c>
      <c r="B878" t="s">
        <v>80</v>
      </c>
      <c r="C878" t="s">
        <v>128</v>
      </c>
      <c r="D878" t="s">
        <v>527</v>
      </c>
      <c r="E878" t="s">
        <v>91</v>
      </c>
      <c r="F878" t="s">
        <v>91</v>
      </c>
      <c r="G878">
        <v>0</v>
      </c>
      <c r="H878">
        <v>1</v>
      </c>
      <c r="I878">
        <v>1</v>
      </c>
      <c r="J878">
        <v>1</v>
      </c>
      <c r="K878" s="6">
        <v>100</v>
      </c>
      <c r="L878" s="6">
        <v>0</v>
      </c>
      <c r="M878" s="6">
        <v>100</v>
      </c>
      <c r="N878">
        <v>0</v>
      </c>
      <c r="O878" s="6">
        <v>0</v>
      </c>
      <c r="P878">
        <v>0</v>
      </c>
      <c r="Q878" s="8">
        <v>248.86</v>
      </c>
      <c r="R878" s="8">
        <v>248.86</v>
      </c>
      <c r="S878" s="9" t="s">
        <v>540</v>
      </c>
    </row>
    <row r="879" spans="1:19" hidden="1" x14ac:dyDescent="0.25">
      <c r="A879" t="s">
        <v>123</v>
      </c>
      <c r="B879" t="s">
        <v>80</v>
      </c>
      <c r="C879" t="s">
        <v>128</v>
      </c>
      <c r="D879" t="s">
        <v>527</v>
      </c>
      <c r="E879" t="s">
        <v>91</v>
      </c>
      <c r="F879" t="s">
        <v>94</v>
      </c>
      <c r="G879">
        <v>1</v>
      </c>
      <c r="H879">
        <v>1</v>
      </c>
      <c r="I879">
        <v>2</v>
      </c>
      <c r="J879">
        <v>1</v>
      </c>
      <c r="K879" s="6">
        <v>105.17</v>
      </c>
      <c r="L879" s="6">
        <v>5.17</v>
      </c>
      <c r="M879" s="6">
        <v>106.36</v>
      </c>
      <c r="N879">
        <v>1.19</v>
      </c>
      <c r="O879" s="6">
        <v>0</v>
      </c>
      <c r="P879">
        <v>1</v>
      </c>
      <c r="Q879" s="8">
        <v>248.86</v>
      </c>
      <c r="R879" s="8">
        <v>261.70999999999998</v>
      </c>
      <c r="S879" s="9" t="s">
        <v>541</v>
      </c>
    </row>
    <row r="880" spans="1:19" hidden="1" x14ac:dyDescent="0.25">
      <c r="A880" t="s">
        <v>123</v>
      </c>
      <c r="B880" t="s">
        <v>80</v>
      </c>
      <c r="C880" t="s">
        <v>128</v>
      </c>
      <c r="D880" t="s">
        <v>527</v>
      </c>
      <c r="E880" t="s">
        <v>91</v>
      </c>
      <c r="F880" t="s">
        <v>96</v>
      </c>
      <c r="G880">
        <v>5</v>
      </c>
      <c r="H880">
        <v>1</v>
      </c>
      <c r="I880">
        <v>1</v>
      </c>
      <c r="J880">
        <v>1</v>
      </c>
      <c r="K880" s="6">
        <v>117.22</v>
      </c>
      <c r="L880" s="6">
        <v>17.22</v>
      </c>
      <c r="M880" s="6">
        <v>117.22</v>
      </c>
      <c r="N880">
        <v>0</v>
      </c>
      <c r="O880" s="6">
        <v>0</v>
      </c>
      <c r="P880">
        <v>0</v>
      </c>
      <c r="Q880" s="8">
        <v>248.86</v>
      </c>
      <c r="R880" s="8">
        <v>291.70999999999998</v>
      </c>
      <c r="S880" s="9" t="s">
        <v>541</v>
      </c>
    </row>
    <row r="881" spans="1:19" hidden="1" x14ac:dyDescent="0.25">
      <c r="A881" t="s">
        <v>123</v>
      </c>
      <c r="B881" t="s">
        <v>80</v>
      </c>
      <c r="C881" t="s">
        <v>128</v>
      </c>
      <c r="D881" t="s">
        <v>527</v>
      </c>
      <c r="E881" t="s">
        <v>91</v>
      </c>
      <c r="F881" t="s">
        <v>6</v>
      </c>
      <c r="G881">
        <v>12</v>
      </c>
      <c r="H881">
        <v>1</v>
      </c>
      <c r="I881">
        <v>2</v>
      </c>
      <c r="J881">
        <v>1</v>
      </c>
      <c r="K881" s="6">
        <v>99.97</v>
      </c>
      <c r="L881" s="6">
        <v>-0.03</v>
      </c>
      <c r="M881" s="6">
        <v>95.71</v>
      </c>
      <c r="N881">
        <v>-4.26</v>
      </c>
      <c r="O881" s="6">
        <v>0</v>
      </c>
      <c r="P881">
        <v>1</v>
      </c>
      <c r="Q881" s="8">
        <v>248.86</v>
      </c>
      <c r="R881" s="8">
        <v>248.79</v>
      </c>
      <c r="S881" s="9" t="s">
        <v>541</v>
      </c>
    </row>
    <row r="882" spans="1:19" hidden="1" x14ac:dyDescent="0.25">
      <c r="A882" t="s">
        <v>123</v>
      </c>
      <c r="B882" t="s">
        <v>80</v>
      </c>
      <c r="C882" t="s">
        <v>128</v>
      </c>
      <c r="D882" t="s">
        <v>545</v>
      </c>
      <c r="E882" t="s">
        <v>94</v>
      </c>
      <c r="F882" t="s">
        <v>94</v>
      </c>
      <c r="G882">
        <v>0</v>
      </c>
      <c r="H882">
        <v>1</v>
      </c>
      <c r="I882">
        <v>1</v>
      </c>
      <c r="J882">
        <v>1</v>
      </c>
      <c r="K882" s="6">
        <v>100</v>
      </c>
      <c r="L882" s="6">
        <v>0</v>
      </c>
      <c r="M882" s="6">
        <v>100</v>
      </c>
      <c r="N882">
        <v>0</v>
      </c>
      <c r="O882" s="6">
        <v>0</v>
      </c>
      <c r="P882">
        <v>0</v>
      </c>
      <c r="Q882" s="8">
        <v>253.23</v>
      </c>
      <c r="R882" s="8">
        <v>253.23</v>
      </c>
      <c r="S882" s="9" t="s">
        <v>540</v>
      </c>
    </row>
    <row r="883" spans="1:19" hidden="1" x14ac:dyDescent="0.25">
      <c r="A883" t="s">
        <v>123</v>
      </c>
      <c r="B883" t="s">
        <v>80</v>
      </c>
      <c r="C883" t="s">
        <v>128</v>
      </c>
      <c r="D883" t="s">
        <v>545</v>
      </c>
      <c r="E883" t="s">
        <v>94</v>
      </c>
      <c r="F883" t="s">
        <v>96</v>
      </c>
      <c r="G883">
        <v>4</v>
      </c>
      <c r="H883">
        <v>1</v>
      </c>
      <c r="I883">
        <v>1</v>
      </c>
      <c r="J883">
        <v>1</v>
      </c>
      <c r="K883" s="6">
        <v>100</v>
      </c>
      <c r="L883" s="6">
        <v>0</v>
      </c>
      <c r="M883" s="6">
        <v>100</v>
      </c>
      <c r="N883">
        <v>0</v>
      </c>
      <c r="O883" s="6">
        <v>0</v>
      </c>
      <c r="P883">
        <v>0</v>
      </c>
      <c r="Q883" s="8">
        <v>253.23</v>
      </c>
      <c r="R883" s="8">
        <v>253.23</v>
      </c>
      <c r="S883" s="9" t="s">
        <v>541</v>
      </c>
    </row>
    <row r="884" spans="1:19" hidden="1" x14ac:dyDescent="0.25">
      <c r="A884" t="s">
        <v>123</v>
      </c>
      <c r="B884" t="s">
        <v>80</v>
      </c>
      <c r="C884" t="s">
        <v>128</v>
      </c>
      <c r="D884" t="s">
        <v>545</v>
      </c>
      <c r="E884" t="s">
        <v>94</v>
      </c>
      <c r="F884" t="s">
        <v>6</v>
      </c>
      <c r="G884">
        <v>11</v>
      </c>
      <c r="H884">
        <v>1</v>
      </c>
      <c r="I884">
        <v>1</v>
      </c>
      <c r="J884">
        <v>1</v>
      </c>
      <c r="K884" s="6">
        <v>100</v>
      </c>
      <c r="L884" s="6">
        <v>0</v>
      </c>
      <c r="M884" s="6">
        <v>100</v>
      </c>
      <c r="N884">
        <v>0</v>
      </c>
      <c r="O884" s="6">
        <v>0</v>
      </c>
      <c r="P884">
        <v>0</v>
      </c>
      <c r="Q884" s="8">
        <v>253.23</v>
      </c>
      <c r="R884" s="8">
        <v>253.23</v>
      </c>
      <c r="S884" s="9" t="s">
        <v>541</v>
      </c>
    </row>
    <row r="885" spans="1:19" hidden="1" x14ac:dyDescent="0.25">
      <c r="A885" t="s">
        <v>123</v>
      </c>
      <c r="B885" t="s">
        <v>80</v>
      </c>
      <c r="C885" t="s">
        <v>128</v>
      </c>
      <c r="D885" t="s">
        <v>570</v>
      </c>
      <c r="E885" t="s">
        <v>96</v>
      </c>
      <c r="F885" t="s">
        <v>96</v>
      </c>
      <c r="G885">
        <v>0</v>
      </c>
      <c r="H885">
        <v>1</v>
      </c>
      <c r="I885">
        <v>1</v>
      </c>
      <c r="J885">
        <v>1</v>
      </c>
      <c r="K885" s="6">
        <v>100</v>
      </c>
      <c r="L885" s="6">
        <v>0</v>
      </c>
      <c r="M885" s="6">
        <v>100</v>
      </c>
      <c r="N885">
        <v>0</v>
      </c>
      <c r="O885" s="6">
        <v>0</v>
      </c>
      <c r="P885">
        <v>0</v>
      </c>
      <c r="Q885" s="8">
        <v>248.4</v>
      </c>
      <c r="R885" s="8">
        <v>248.4</v>
      </c>
      <c r="S885" s="9" t="s">
        <v>540</v>
      </c>
    </row>
    <row r="886" spans="1:19" hidden="1" x14ac:dyDescent="0.25">
      <c r="A886" t="s">
        <v>123</v>
      </c>
      <c r="B886" t="s">
        <v>80</v>
      </c>
      <c r="C886" t="s">
        <v>128</v>
      </c>
      <c r="D886" t="s">
        <v>570</v>
      </c>
      <c r="E886" t="s">
        <v>96</v>
      </c>
      <c r="F886" t="s">
        <v>6</v>
      </c>
      <c r="G886">
        <v>7</v>
      </c>
      <c r="H886">
        <v>1</v>
      </c>
      <c r="I886">
        <v>1</v>
      </c>
      <c r="J886">
        <v>1</v>
      </c>
      <c r="K886" s="6">
        <v>102.42</v>
      </c>
      <c r="L886" s="6">
        <v>2.42</v>
      </c>
      <c r="M886" s="6">
        <v>102.42</v>
      </c>
      <c r="N886">
        <v>0</v>
      </c>
      <c r="O886" s="6">
        <v>0</v>
      </c>
      <c r="P886">
        <v>0</v>
      </c>
      <c r="Q886" s="8">
        <v>248.4</v>
      </c>
      <c r="R886" s="8">
        <v>254.4</v>
      </c>
      <c r="S886" s="9" t="s">
        <v>541</v>
      </c>
    </row>
    <row r="887" spans="1:19" hidden="1" x14ac:dyDescent="0.25">
      <c r="A887" t="s">
        <v>134</v>
      </c>
      <c r="B887" t="s">
        <v>79</v>
      </c>
      <c r="C887" t="s">
        <v>124</v>
      </c>
      <c r="D887" t="s">
        <v>524</v>
      </c>
      <c r="E887" t="s">
        <v>90</v>
      </c>
      <c r="F887" t="s">
        <v>90</v>
      </c>
      <c r="G887">
        <v>0</v>
      </c>
      <c r="H887">
        <v>2</v>
      </c>
      <c r="I887">
        <v>2</v>
      </c>
      <c r="J887">
        <v>2</v>
      </c>
      <c r="K887" s="6">
        <v>100</v>
      </c>
      <c r="L887" s="6">
        <v>0</v>
      </c>
      <c r="M887" s="6">
        <v>100</v>
      </c>
      <c r="N887">
        <v>0</v>
      </c>
      <c r="O887" s="6">
        <v>0</v>
      </c>
      <c r="P887">
        <v>0</v>
      </c>
      <c r="Q887" s="8">
        <v>268.43</v>
      </c>
      <c r="R887" s="8">
        <v>268.43</v>
      </c>
      <c r="S887" s="9" t="s">
        <v>536</v>
      </c>
    </row>
    <row r="888" spans="1:19" hidden="1" x14ac:dyDescent="0.25">
      <c r="A888" t="s">
        <v>134</v>
      </c>
      <c r="B888" t="s">
        <v>79</v>
      </c>
      <c r="C888" t="s">
        <v>124</v>
      </c>
      <c r="D888" t="s">
        <v>524</v>
      </c>
      <c r="E888" t="s">
        <v>90</v>
      </c>
      <c r="F888" t="s">
        <v>91</v>
      </c>
      <c r="G888">
        <v>1</v>
      </c>
      <c r="H888">
        <v>2</v>
      </c>
      <c r="I888">
        <v>2</v>
      </c>
      <c r="J888">
        <v>2</v>
      </c>
      <c r="K888" s="6">
        <v>100</v>
      </c>
      <c r="L888" s="6">
        <v>0</v>
      </c>
      <c r="M888" s="6">
        <v>100</v>
      </c>
      <c r="N888">
        <v>0</v>
      </c>
      <c r="O888" s="6">
        <v>0</v>
      </c>
      <c r="P888">
        <v>0</v>
      </c>
      <c r="Q888" s="8">
        <v>268.43</v>
      </c>
      <c r="R888" s="8">
        <v>268.43</v>
      </c>
      <c r="S888" s="9" t="s">
        <v>537</v>
      </c>
    </row>
    <row r="889" spans="1:19" hidden="1" x14ac:dyDescent="0.25">
      <c r="A889" t="s">
        <v>134</v>
      </c>
      <c r="B889" t="s">
        <v>79</v>
      </c>
      <c r="C889" t="s">
        <v>124</v>
      </c>
      <c r="D889" t="s">
        <v>524</v>
      </c>
      <c r="E889" t="s">
        <v>90</v>
      </c>
      <c r="F889" t="s">
        <v>94</v>
      </c>
      <c r="G889">
        <v>2</v>
      </c>
      <c r="H889">
        <v>2</v>
      </c>
      <c r="I889">
        <v>2</v>
      </c>
      <c r="J889">
        <v>2</v>
      </c>
      <c r="K889" s="6">
        <v>98.94</v>
      </c>
      <c r="L889" s="6">
        <v>-1.04</v>
      </c>
      <c r="M889" s="6">
        <v>98.94</v>
      </c>
      <c r="N889">
        <v>0</v>
      </c>
      <c r="O889" s="6">
        <v>0</v>
      </c>
      <c r="P889">
        <v>0</v>
      </c>
      <c r="Q889" s="8">
        <v>268.43</v>
      </c>
      <c r="R889" s="8">
        <v>265.57</v>
      </c>
      <c r="S889" s="9" t="s">
        <v>537</v>
      </c>
    </row>
    <row r="890" spans="1:19" hidden="1" x14ac:dyDescent="0.25">
      <c r="A890" t="s">
        <v>134</v>
      </c>
      <c r="B890" t="s">
        <v>79</v>
      </c>
      <c r="C890" t="s">
        <v>124</v>
      </c>
      <c r="D890" t="s">
        <v>524</v>
      </c>
      <c r="E890" t="s">
        <v>90</v>
      </c>
      <c r="F890" t="s">
        <v>96</v>
      </c>
      <c r="G890">
        <v>6</v>
      </c>
      <c r="H890">
        <v>2</v>
      </c>
      <c r="I890">
        <v>2</v>
      </c>
      <c r="J890">
        <v>2</v>
      </c>
      <c r="K890" s="6">
        <v>98.94</v>
      </c>
      <c r="L890" s="6">
        <v>-1.04</v>
      </c>
      <c r="M890" s="6">
        <v>98.94</v>
      </c>
      <c r="N890">
        <v>0</v>
      </c>
      <c r="O890" s="6">
        <v>0</v>
      </c>
      <c r="P890">
        <v>0</v>
      </c>
      <c r="Q890" s="8">
        <v>268.43</v>
      </c>
      <c r="R890" s="8">
        <v>265.57</v>
      </c>
      <c r="S890" s="9" t="s">
        <v>537</v>
      </c>
    </row>
    <row r="891" spans="1:19" hidden="1" x14ac:dyDescent="0.25">
      <c r="A891" t="s">
        <v>134</v>
      </c>
      <c r="B891" t="s">
        <v>79</v>
      </c>
      <c r="C891" t="s">
        <v>124</v>
      </c>
      <c r="D891" t="s">
        <v>524</v>
      </c>
      <c r="E891" t="s">
        <v>90</v>
      </c>
      <c r="F891" t="s">
        <v>6</v>
      </c>
      <c r="G891">
        <v>13</v>
      </c>
      <c r="H891">
        <v>2</v>
      </c>
      <c r="I891">
        <v>2</v>
      </c>
      <c r="J891">
        <v>2</v>
      </c>
      <c r="K891" s="6">
        <v>98.94</v>
      </c>
      <c r="L891" s="6">
        <v>-1.04</v>
      </c>
      <c r="M891" s="6">
        <v>98.94</v>
      </c>
      <c r="N891">
        <v>0</v>
      </c>
      <c r="O891" s="6">
        <v>0</v>
      </c>
      <c r="P891">
        <v>0</v>
      </c>
      <c r="Q891" s="8">
        <v>268.43</v>
      </c>
      <c r="R891" s="8">
        <v>265.57</v>
      </c>
      <c r="S891" s="9" t="s">
        <v>537</v>
      </c>
    </row>
    <row r="892" spans="1:19" hidden="1" x14ac:dyDescent="0.25">
      <c r="A892" t="s">
        <v>134</v>
      </c>
      <c r="B892" t="s">
        <v>79</v>
      </c>
      <c r="C892" t="s">
        <v>124</v>
      </c>
      <c r="D892" t="s">
        <v>527</v>
      </c>
      <c r="E892" t="s">
        <v>90</v>
      </c>
      <c r="F892" t="s">
        <v>90</v>
      </c>
      <c r="G892">
        <v>0</v>
      </c>
      <c r="H892">
        <v>12</v>
      </c>
      <c r="I892">
        <v>12</v>
      </c>
      <c r="J892">
        <v>12</v>
      </c>
      <c r="K892" s="6">
        <v>100</v>
      </c>
      <c r="L892" s="6">
        <v>0</v>
      </c>
      <c r="M892" s="6">
        <v>100</v>
      </c>
      <c r="N892">
        <v>0</v>
      </c>
      <c r="O892" s="6">
        <v>0</v>
      </c>
      <c r="P892">
        <v>0</v>
      </c>
      <c r="Q892" s="8">
        <v>258.39999999999998</v>
      </c>
      <c r="R892" s="8">
        <v>258.39999999999998</v>
      </c>
      <c r="S892" s="9" t="s">
        <v>586</v>
      </c>
    </row>
    <row r="893" spans="1:19" hidden="1" x14ac:dyDescent="0.25">
      <c r="A893" t="s">
        <v>134</v>
      </c>
      <c r="B893" t="s">
        <v>79</v>
      </c>
      <c r="C893" t="s">
        <v>124</v>
      </c>
      <c r="D893" t="s">
        <v>527</v>
      </c>
      <c r="E893" t="s">
        <v>90</v>
      </c>
      <c r="F893" t="s">
        <v>91</v>
      </c>
      <c r="G893">
        <v>1</v>
      </c>
      <c r="H893">
        <v>12</v>
      </c>
      <c r="I893">
        <v>12</v>
      </c>
      <c r="J893">
        <v>12</v>
      </c>
      <c r="K893" s="6">
        <v>100</v>
      </c>
      <c r="L893" s="6">
        <v>0</v>
      </c>
      <c r="M893" s="6">
        <v>100</v>
      </c>
      <c r="N893">
        <v>0</v>
      </c>
      <c r="O893" s="6">
        <v>0</v>
      </c>
      <c r="P893">
        <v>0</v>
      </c>
      <c r="Q893" s="8">
        <v>258.39999999999998</v>
      </c>
      <c r="R893" s="8">
        <v>258.39999999999998</v>
      </c>
      <c r="S893" s="10" t="s">
        <v>587</v>
      </c>
    </row>
    <row r="894" spans="1:19" hidden="1" x14ac:dyDescent="0.25">
      <c r="A894" t="s">
        <v>134</v>
      </c>
      <c r="B894" t="s">
        <v>79</v>
      </c>
      <c r="C894" t="s">
        <v>124</v>
      </c>
      <c r="D894" t="s">
        <v>527</v>
      </c>
      <c r="E894" t="s">
        <v>90</v>
      </c>
      <c r="F894" t="s">
        <v>94</v>
      </c>
      <c r="G894">
        <v>2</v>
      </c>
      <c r="H894">
        <v>12</v>
      </c>
      <c r="I894">
        <v>12</v>
      </c>
      <c r="J894">
        <v>12</v>
      </c>
      <c r="K894" s="6">
        <v>99.77</v>
      </c>
      <c r="L894" s="6">
        <v>0</v>
      </c>
      <c r="M894" s="6">
        <v>99.77</v>
      </c>
      <c r="N894">
        <v>0</v>
      </c>
      <c r="O894" s="6">
        <v>0</v>
      </c>
      <c r="P894">
        <v>0</v>
      </c>
      <c r="Q894" s="8">
        <v>258.39999999999998</v>
      </c>
      <c r="R894" s="8">
        <v>257.81</v>
      </c>
      <c r="S894" s="10" t="s">
        <v>587</v>
      </c>
    </row>
    <row r="895" spans="1:19" hidden="1" x14ac:dyDescent="0.25">
      <c r="A895" t="s">
        <v>134</v>
      </c>
      <c r="B895" t="s">
        <v>79</v>
      </c>
      <c r="C895" t="s">
        <v>124</v>
      </c>
      <c r="D895" t="s">
        <v>527</v>
      </c>
      <c r="E895" t="s">
        <v>90</v>
      </c>
      <c r="F895" t="s">
        <v>96</v>
      </c>
      <c r="G895">
        <v>6</v>
      </c>
      <c r="H895">
        <v>12</v>
      </c>
      <c r="I895">
        <v>12</v>
      </c>
      <c r="J895">
        <v>12</v>
      </c>
      <c r="K895" s="6">
        <v>99.77</v>
      </c>
      <c r="L895" s="6">
        <v>0</v>
      </c>
      <c r="M895" s="6">
        <v>99.77</v>
      </c>
      <c r="N895">
        <v>0</v>
      </c>
      <c r="O895" s="6">
        <v>0</v>
      </c>
      <c r="P895">
        <v>0</v>
      </c>
      <c r="Q895" s="8">
        <v>258.39999999999998</v>
      </c>
      <c r="R895" s="8">
        <v>257.81</v>
      </c>
      <c r="S895" s="10" t="s">
        <v>587</v>
      </c>
    </row>
    <row r="896" spans="1:19" hidden="1" x14ac:dyDescent="0.25">
      <c r="A896" t="s">
        <v>134</v>
      </c>
      <c r="B896" t="s">
        <v>79</v>
      </c>
      <c r="C896" t="s">
        <v>124</v>
      </c>
      <c r="D896" t="s">
        <v>527</v>
      </c>
      <c r="E896" t="s">
        <v>90</v>
      </c>
      <c r="F896" t="s">
        <v>6</v>
      </c>
      <c r="G896">
        <v>13</v>
      </c>
      <c r="H896">
        <v>12</v>
      </c>
      <c r="I896">
        <v>12</v>
      </c>
      <c r="J896">
        <v>12</v>
      </c>
      <c r="K896" s="6">
        <v>98.58</v>
      </c>
      <c r="L896" s="6">
        <v>-0.51</v>
      </c>
      <c r="M896" s="6">
        <v>98.58</v>
      </c>
      <c r="N896">
        <v>0</v>
      </c>
      <c r="O896" s="6">
        <v>0</v>
      </c>
      <c r="P896">
        <v>0</v>
      </c>
      <c r="Q896" s="8">
        <v>258.39999999999998</v>
      </c>
      <c r="R896" s="8">
        <v>254.73</v>
      </c>
      <c r="S896" s="10" t="s">
        <v>587</v>
      </c>
    </row>
    <row r="897" spans="1:19" hidden="1" x14ac:dyDescent="0.25">
      <c r="A897" t="s">
        <v>134</v>
      </c>
      <c r="B897" t="s">
        <v>79</v>
      </c>
      <c r="C897" t="s">
        <v>124</v>
      </c>
      <c r="D897" t="s">
        <v>530</v>
      </c>
      <c r="E897" t="s">
        <v>90</v>
      </c>
      <c r="F897" t="s">
        <v>90</v>
      </c>
      <c r="G897">
        <v>0</v>
      </c>
      <c r="H897">
        <v>6</v>
      </c>
      <c r="I897">
        <v>6</v>
      </c>
      <c r="J897">
        <v>6</v>
      </c>
      <c r="K897" s="6">
        <v>100</v>
      </c>
      <c r="L897" s="6">
        <v>0</v>
      </c>
      <c r="M897" s="6">
        <v>100</v>
      </c>
      <c r="N897">
        <v>0</v>
      </c>
      <c r="O897" s="6">
        <v>0</v>
      </c>
      <c r="P897">
        <v>0</v>
      </c>
      <c r="Q897" s="8">
        <v>339.93</v>
      </c>
      <c r="R897" s="8">
        <v>339.93</v>
      </c>
      <c r="S897" s="9" t="s">
        <v>534</v>
      </c>
    </row>
    <row r="898" spans="1:19" hidden="1" x14ac:dyDescent="0.25">
      <c r="A898" t="s">
        <v>134</v>
      </c>
      <c r="B898" t="s">
        <v>79</v>
      </c>
      <c r="C898" t="s">
        <v>124</v>
      </c>
      <c r="D898" t="s">
        <v>530</v>
      </c>
      <c r="E898" t="s">
        <v>90</v>
      </c>
      <c r="F898" t="s">
        <v>91</v>
      </c>
      <c r="G898">
        <v>1</v>
      </c>
      <c r="H898">
        <v>6</v>
      </c>
      <c r="I898">
        <v>6</v>
      </c>
      <c r="J898">
        <v>6</v>
      </c>
      <c r="K898" s="6">
        <v>100</v>
      </c>
      <c r="L898" s="6">
        <v>0</v>
      </c>
      <c r="M898" s="6">
        <v>100</v>
      </c>
      <c r="N898">
        <v>0</v>
      </c>
      <c r="O898" s="6">
        <v>0</v>
      </c>
      <c r="P898">
        <v>0</v>
      </c>
      <c r="Q898" s="8">
        <v>339.93</v>
      </c>
      <c r="R898" s="8">
        <v>339.93</v>
      </c>
      <c r="S898" s="9" t="s">
        <v>535</v>
      </c>
    </row>
    <row r="899" spans="1:19" hidden="1" x14ac:dyDescent="0.25">
      <c r="A899" t="s">
        <v>134</v>
      </c>
      <c r="B899" t="s">
        <v>79</v>
      </c>
      <c r="C899" t="s">
        <v>124</v>
      </c>
      <c r="D899" t="s">
        <v>530</v>
      </c>
      <c r="E899" t="s">
        <v>90</v>
      </c>
      <c r="F899" t="s">
        <v>94</v>
      </c>
      <c r="G899">
        <v>2</v>
      </c>
      <c r="H899">
        <v>6</v>
      </c>
      <c r="I899">
        <v>6</v>
      </c>
      <c r="J899">
        <v>6</v>
      </c>
      <c r="K899" s="6">
        <v>100</v>
      </c>
      <c r="L899" s="6">
        <v>0</v>
      </c>
      <c r="M899" s="6">
        <v>100</v>
      </c>
      <c r="N899">
        <v>0</v>
      </c>
      <c r="O899" s="6">
        <v>0</v>
      </c>
      <c r="P899">
        <v>0</v>
      </c>
      <c r="Q899" s="8">
        <v>339.93</v>
      </c>
      <c r="R899" s="8">
        <v>339.93</v>
      </c>
      <c r="S899" s="9" t="s">
        <v>535</v>
      </c>
    </row>
    <row r="900" spans="1:19" hidden="1" x14ac:dyDescent="0.25">
      <c r="A900" t="s">
        <v>134</v>
      </c>
      <c r="B900" t="s">
        <v>79</v>
      </c>
      <c r="C900" t="s">
        <v>124</v>
      </c>
      <c r="D900" t="s">
        <v>530</v>
      </c>
      <c r="E900" t="s">
        <v>90</v>
      </c>
      <c r="F900" t="s">
        <v>96</v>
      </c>
      <c r="G900">
        <v>6</v>
      </c>
      <c r="H900">
        <v>6</v>
      </c>
      <c r="I900">
        <v>6</v>
      </c>
      <c r="J900">
        <v>6</v>
      </c>
      <c r="K900" s="6">
        <v>100</v>
      </c>
      <c r="L900" s="6">
        <v>0</v>
      </c>
      <c r="M900" s="6">
        <v>100</v>
      </c>
      <c r="N900">
        <v>0</v>
      </c>
      <c r="O900" s="6">
        <v>0</v>
      </c>
      <c r="P900">
        <v>0</v>
      </c>
      <c r="Q900" s="8">
        <v>339.93</v>
      </c>
      <c r="R900" s="8">
        <v>339.93</v>
      </c>
      <c r="S900" s="9" t="s">
        <v>535</v>
      </c>
    </row>
    <row r="901" spans="1:19" hidden="1" x14ac:dyDescent="0.25">
      <c r="A901" t="s">
        <v>134</v>
      </c>
      <c r="B901" t="s">
        <v>79</v>
      </c>
      <c r="C901" t="s">
        <v>124</v>
      </c>
      <c r="D901" t="s">
        <v>530</v>
      </c>
      <c r="E901" t="s">
        <v>90</v>
      </c>
      <c r="F901" t="s">
        <v>6</v>
      </c>
      <c r="G901">
        <v>13</v>
      </c>
      <c r="H901">
        <v>6</v>
      </c>
      <c r="I901">
        <v>6</v>
      </c>
      <c r="J901">
        <v>6</v>
      </c>
      <c r="K901" s="6">
        <v>98.95</v>
      </c>
      <c r="L901" s="6">
        <v>0</v>
      </c>
      <c r="M901" s="6">
        <v>98.95</v>
      </c>
      <c r="N901">
        <v>0</v>
      </c>
      <c r="O901" s="6">
        <v>0</v>
      </c>
      <c r="P901">
        <v>0</v>
      </c>
      <c r="Q901" s="8">
        <v>339.93</v>
      </c>
      <c r="R901" s="8">
        <v>336.36</v>
      </c>
      <c r="S901" s="9" t="s">
        <v>535</v>
      </c>
    </row>
    <row r="902" spans="1:19" hidden="1" x14ac:dyDescent="0.25">
      <c r="A902" t="s">
        <v>134</v>
      </c>
      <c r="B902" t="s">
        <v>79</v>
      </c>
      <c r="C902" t="s">
        <v>124</v>
      </c>
      <c r="D902" t="s">
        <v>531</v>
      </c>
      <c r="E902" t="s">
        <v>90</v>
      </c>
      <c r="F902" t="s">
        <v>90</v>
      </c>
      <c r="G902">
        <v>0</v>
      </c>
      <c r="H902">
        <v>10</v>
      </c>
      <c r="I902">
        <v>10</v>
      </c>
      <c r="J902">
        <v>10</v>
      </c>
      <c r="K902" s="6">
        <v>100</v>
      </c>
      <c r="L902" s="6">
        <v>0</v>
      </c>
      <c r="M902" s="6">
        <v>100</v>
      </c>
      <c r="N902">
        <v>0</v>
      </c>
      <c r="O902" s="6">
        <v>0</v>
      </c>
      <c r="P902">
        <v>0</v>
      </c>
      <c r="Q902" s="8">
        <v>329</v>
      </c>
      <c r="R902" s="8">
        <v>329</v>
      </c>
      <c r="S902" s="9" t="s">
        <v>584</v>
      </c>
    </row>
    <row r="903" spans="1:19" hidden="1" x14ac:dyDescent="0.25">
      <c r="A903" t="s">
        <v>134</v>
      </c>
      <c r="B903" t="s">
        <v>79</v>
      </c>
      <c r="C903" t="s">
        <v>124</v>
      </c>
      <c r="D903" t="s">
        <v>531</v>
      </c>
      <c r="E903" t="s">
        <v>90</v>
      </c>
      <c r="F903" t="s">
        <v>91</v>
      </c>
      <c r="G903">
        <v>1</v>
      </c>
      <c r="H903">
        <v>10</v>
      </c>
      <c r="I903">
        <v>10</v>
      </c>
      <c r="J903">
        <v>10</v>
      </c>
      <c r="K903" s="6">
        <v>100</v>
      </c>
      <c r="L903" s="6">
        <v>0</v>
      </c>
      <c r="M903" s="6">
        <v>100</v>
      </c>
      <c r="N903">
        <v>0</v>
      </c>
      <c r="O903" s="6">
        <v>0</v>
      </c>
      <c r="P903">
        <v>0</v>
      </c>
      <c r="Q903" s="8">
        <v>329</v>
      </c>
      <c r="R903" s="8">
        <v>329</v>
      </c>
      <c r="S903" s="10" t="s">
        <v>131</v>
      </c>
    </row>
    <row r="904" spans="1:19" hidden="1" x14ac:dyDescent="0.25">
      <c r="A904" t="s">
        <v>134</v>
      </c>
      <c r="B904" t="s">
        <v>79</v>
      </c>
      <c r="C904" t="s">
        <v>124</v>
      </c>
      <c r="D904" t="s">
        <v>531</v>
      </c>
      <c r="E904" t="s">
        <v>90</v>
      </c>
      <c r="F904" t="s">
        <v>94</v>
      </c>
      <c r="G904">
        <v>2</v>
      </c>
      <c r="H904">
        <v>10</v>
      </c>
      <c r="I904">
        <v>10</v>
      </c>
      <c r="J904">
        <v>10</v>
      </c>
      <c r="K904" s="6">
        <v>100</v>
      </c>
      <c r="L904" s="6">
        <v>0</v>
      </c>
      <c r="M904" s="6">
        <v>100</v>
      </c>
      <c r="N904">
        <v>0</v>
      </c>
      <c r="O904" s="6">
        <v>0</v>
      </c>
      <c r="P904">
        <v>0</v>
      </c>
      <c r="Q904" s="8">
        <v>329</v>
      </c>
      <c r="R904" s="8">
        <v>329</v>
      </c>
      <c r="S904" s="10" t="s">
        <v>131</v>
      </c>
    </row>
    <row r="905" spans="1:19" hidden="1" x14ac:dyDescent="0.25">
      <c r="A905" t="s">
        <v>134</v>
      </c>
      <c r="B905" t="s">
        <v>79</v>
      </c>
      <c r="C905" t="s">
        <v>124</v>
      </c>
      <c r="D905" t="s">
        <v>531</v>
      </c>
      <c r="E905" t="s">
        <v>90</v>
      </c>
      <c r="F905" t="s">
        <v>96</v>
      </c>
      <c r="G905">
        <v>6</v>
      </c>
      <c r="H905">
        <v>10</v>
      </c>
      <c r="I905">
        <v>10</v>
      </c>
      <c r="J905">
        <v>10</v>
      </c>
      <c r="K905" s="6">
        <v>100</v>
      </c>
      <c r="L905" s="6">
        <v>0</v>
      </c>
      <c r="M905" s="6">
        <v>100</v>
      </c>
      <c r="N905">
        <v>0</v>
      </c>
      <c r="O905" s="6">
        <v>0</v>
      </c>
      <c r="P905">
        <v>0</v>
      </c>
      <c r="Q905" s="8">
        <v>329</v>
      </c>
      <c r="R905" s="8">
        <v>329</v>
      </c>
      <c r="S905" s="10" t="s">
        <v>131</v>
      </c>
    </row>
    <row r="906" spans="1:19" hidden="1" x14ac:dyDescent="0.25">
      <c r="A906" t="s">
        <v>134</v>
      </c>
      <c r="B906" t="s">
        <v>79</v>
      </c>
      <c r="C906" t="s">
        <v>124</v>
      </c>
      <c r="D906" t="s">
        <v>531</v>
      </c>
      <c r="E906" t="s">
        <v>90</v>
      </c>
      <c r="F906" t="s">
        <v>6</v>
      </c>
      <c r="G906">
        <v>13</v>
      </c>
      <c r="H906">
        <v>10</v>
      </c>
      <c r="I906">
        <v>10</v>
      </c>
      <c r="J906">
        <v>10</v>
      </c>
      <c r="K906" s="6">
        <v>96.14</v>
      </c>
      <c r="L906" s="6">
        <v>-3.95</v>
      </c>
      <c r="M906" s="6">
        <v>96.14</v>
      </c>
      <c r="N906">
        <v>0</v>
      </c>
      <c r="O906" s="6">
        <v>0</v>
      </c>
      <c r="P906">
        <v>0</v>
      </c>
      <c r="Q906" s="8">
        <v>329</v>
      </c>
      <c r="R906" s="8">
        <v>316.29000000000002</v>
      </c>
      <c r="S906" s="10" t="s">
        <v>131</v>
      </c>
    </row>
    <row r="907" spans="1:19" hidden="1" x14ac:dyDescent="0.25">
      <c r="A907" t="s">
        <v>134</v>
      </c>
      <c r="B907" t="s">
        <v>79</v>
      </c>
      <c r="C907" t="s">
        <v>124</v>
      </c>
      <c r="D907" t="s">
        <v>532</v>
      </c>
      <c r="E907" t="s">
        <v>90</v>
      </c>
      <c r="F907" t="s">
        <v>90</v>
      </c>
      <c r="G907">
        <v>0</v>
      </c>
      <c r="H907">
        <v>10</v>
      </c>
      <c r="I907">
        <v>10</v>
      </c>
      <c r="J907">
        <v>10</v>
      </c>
      <c r="K907" s="6">
        <v>100</v>
      </c>
      <c r="L907" s="6">
        <v>0</v>
      </c>
      <c r="M907" s="6">
        <v>100</v>
      </c>
      <c r="N907">
        <v>0</v>
      </c>
      <c r="O907" s="6">
        <v>0</v>
      </c>
      <c r="P907">
        <v>0</v>
      </c>
      <c r="Q907" s="8">
        <v>327.78</v>
      </c>
      <c r="R907" s="8">
        <v>327.78</v>
      </c>
      <c r="S907" s="9" t="s">
        <v>584</v>
      </c>
    </row>
    <row r="908" spans="1:19" hidden="1" x14ac:dyDescent="0.25">
      <c r="A908" t="s">
        <v>134</v>
      </c>
      <c r="B908" t="s">
        <v>79</v>
      </c>
      <c r="C908" t="s">
        <v>124</v>
      </c>
      <c r="D908" t="s">
        <v>532</v>
      </c>
      <c r="E908" t="s">
        <v>90</v>
      </c>
      <c r="F908" t="s">
        <v>91</v>
      </c>
      <c r="G908">
        <v>1</v>
      </c>
      <c r="H908">
        <v>10</v>
      </c>
      <c r="I908">
        <v>8</v>
      </c>
      <c r="J908">
        <v>8</v>
      </c>
      <c r="K908" s="6">
        <v>100</v>
      </c>
      <c r="L908" s="6">
        <v>0</v>
      </c>
      <c r="M908" s="6">
        <v>97.72</v>
      </c>
      <c r="N908">
        <v>-2.2799999999999998</v>
      </c>
      <c r="O908" s="6">
        <v>20</v>
      </c>
      <c r="P908">
        <v>0</v>
      </c>
      <c r="Q908" s="8">
        <v>320.29000000000002</v>
      </c>
      <c r="R908" s="8">
        <v>320.29000000000002</v>
      </c>
      <c r="S908" s="9" t="s">
        <v>544</v>
      </c>
    </row>
    <row r="909" spans="1:19" hidden="1" x14ac:dyDescent="0.25">
      <c r="A909" t="s">
        <v>134</v>
      </c>
      <c r="B909" t="s">
        <v>79</v>
      </c>
      <c r="C909" t="s">
        <v>124</v>
      </c>
      <c r="D909" t="s">
        <v>532</v>
      </c>
      <c r="E909" t="s">
        <v>90</v>
      </c>
      <c r="F909" t="s">
        <v>94</v>
      </c>
      <c r="G909">
        <v>2</v>
      </c>
      <c r="H909">
        <v>10</v>
      </c>
      <c r="I909">
        <v>8</v>
      </c>
      <c r="J909">
        <v>8</v>
      </c>
      <c r="K909" s="6">
        <v>100</v>
      </c>
      <c r="L909" s="6">
        <v>0</v>
      </c>
      <c r="M909" s="6">
        <v>97.72</v>
      </c>
      <c r="N909">
        <v>-2.2799999999999998</v>
      </c>
      <c r="O909" s="6">
        <v>20</v>
      </c>
      <c r="P909">
        <v>0</v>
      </c>
      <c r="Q909" s="8">
        <v>320.29000000000002</v>
      </c>
      <c r="R909" s="8">
        <v>320.29000000000002</v>
      </c>
      <c r="S909" s="9" t="s">
        <v>544</v>
      </c>
    </row>
    <row r="910" spans="1:19" hidden="1" x14ac:dyDescent="0.25">
      <c r="A910" t="s">
        <v>134</v>
      </c>
      <c r="B910" t="s">
        <v>79</v>
      </c>
      <c r="C910" t="s">
        <v>124</v>
      </c>
      <c r="D910" t="s">
        <v>532</v>
      </c>
      <c r="E910" t="s">
        <v>90</v>
      </c>
      <c r="F910" t="s">
        <v>96</v>
      </c>
      <c r="G910">
        <v>6</v>
      </c>
      <c r="H910">
        <v>10</v>
      </c>
      <c r="I910">
        <v>8</v>
      </c>
      <c r="J910">
        <v>8</v>
      </c>
      <c r="K910" s="6">
        <v>100</v>
      </c>
      <c r="L910" s="6">
        <v>0</v>
      </c>
      <c r="M910" s="6">
        <v>97.72</v>
      </c>
      <c r="N910">
        <v>-2.2799999999999998</v>
      </c>
      <c r="O910" s="6">
        <v>20</v>
      </c>
      <c r="P910">
        <v>0</v>
      </c>
      <c r="Q910" s="8">
        <v>320.29000000000002</v>
      </c>
      <c r="R910" s="8">
        <v>320.29000000000002</v>
      </c>
      <c r="S910" s="9" t="s">
        <v>544</v>
      </c>
    </row>
    <row r="911" spans="1:19" hidden="1" x14ac:dyDescent="0.25">
      <c r="A911" t="s">
        <v>134</v>
      </c>
      <c r="B911" t="s">
        <v>79</v>
      </c>
      <c r="C911" t="s">
        <v>124</v>
      </c>
      <c r="D911" t="s">
        <v>532</v>
      </c>
      <c r="E911" t="s">
        <v>90</v>
      </c>
      <c r="F911" t="s">
        <v>6</v>
      </c>
      <c r="G911">
        <v>13</v>
      </c>
      <c r="H911">
        <v>10</v>
      </c>
      <c r="I911">
        <v>8</v>
      </c>
      <c r="J911">
        <v>8</v>
      </c>
      <c r="K911" s="6">
        <v>100.17</v>
      </c>
      <c r="L911" s="6">
        <v>0</v>
      </c>
      <c r="M911" s="6">
        <v>97.89</v>
      </c>
      <c r="N911">
        <v>-2.2799999999999998</v>
      </c>
      <c r="O911" s="6">
        <v>20</v>
      </c>
      <c r="P911">
        <v>0</v>
      </c>
      <c r="Q911" s="8">
        <v>320.29000000000002</v>
      </c>
      <c r="R911" s="8">
        <v>320.85000000000002</v>
      </c>
      <c r="S911" s="9" t="s">
        <v>544</v>
      </c>
    </row>
    <row r="912" spans="1:19" hidden="1" x14ac:dyDescent="0.25">
      <c r="A912" t="s">
        <v>134</v>
      </c>
      <c r="B912" t="s">
        <v>79</v>
      </c>
      <c r="C912" t="s">
        <v>124</v>
      </c>
      <c r="D912" t="s">
        <v>533</v>
      </c>
      <c r="E912" t="s">
        <v>94</v>
      </c>
      <c r="F912" t="s">
        <v>94</v>
      </c>
      <c r="G912">
        <v>0</v>
      </c>
      <c r="H912">
        <v>16</v>
      </c>
      <c r="I912">
        <v>16</v>
      </c>
      <c r="J912">
        <v>16</v>
      </c>
      <c r="K912" s="6">
        <v>100</v>
      </c>
      <c r="L912" s="6">
        <v>0</v>
      </c>
      <c r="M912" s="6">
        <v>100</v>
      </c>
      <c r="N912">
        <v>0</v>
      </c>
      <c r="O912" s="6">
        <v>0</v>
      </c>
      <c r="P912">
        <v>0</v>
      </c>
      <c r="Q912" s="8">
        <v>285.20999999999998</v>
      </c>
      <c r="R912" s="8">
        <v>285.20999999999998</v>
      </c>
      <c r="S912" s="9" t="s">
        <v>606</v>
      </c>
    </row>
    <row r="913" spans="1:19" hidden="1" x14ac:dyDescent="0.25">
      <c r="A913" t="s">
        <v>134</v>
      </c>
      <c r="B913" t="s">
        <v>79</v>
      </c>
      <c r="C913" t="s">
        <v>124</v>
      </c>
      <c r="D913" t="s">
        <v>533</v>
      </c>
      <c r="E913" t="s">
        <v>94</v>
      </c>
      <c r="F913" t="s">
        <v>96</v>
      </c>
      <c r="G913">
        <v>4</v>
      </c>
      <c r="H913">
        <v>16</v>
      </c>
      <c r="I913">
        <v>14</v>
      </c>
      <c r="J913">
        <v>14</v>
      </c>
      <c r="K913" s="6">
        <v>100.18</v>
      </c>
      <c r="L913" s="6">
        <v>0</v>
      </c>
      <c r="M913" s="6">
        <v>100.2</v>
      </c>
      <c r="N913">
        <v>0.02</v>
      </c>
      <c r="O913" s="6">
        <v>12.5</v>
      </c>
      <c r="P913">
        <v>0</v>
      </c>
      <c r="Q913" s="8">
        <v>285.26</v>
      </c>
      <c r="R913" s="8">
        <v>285.77</v>
      </c>
      <c r="S913" s="10" t="s">
        <v>607</v>
      </c>
    </row>
    <row r="914" spans="1:19" hidden="1" x14ac:dyDescent="0.25">
      <c r="A914" t="s">
        <v>134</v>
      </c>
      <c r="B914" t="s">
        <v>79</v>
      </c>
      <c r="C914" t="s">
        <v>124</v>
      </c>
      <c r="D914" t="s">
        <v>533</v>
      </c>
      <c r="E914" t="s">
        <v>94</v>
      </c>
      <c r="F914" t="s">
        <v>6</v>
      </c>
      <c r="G914">
        <v>11</v>
      </c>
      <c r="H914">
        <v>16</v>
      </c>
      <c r="I914">
        <v>16</v>
      </c>
      <c r="J914">
        <v>14</v>
      </c>
      <c r="K914" s="6">
        <v>100.18</v>
      </c>
      <c r="L914" s="6">
        <v>0</v>
      </c>
      <c r="M914" s="6">
        <v>101.78</v>
      </c>
      <c r="N914">
        <v>1.6</v>
      </c>
      <c r="O914" s="6">
        <v>12.5</v>
      </c>
      <c r="P914">
        <v>2</v>
      </c>
      <c r="Q914" s="8">
        <v>285.26</v>
      </c>
      <c r="R914" s="8">
        <v>285.77</v>
      </c>
      <c r="S914" s="10" t="s">
        <v>607</v>
      </c>
    </row>
    <row r="915" spans="1:19" hidden="1" x14ac:dyDescent="0.25">
      <c r="A915" t="s">
        <v>134</v>
      </c>
      <c r="B915" t="s">
        <v>79</v>
      </c>
      <c r="C915" t="s">
        <v>124</v>
      </c>
      <c r="D915" t="s">
        <v>545</v>
      </c>
      <c r="E915" t="s">
        <v>94</v>
      </c>
      <c r="F915" t="s">
        <v>94</v>
      </c>
      <c r="G915">
        <v>0</v>
      </c>
      <c r="H915">
        <v>8</v>
      </c>
      <c r="I915">
        <v>8</v>
      </c>
      <c r="J915">
        <v>8</v>
      </c>
      <c r="K915" s="6">
        <v>100</v>
      </c>
      <c r="L915" s="6">
        <v>0</v>
      </c>
      <c r="M915" s="6">
        <v>100</v>
      </c>
      <c r="N915">
        <v>0</v>
      </c>
      <c r="O915" s="6">
        <v>0</v>
      </c>
      <c r="P915">
        <v>0</v>
      </c>
      <c r="Q915" s="8">
        <v>267</v>
      </c>
      <c r="R915" s="8">
        <v>267</v>
      </c>
      <c r="S915" s="9" t="s">
        <v>543</v>
      </c>
    </row>
    <row r="916" spans="1:19" hidden="1" x14ac:dyDescent="0.25">
      <c r="A916" t="s">
        <v>134</v>
      </c>
      <c r="B916" t="s">
        <v>79</v>
      </c>
      <c r="C916" t="s">
        <v>124</v>
      </c>
      <c r="D916" t="s">
        <v>545</v>
      </c>
      <c r="E916" t="s">
        <v>94</v>
      </c>
      <c r="F916" t="s">
        <v>96</v>
      </c>
      <c r="G916">
        <v>4</v>
      </c>
      <c r="H916">
        <v>8</v>
      </c>
      <c r="I916">
        <v>8</v>
      </c>
      <c r="J916">
        <v>8</v>
      </c>
      <c r="K916" s="6">
        <v>99.67</v>
      </c>
      <c r="L916" s="6">
        <v>0</v>
      </c>
      <c r="M916" s="6">
        <v>99.67</v>
      </c>
      <c r="N916">
        <v>0</v>
      </c>
      <c r="O916" s="6">
        <v>0</v>
      </c>
      <c r="P916">
        <v>0</v>
      </c>
      <c r="Q916" s="8">
        <v>267</v>
      </c>
      <c r="R916" s="8">
        <v>266.11</v>
      </c>
      <c r="S916" s="9" t="s">
        <v>544</v>
      </c>
    </row>
    <row r="917" spans="1:19" hidden="1" x14ac:dyDescent="0.25">
      <c r="A917" t="s">
        <v>134</v>
      </c>
      <c r="B917" t="s">
        <v>79</v>
      </c>
      <c r="C917" t="s">
        <v>124</v>
      </c>
      <c r="D917" t="s">
        <v>545</v>
      </c>
      <c r="E917" t="s">
        <v>94</v>
      </c>
      <c r="F917" t="s">
        <v>6</v>
      </c>
      <c r="G917">
        <v>11</v>
      </c>
      <c r="H917">
        <v>8</v>
      </c>
      <c r="I917">
        <v>8</v>
      </c>
      <c r="J917">
        <v>8</v>
      </c>
      <c r="K917" s="6">
        <v>98.66</v>
      </c>
      <c r="L917" s="6">
        <v>0</v>
      </c>
      <c r="M917" s="6">
        <v>98.66</v>
      </c>
      <c r="N917">
        <v>0</v>
      </c>
      <c r="O917" s="6">
        <v>0</v>
      </c>
      <c r="P917">
        <v>0</v>
      </c>
      <c r="Q917" s="8">
        <v>267</v>
      </c>
      <c r="R917" s="8">
        <v>263.43</v>
      </c>
      <c r="S917" s="9" t="s">
        <v>544</v>
      </c>
    </row>
    <row r="918" spans="1:19" hidden="1" x14ac:dyDescent="0.25">
      <c r="A918" t="s">
        <v>134</v>
      </c>
      <c r="B918" t="s">
        <v>79</v>
      </c>
      <c r="C918" t="s">
        <v>124</v>
      </c>
      <c r="D918" t="s">
        <v>580</v>
      </c>
      <c r="E918" t="s">
        <v>94</v>
      </c>
      <c r="F918" t="s">
        <v>94</v>
      </c>
      <c r="G918">
        <v>0</v>
      </c>
      <c r="H918">
        <v>8</v>
      </c>
      <c r="I918">
        <v>8</v>
      </c>
      <c r="J918">
        <v>8</v>
      </c>
      <c r="K918" s="6">
        <v>100</v>
      </c>
      <c r="L918" s="6">
        <v>0</v>
      </c>
      <c r="M918" s="6">
        <v>100</v>
      </c>
      <c r="N918">
        <v>0</v>
      </c>
      <c r="O918" s="6">
        <v>0</v>
      </c>
      <c r="P918">
        <v>0</v>
      </c>
      <c r="Q918" s="8">
        <v>264.66000000000003</v>
      </c>
      <c r="R918" s="8">
        <v>264.66000000000003</v>
      </c>
      <c r="S918" s="9" t="s">
        <v>543</v>
      </c>
    </row>
    <row r="919" spans="1:19" hidden="1" x14ac:dyDescent="0.25">
      <c r="A919" t="s">
        <v>134</v>
      </c>
      <c r="B919" t="s">
        <v>79</v>
      </c>
      <c r="C919" t="s">
        <v>124</v>
      </c>
      <c r="D919" t="s">
        <v>580</v>
      </c>
      <c r="E919" t="s">
        <v>94</v>
      </c>
      <c r="F919" t="s">
        <v>96</v>
      </c>
      <c r="G919">
        <v>4</v>
      </c>
      <c r="H919">
        <v>8</v>
      </c>
      <c r="I919">
        <v>8</v>
      </c>
      <c r="J919">
        <v>8</v>
      </c>
      <c r="K919" s="6">
        <v>100</v>
      </c>
      <c r="L919" s="6">
        <v>0</v>
      </c>
      <c r="M919" s="6">
        <v>100</v>
      </c>
      <c r="N919">
        <v>0</v>
      </c>
      <c r="O919" s="6">
        <v>0</v>
      </c>
      <c r="P919">
        <v>0</v>
      </c>
      <c r="Q919" s="8">
        <v>264.66000000000003</v>
      </c>
      <c r="R919" s="8">
        <v>264.66000000000003</v>
      </c>
      <c r="S919" s="9" t="s">
        <v>544</v>
      </c>
    </row>
    <row r="920" spans="1:19" hidden="1" x14ac:dyDescent="0.25">
      <c r="A920" t="s">
        <v>134</v>
      </c>
      <c r="B920" t="s">
        <v>79</v>
      </c>
      <c r="C920" t="s">
        <v>124</v>
      </c>
      <c r="D920" t="s">
        <v>580</v>
      </c>
      <c r="E920" t="s">
        <v>94</v>
      </c>
      <c r="F920" t="s">
        <v>6</v>
      </c>
      <c r="G920">
        <v>11</v>
      </c>
      <c r="H920">
        <v>8</v>
      </c>
      <c r="I920">
        <v>8</v>
      </c>
      <c r="J920">
        <v>8</v>
      </c>
      <c r="K920" s="6">
        <v>101.69</v>
      </c>
      <c r="L920" s="6">
        <v>1.34</v>
      </c>
      <c r="M920" s="6">
        <v>101.69</v>
      </c>
      <c r="N920">
        <v>0</v>
      </c>
      <c r="O920" s="6">
        <v>0</v>
      </c>
      <c r="P920">
        <v>0</v>
      </c>
      <c r="Q920" s="8">
        <v>264.66000000000003</v>
      </c>
      <c r="R920" s="8">
        <v>269.12</v>
      </c>
      <c r="S920" s="9" t="s">
        <v>544</v>
      </c>
    </row>
    <row r="921" spans="1:19" hidden="1" x14ac:dyDescent="0.25">
      <c r="A921" t="s">
        <v>134</v>
      </c>
      <c r="B921" t="s">
        <v>79</v>
      </c>
      <c r="C921" t="s">
        <v>124</v>
      </c>
      <c r="D921" t="s">
        <v>582</v>
      </c>
      <c r="E921" t="s">
        <v>94</v>
      </c>
      <c r="F921" t="s">
        <v>94</v>
      </c>
      <c r="G921">
        <v>0</v>
      </c>
      <c r="H921">
        <v>30</v>
      </c>
      <c r="I921">
        <v>30</v>
      </c>
      <c r="J921">
        <v>30</v>
      </c>
      <c r="K921" s="6">
        <v>100</v>
      </c>
      <c r="L921" s="6">
        <v>0</v>
      </c>
      <c r="M921" s="6">
        <v>100</v>
      </c>
      <c r="N921">
        <v>0</v>
      </c>
      <c r="O921" s="6">
        <v>0</v>
      </c>
      <c r="P921">
        <v>0</v>
      </c>
      <c r="Q921" s="8">
        <v>295.11</v>
      </c>
      <c r="R921" s="8">
        <v>295.11</v>
      </c>
      <c r="S921" s="9" t="s">
        <v>563</v>
      </c>
    </row>
    <row r="922" spans="1:19" hidden="1" x14ac:dyDescent="0.25">
      <c r="A922" t="s">
        <v>134</v>
      </c>
      <c r="B922" t="s">
        <v>79</v>
      </c>
      <c r="C922" t="s">
        <v>124</v>
      </c>
      <c r="D922" t="s">
        <v>582</v>
      </c>
      <c r="E922" t="s">
        <v>94</v>
      </c>
      <c r="F922" t="s">
        <v>96</v>
      </c>
      <c r="G922">
        <v>4</v>
      </c>
      <c r="H922">
        <v>30</v>
      </c>
      <c r="I922">
        <v>26</v>
      </c>
      <c r="J922">
        <v>26</v>
      </c>
      <c r="K922" s="6">
        <v>100</v>
      </c>
      <c r="L922" s="6">
        <v>0</v>
      </c>
      <c r="M922" s="6">
        <v>97.82</v>
      </c>
      <c r="N922">
        <v>-2.1800000000000002</v>
      </c>
      <c r="O922" s="6">
        <v>13.3</v>
      </c>
      <c r="P922">
        <v>0</v>
      </c>
      <c r="Q922" s="8">
        <v>288.67</v>
      </c>
      <c r="R922" s="8">
        <v>288.67</v>
      </c>
      <c r="S922" s="10" t="s">
        <v>608</v>
      </c>
    </row>
    <row r="923" spans="1:19" hidden="1" x14ac:dyDescent="0.25">
      <c r="A923" t="s">
        <v>134</v>
      </c>
      <c r="B923" t="s">
        <v>79</v>
      </c>
      <c r="C923" t="s">
        <v>124</v>
      </c>
      <c r="D923" t="s">
        <v>582</v>
      </c>
      <c r="E923" t="s">
        <v>94</v>
      </c>
      <c r="F923" t="s">
        <v>6</v>
      </c>
      <c r="G923">
        <v>11</v>
      </c>
      <c r="H923">
        <v>30</v>
      </c>
      <c r="I923">
        <v>16</v>
      </c>
      <c r="J923">
        <v>16</v>
      </c>
      <c r="K923" s="6">
        <v>102.8</v>
      </c>
      <c r="L923" s="6">
        <v>3.19</v>
      </c>
      <c r="M923" s="6">
        <v>95.4</v>
      </c>
      <c r="N923">
        <v>-7.4</v>
      </c>
      <c r="O923" s="6">
        <v>46.7</v>
      </c>
      <c r="P923">
        <v>0</v>
      </c>
      <c r="Q923" s="8">
        <v>273.86</v>
      </c>
      <c r="R923" s="8">
        <v>281.52999999999997</v>
      </c>
      <c r="S923" s="10" t="s">
        <v>609</v>
      </c>
    </row>
    <row r="924" spans="1:19" hidden="1" x14ac:dyDescent="0.25">
      <c r="A924" t="s">
        <v>134</v>
      </c>
      <c r="B924" t="s">
        <v>79</v>
      </c>
      <c r="C924" t="s">
        <v>124</v>
      </c>
      <c r="D924" t="s">
        <v>583</v>
      </c>
      <c r="E924" t="s">
        <v>94</v>
      </c>
      <c r="F924" t="s">
        <v>94</v>
      </c>
      <c r="G924">
        <v>0</v>
      </c>
      <c r="H924">
        <v>32</v>
      </c>
      <c r="I924">
        <v>32</v>
      </c>
      <c r="J924">
        <v>32</v>
      </c>
      <c r="K924" s="6">
        <v>100</v>
      </c>
      <c r="L924" s="6">
        <v>0</v>
      </c>
      <c r="M924" s="6">
        <v>100</v>
      </c>
      <c r="N924">
        <v>0</v>
      </c>
      <c r="O924" s="6">
        <v>0</v>
      </c>
      <c r="P924">
        <v>0</v>
      </c>
      <c r="Q924" s="8">
        <v>374.55</v>
      </c>
      <c r="R924" s="8">
        <v>374.55</v>
      </c>
      <c r="S924" s="9" t="s">
        <v>567</v>
      </c>
    </row>
    <row r="925" spans="1:19" hidden="1" x14ac:dyDescent="0.25">
      <c r="A925" t="s">
        <v>134</v>
      </c>
      <c r="B925" t="s">
        <v>79</v>
      </c>
      <c r="C925" t="s">
        <v>124</v>
      </c>
      <c r="D925" t="s">
        <v>583</v>
      </c>
      <c r="E925" t="s">
        <v>94</v>
      </c>
      <c r="F925" t="s">
        <v>96</v>
      </c>
      <c r="G925">
        <v>4</v>
      </c>
      <c r="H925">
        <v>32</v>
      </c>
      <c r="I925">
        <v>24</v>
      </c>
      <c r="J925">
        <v>24</v>
      </c>
      <c r="K925" s="6">
        <v>100</v>
      </c>
      <c r="L925" s="6">
        <v>0</v>
      </c>
      <c r="M925" s="6">
        <v>96.27</v>
      </c>
      <c r="N925">
        <v>-3.73</v>
      </c>
      <c r="O925" s="6">
        <v>25</v>
      </c>
      <c r="P925">
        <v>0</v>
      </c>
      <c r="Q925" s="8">
        <v>360.57</v>
      </c>
      <c r="R925" s="8">
        <v>360.57</v>
      </c>
      <c r="S925" s="10" t="s">
        <v>602</v>
      </c>
    </row>
    <row r="926" spans="1:19" hidden="1" x14ac:dyDescent="0.25">
      <c r="A926" t="s">
        <v>134</v>
      </c>
      <c r="B926" t="s">
        <v>79</v>
      </c>
      <c r="C926" t="s">
        <v>124</v>
      </c>
      <c r="D926" t="s">
        <v>583</v>
      </c>
      <c r="E926" t="s">
        <v>94</v>
      </c>
      <c r="F926" t="s">
        <v>6</v>
      </c>
      <c r="G926">
        <v>11</v>
      </c>
      <c r="H926">
        <v>32</v>
      </c>
      <c r="I926">
        <v>8</v>
      </c>
      <c r="J926">
        <v>8</v>
      </c>
      <c r="K926" s="6">
        <v>102.59</v>
      </c>
      <c r="L926" s="6">
        <v>2.41</v>
      </c>
      <c r="M926" s="6">
        <v>89.13</v>
      </c>
      <c r="N926">
        <v>-13.46</v>
      </c>
      <c r="O926" s="6">
        <v>75</v>
      </c>
      <c r="P926">
        <v>0</v>
      </c>
      <c r="Q926" s="8">
        <v>325.39999999999998</v>
      </c>
      <c r="R926" s="8">
        <v>333.83</v>
      </c>
      <c r="S926" s="9" t="s">
        <v>544</v>
      </c>
    </row>
    <row r="927" spans="1:19" hidden="1" x14ac:dyDescent="0.25">
      <c r="A927" t="s">
        <v>134</v>
      </c>
      <c r="B927" t="s">
        <v>79</v>
      </c>
      <c r="C927" t="s">
        <v>124</v>
      </c>
      <c r="D927" t="s">
        <v>585</v>
      </c>
      <c r="E927" t="s">
        <v>94</v>
      </c>
      <c r="F927" t="s">
        <v>94</v>
      </c>
      <c r="G927">
        <v>0</v>
      </c>
      <c r="H927">
        <v>38</v>
      </c>
      <c r="I927">
        <v>38</v>
      </c>
      <c r="J927">
        <v>38</v>
      </c>
      <c r="K927" s="6">
        <v>100</v>
      </c>
      <c r="L927" s="6">
        <v>0</v>
      </c>
      <c r="M927" s="6">
        <v>100</v>
      </c>
      <c r="N927">
        <v>0</v>
      </c>
      <c r="O927" s="6">
        <v>0</v>
      </c>
      <c r="P927">
        <v>0</v>
      </c>
      <c r="Q927" s="8">
        <v>391.79</v>
      </c>
      <c r="R927" s="8">
        <v>391.79</v>
      </c>
      <c r="S927" s="9" t="s">
        <v>610</v>
      </c>
    </row>
    <row r="928" spans="1:19" hidden="1" x14ac:dyDescent="0.25">
      <c r="A928" t="s">
        <v>134</v>
      </c>
      <c r="B928" t="s">
        <v>79</v>
      </c>
      <c r="C928" t="s">
        <v>124</v>
      </c>
      <c r="D928" t="s">
        <v>585</v>
      </c>
      <c r="E928" t="s">
        <v>94</v>
      </c>
      <c r="F928" t="s">
        <v>96</v>
      </c>
      <c r="G928">
        <v>4</v>
      </c>
      <c r="H928">
        <v>38</v>
      </c>
      <c r="I928">
        <v>28</v>
      </c>
      <c r="J928">
        <v>28</v>
      </c>
      <c r="K928" s="6">
        <v>100</v>
      </c>
      <c r="L928" s="6">
        <v>0</v>
      </c>
      <c r="M928" s="6">
        <v>95</v>
      </c>
      <c r="N928">
        <v>-5</v>
      </c>
      <c r="O928" s="6">
        <v>26.3</v>
      </c>
      <c r="P928">
        <v>0</v>
      </c>
      <c r="Q928" s="8">
        <v>372.2</v>
      </c>
      <c r="R928" s="8">
        <v>372.2</v>
      </c>
      <c r="S928" s="10" t="s">
        <v>483</v>
      </c>
    </row>
    <row r="929" spans="1:19" hidden="1" x14ac:dyDescent="0.25">
      <c r="A929" t="s">
        <v>134</v>
      </c>
      <c r="B929" t="s">
        <v>79</v>
      </c>
      <c r="C929" t="s">
        <v>124</v>
      </c>
      <c r="D929" t="s">
        <v>585</v>
      </c>
      <c r="E929" t="s">
        <v>94</v>
      </c>
      <c r="F929" t="s">
        <v>6</v>
      </c>
      <c r="G929">
        <v>11</v>
      </c>
      <c r="H929">
        <v>38</v>
      </c>
      <c r="I929">
        <v>8</v>
      </c>
      <c r="J929">
        <v>8</v>
      </c>
      <c r="K929" s="6">
        <v>102.7</v>
      </c>
      <c r="L929" s="6">
        <v>2.68</v>
      </c>
      <c r="M929" s="6">
        <v>86.56</v>
      </c>
      <c r="N929">
        <v>-16.14</v>
      </c>
      <c r="O929" s="6">
        <v>78.900000000000006</v>
      </c>
      <c r="P929">
        <v>0</v>
      </c>
      <c r="Q929" s="8">
        <v>330.21</v>
      </c>
      <c r="R929" s="8">
        <v>339.14</v>
      </c>
      <c r="S929" s="9" t="s">
        <v>544</v>
      </c>
    </row>
    <row r="930" spans="1:19" hidden="1" x14ac:dyDescent="0.25">
      <c r="A930" t="s">
        <v>134</v>
      </c>
      <c r="B930" t="s">
        <v>79</v>
      </c>
      <c r="C930" t="s">
        <v>124</v>
      </c>
      <c r="D930" t="s">
        <v>588</v>
      </c>
      <c r="E930" t="s">
        <v>94</v>
      </c>
      <c r="F930" t="s">
        <v>94</v>
      </c>
      <c r="G930">
        <v>0</v>
      </c>
      <c r="H930">
        <v>32</v>
      </c>
      <c r="I930">
        <v>32</v>
      </c>
      <c r="J930">
        <v>32</v>
      </c>
      <c r="K930" s="6">
        <v>100</v>
      </c>
      <c r="L930" s="6">
        <v>0</v>
      </c>
      <c r="M930" s="6">
        <v>100</v>
      </c>
      <c r="N930">
        <v>0</v>
      </c>
      <c r="O930" s="6">
        <v>0</v>
      </c>
      <c r="P930">
        <v>0</v>
      </c>
      <c r="Q930" s="8">
        <v>353.36</v>
      </c>
      <c r="R930" s="8">
        <v>353.36</v>
      </c>
      <c r="S930" s="9" t="s">
        <v>567</v>
      </c>
    </row>
    <row r="931" spans="1:19" hidden="1" x14ac:dyDescent="0.25">
      <c r="A931" t="s">
        <v>134</v>
      </c>
      <c r="B931" t="s">
        <v>79</v>
      </c>
      <c r="C931" t="s">
        <v>124</v>
      </c>
      <c r="D931" t="s">
        <v>588</v>
      </c>
      <c r="E931" t="s">
        <v>94</v>
      </c>
      <c r="F931" t="s">
        <v>96</v>
      </c>
      <c r="G931">
        <v>4</v>
      </c>
      <c r="H931">
        <v>32</v>
      </c>
      <c r="I931">
        <v>26</v>
      </c>
      <c r="J931">
        <v>26</v>
      </c>
      <c r="K931" s="6">
        <v>100</v>
      </c>
      <c r="L931" s="6">
        <v>0</v>
      </c>
      <c r="M931" s="6">
        <v>95.7</v>
      </c>
      <c r="N931">
        <v>-4.3</v>
      </c>
      <c r="O931" s="6">
        <v>18.8</v>
      </c>
      <c r="P931">
        <v>0</v>
      </c>
      <c r="Q931" s="8">
        <v>338.16</v>
      </c>
      <c r="R931" s="8">
        <v>338.16</v>
      </c>
      <c r="S931" s="10" t="s">
        <v>608</v>
      </c>
    </row>
    <row r="932" spans="1:19" hidden="1" x14ac:dyDescent="0.25">
      <c r="A932" t="s">
        <v>134</v>
      </c>
      <c r="B932" t="s">
        <v>79</v>
      </c>
      <c r="C932" t="s">
        <v>124</v>
      </c>
      <c r="D932" t="s">
        <v>588</v>
      </c>
      <c r="E932" t="s">
        <v>94</v>
      </c>
      <c r="F932" t="s">
        <v>6</v>
      </c>
      <c r="G932">
        <v>11</v>
      </c>
      <c r="H932">
        <v>32</v>
      </c>
      <c r="I932">
        <v>8</v>
      </c>
      <c r="J932">
        <v>8</v>
      </c>
      <c r="K932" s="6">
        <v>102.69</v>
      </c>
      <c r="L932" s="6">
        <v>2.59</v>
      </c>
      <c r="M932" s="6">
        <v>90.75</v>
      </c>
      <c r="N932">
        <v>-11.94</v>
      </c>
      <c r="O932" s="6">
        <v>75</v>
      </c>
      <c r="P932">
        <v>0</v>
      </c>
      <c r="Q932" s="8">
        <v>312.27999999999997</v>
      </c>
      <c r="R932" s="8">
        <v>320.66000000000003</v>
      </c>
      <c r="S932" s="9" t="s">
        <v>544</v>
      </c>
    </row>
    <row r="933" spans="1:19" hidden="1" x14ac:dyDescent="0.25">
      <c r="A933" t="s">
        <v>134</v>
      </c>
      <c r="B933" t="s">
        <v>79</v>
      </c>
      <c r="C933" t="s">
        <v>124</v>
      </c>
      <c r="D933" t="s">
        <v>589</v>
      </c>
      <c r="E933" t="s">
        <v>94</v>
      </c>
      <c r="F933" t="s">
        <v>94</v>
      </c>
      <c r="G933">
        <v>0</v>
      </c>
      <c r="H933">
        <v>24</v>
      </c>
      <c r="I933">
        <v>24</v>
      </c>
      <c r="J933">
        <v>24</v>
      </c>
      <c r="K933" s="6">
        <v>100</v>
      </c>
      <c r="L933" s="6">
        <v>0</v>
      </c>
      <c r="M933" s="6">
        <v>100</v>
      </c>
      <c r="N933">
        <v>0</v>
      </c>
      <c r="O933" s="6">
        <v>0</v>
      </c>
      <c r="P933">
        <v>0</v>
      </c>
      <c r="Q933" s="8">
        <v>319.27999999999997</v>
      </c>
      <c r="R933" s="8">
        <v>319.27999999999997</v>
      </c>
      <c r="S933" s="9" t="s">
        <v>601</v>
      </c>
    </row>
    <row r="934" spans="1:19" hidden="1" x14ac:dyDescent="0.25">
      <c r="A934" t="s">
        <v>134</v>
      </c>
      <c r="B934" t="s">
        <v>79</v>
      </c>
      <c r="C934" t="s">
        <v>124</v>
      </c>
      <c r="D934" t="s">
        <v>589</v>
      </c>
      <c r="E934" t="s">
        <v>94</v>
      </c>
      <c r="F934" t="s">
        <v>96</v>
      </c>
      <c r="G934">
        <v>4</v>
      </c>
      <c r="H934">
        <v>24</v>
      </c>
      <c r="I934">
        <v>22</v>
      </c>
      <c r="J934">
        <v>22</v>
      </c>
      <c r="K934" s="6">
        <v>100</v>
      </c>
      <c r="L934" s="6">
        <v>0</v>
      </c>
      <c r="M934" s="6">
        <v>98.2</v>
      </c>
      <c r="N934">
        <v>-1.8</v>
      </c>
      <c r="O934" s="6">
        <v>8.3000000000000007</v>
      </c>
      <c r="P934">
        <v>0</v>
      </c>
      <c r="Q934" s="8">
        <v>313.55</v>
      </c>
      <c r="R934" s="8">
        <v>313.55</v>
      </c>
      <c r="S934" s="10" t="s">
        <v>485</v>
      </c>
    </row>
    <row r="935" spans="1:19" hidden="1" x14ac:dyDescent="0.25">
      <c r="A935" t="s">
        <v>134</v>
      </c>
      <c r="B935" t="s">
        <v>79</v>
      </c>
      <c r="C935" t="s">
        <v>124</v>
      </c>
      <c r="D935" t="s">
        <v>589</v>
      </c>
      <c r="E935" t="s">
        <v>94</v>
      </c>
      <c r="F935" t="s">
        <v>6</v>
      </c>
      <c r="G935">
        <v>11</v>
      </c>
      <c r="H935">
        <v>24</v>
      </c>
      <c r="I935">
        <v>10</v>
      </c>
      <c r="J935">
        <v>10</v>
      </c>
      <c r="K935" s="6">
        <v>102.53</v>
      </c>
      <c r="L935" s="6">
        <v>2.57</v>
      </c>
      <c r="M935" s="6">
        <v>103.39</v>
      </c>
      <c r="N935">
        <v>0.86</v>
      </c>
      <c r="O935" s="6">
        <v>58.3</v>
      </c>
      <c r="P935">
        <v>0</v>
      </c>
      <c r="Q935" s="8">
        <v>321.97000000000003</v>
      </c>
      <c r="R935" s="8">
        <v>330.11</v>
      </c>
      <c r="S935" s="10" t="s">
        <v>131</v>
      </c>
    </row>
    <row r="936" spans="1:19" hidden="1" x14ac:dyDescent="0.25">
      <c r="A936" t="s">
        <v>134</v>
      </c>
      <c r="B936" t="s">
        <v>79</v>
      </c>
      <c r="C936" t="s">
        <v>124</v>
      </c>
      <c r="D936" t="s">
        <v>590</v>
      </c>
      <c r="E936" t="s">
        <v>94</v>
      </c>
      <c r="F936" t="s">
        <v>94</v>
      </c>
      <c r="G936">
        <v>0</v>
      </c>
      <c r="H936">
        <v>4</v>
      </c>
      <c r="I936">
        <v>4</v>
      </c>
      <c r="J936">
        <v>4</v>
      </c>
      <c r="K936" s="6">
        <v>100</v>
      </c>
      <c r="L936" s="6">
        <v>0</v>
      </c>
      <c r="M936" s="6">
        <v>100</v>
      </c>
      <c r="N936">
        <v>0</v>
      </c>
      <c r="O936" s="6">
        <v>0</v>
      </c>
      <c r="P936">
        <v>0</v>
      </c>
      <c r="Q936" s="8">
        <v>278.07</v>
      </c>
      <c r="R936" s="8">
        <v>278.07</v>
      </c>
      <c r="S936" s="9" t="s">
        <v>605</v>
      </c>
    </row>
    <row r="937" spans="1:19" hidden="1" x14ac:dyDescent="0.25">
      <c r="A937" t="s">
        <v>134</v>
      </c>
      <c r="B937" t="s">
        <v>79</v>
      </c>
      <c r="C937" t="s">
        <v>124</v>
      </c>
      <c r="D937" t="s">
        <v>590</v>
      </c>
      <c r="E937" t="s">
        <v>94</v>
      </c>
      <c r="F937" t="s">
        <v>96</v>
      </c>
      <c r="G937">
        <v>4</v>
      </c>
      <c r="H937">
        <v>4</v>
      </c>
      <c r="I937">
        <v>4</v>
      </c>
      <c r="J937">
        <v>4</v>
      </c>
      <c r="K937" s="6">
        <v>100</v>
      </c>
      <c r="L937" s="6">
        <v>0</v>
      </c>
      <c r="M937" s="6">
        <v>100</v>
      </c>
      <c r="N937">
        <v>0</v>
      </c>
      <c r="O937" s="6">
        <v>0</v>
      </c>
      <c r="P937">
        <v>0</v>
      </c>
      <c r="Q937" s="8">
        <v>278.07</v>
      </c>
      <c r="R937" s="8">
        <v>278.07</v>
      </c>
      <c r="S937" s="9" t="s">
        <v>548</v>
      </c>
    </row>
    <row r="938" spans="1:19" hidden="1" x14ac:dyDescent="0.25">
      <c r="A938" t="s">
        <v>134</v>
      </c>
      <c r="B938" t="s">
        <v>79</v>
      </c>
      <c r="C938" t="s">
        <v>124</v>
      </c>
      <c r="D938" t="s">
        <v>590</v>
      </c>
      <c r="E938" t="s">
        <v>94</v>
      </c>
      <c r="F938" t="s">
        <v>6</v>
      </c>
      <c r="G938">
        <v>11</v>
      </c>
      <c r="H938">
        <v>4</v>
      </c>
      <c r="I938">
        <v>4</v>
      </c>
      <c r="J938">
        <v>4</v>
      </c>
      <c r="K938" s="6">
        <v>103.21</v>
      </c>
      <c r="L938" s="6">
        <v>3.23</v>
      </c>
      <c r="M938" s="6">
        <v>103.21</v>
      </c>
      <c r="N938">
        <v>0</v>
      </c>
      <c r="O938" s="6">
        <v>0</v>
      </c>
      <c r="P938">
        <v>0</v>
      </c>
      <c r="Q938" s="8">
        <v>278.07</v>
      </c>
      <c r="R938" s="8">
        <v>287</v>
      </c>
      <c r="S938" s="9" t="s">
        <v>548</v>
      </c>
    </row>
    <row r="939" spans="1:19" hidden="1" x14ac:dyDescent="0.25">
      <c r="A939" t="s">
        <v>134</v>
      </c>
      <c r="B939" t="s">
        <v>79</v>
      </c>
      <c r="C939" t="s">
        <v>126</v>
      </c>
      <c r="D939" t="s">
        <v>524</v>
      </c>
      <c r="E939" t="s">
        <v>90</v>
      </c>
      <c r="F939" t="s">
        <v>90</v>
      </c>
      <c r="G939">
        <v>0</v>
      </c>
      <c r="H939">
        <v>1</v>
      </c>
      <c r="I939">
        <v>1</v>
      </c>
      <c r="J939">
        <v>1</v>
      </c>
      <c r="K939" s="6">
        <v>100</v>
      </c>
      <c r="L939" s="6">
        <v>0</v>
      </c>
      <c r="M939" s="6">
        <v>100</v>
      </c>
      <c r="N939">
        <v>0</v>
      </c>
      <c r="O939" s="6">
        <v>0</v>
      </c>
      <c r="P939">
        <v>0</v>
      </c>
      <c r="Q939" s="8">
        <v>168.43</v>
      </c>
      <c r="R939" s="8">
        <v>168.43</v>
      </c>
      <c r="S939" s="9" t="s">
        <v>540</v>
      </c>
    </row>
    <row r="940" spans="1:19" hidden="1" x14ac:dyDescent="0.25">
      <c r="A940" t="s">
        <v>134</v>
      </c>
      <c r="B940" t="s">
        <v>79</v>
      </c>
      <c r="C940" t="s">
        <v>126</v>
      </c>
      <c r="D940" t="s">
        <v>524</v>
      </c>
      <c r="E940" t="s">
        <v>90</v>
      </c>
      <c r="F940" t="s">
        <v>91</v>
      </c>
      <c r="G940">
        <v>1</v>
      </c>
      <c r="H940">
        <v>1</v>
      </c>
      <c r="I940">
        <v>1</v>
      </c>
      <c r="J940">
        <v>1</v>
      </c>
      <c r="K940" s="6">
        <v>100</v>
      </c>
      <c r="L940" s="6">
        <v>0</v>
      </c>
      <c r="M940" s="6">
        <v>100</v>
      </c>
      <c r="N940">
        <v>0</v>
      </c>
      <c r="O940" s="6">
        <v>0</v>
      </c>
      <c r="P940">
        <v>0</v>
      </c>
      <c r="Q940" s="8">
        <v>168.43</v>
      </c>
      <c r="R940" s="8">
        <v>168.43</v>
      </c>
      <c r="S940" s="9" t="s">
        <v>541</v>
      </c>
    </row>
    <row r="941" spans="1:19" hidden="1" x14ac:dyDescent="0.25">
      <c r="A941" t="s">
        <v>134</v>
      </c>
      <c r="B941" t="s">
        <v>79</v>
      </c>
      <c r="C941" t="s">
        <v>126</v>
      </c>
      <c r="D941" t="s">
        <v>524</v>
      </c>
      <c r="E941" t="s">
        <v>90</v>
      </c>
      <c r="F941" t="s">
        <v>94</v>
      </c>
      <c r="G941">
        <v>2</v>
      </c>
      <c r="H941">
        <v>1</v>
      </c>
      <c r="I941">
        <v>1</v>
      </c>
      <c r="J941">
        <v>1</v>
      </c>
      <c r="K941" s="6">
        <v>100</v>
      </c>
      <c r="L941" s="6">
        <v>0</v>
      </c>
      <c r="M941" s="6">
        <v>100</v>
      </c>
      <c r="N941">
        <v>0</v>
      </c>
      <c r="O941" s="6">
        <v>0</v>
      </c>
      <c r="P941">
        <v>0</v>
      </c>
      <c r="Q941" s="8">
        <v>168.43</v>
      </c>
      <c r="R941" s="8">
        <v>168.43</v>
      </c>
      <c r="S941" s="9" t="s">
        <v>541</v>
      </c>
    </row>
    <row r="942" spans="1:19" hidden="1" x14ac:dyDescent="0.25">
      <c r="A942" t="s">
        <v>134</v>
      </c>
      <c r="B942" t="s">
        <v>79</v>
      </c>
      <c r="C942" t="s">
        <v>126</v>
      </c>
      <c r="D942" t="s">
        <v>524</v>
      </c>
      <c r="E942" t="s">
        <v>90</v>
      </c>
      <c r="F942" t="s">
        <v>96</v>
      </c>
      <c r="G942">
        <v>6</v>
      </c>
      <c r="H942">
        <v>1</v>
      </c>
      <c r="I942">
        <v>1</v>
      </c>
      <c r="J942">
        <v>1</v>
      </c>
      <c r="K942" s="6">
        <v>100</v>
      </c>
      <c r="L942" s="6">
        <v>0</v>
      </c>
      <c r="M942" s="6">
        <v>100</v>
      </c>
      <c r="N942">
        <v>0</v>
      </c>
      <c r="O942" s="6">
        <v>0</v>
      </c>
      <c r="P942">
        <v>0</v>
      </c>
      <c r="Q942" s="8">
        <v>168.43</v>
      </c>
      <c r="R942" s="8">
        <v>168.43</v>
      </c>
      <c r="S942" s="9" t="s">
        <v>541</v>
      </c>
    </row>
    <row r="943" spans="1:19" hidden="1" x14ac:dyDescent="0.25">
      <c r="A943" t="s">
        <v>134</v>
      </c>
      <c r="B943" t="s">
        <v>79</v>
      </c>
      <c r="C943" t="s">
        <v>126</v>
      </c>
      <c r="D943" t="s">
        <v>524</v>
      </c>
      <c r="E943" t="s">
        <v>90</v>
      </c>
      <c r="F943" t="s">
        <v>6</v>
      </c>
      <c r="G943">
        <v>13</v>
      </c>
      <c r="H943">
        <v>1</v>
      </c>
      <c r="I943">
        <v>1</v>
      </c>
      <c r="J943">
        <v>1</v>
      </c>
      <c r="K943" s="6">
        <v>100</v>
      </c>
      <c r="L943" s="6">
        <v>0</v>
      </c>
      <c r="M943" s="6">
        <v>100</v>
      </c>
      <c r="N943">
        <v>0</v>
      </c>
      <c r="O943" s="6">
        <v>0</v>
      </c>
      <c r="P943">
        <v>0</v>
      </c>
      <c r="Q943" s="8">
        <v>168.43</v>
      </c>
      <c r="R943" s="8">
        <v>168.43</v>
      </c>
      <c r="S943" s="9" t="s">
        <v>541</v>
      </c>
    </row>
    <row r="944" spans="1:19" hidden="1" x14ac:dyDescent="0.25">
      <c r="A944" t="s">
        <v>134</v>
      </c>
      <c r="B944" t="s">
        <v>79</v>
      </c>
      <c r="C944" t="s">
        <v>126</v>
      </c>
      <c r="D944" t="s">
        <v>527</v>
      </c>
      <c r="E944" t="s">
        <v>90</v>
      </c>
      <c r="F944" t="s">
        <v>90</v>
      </c>
      <c r="G944">
        <v>0</v>
      </c>
      <c r="H944">
        <v>6</v>
      </c>
      <c r="I944">
        <v>6</v>
      </c>
      <c r="J944">
        <v>6</v>
      </c>
      <c r="K944" s="6">
        <v>100</v>
      </c>
      <c r="L944" s="6">
        <v>0</v>
      </c>
      <c r="M944" s="6">
        <v>100</v>
      </c>
      <c r="N944">
        <v>0</v>
      </c>
      <c r="O944" s="6">
        <v>0</v>
      </c>
      <c r="P944">
        <v>0</v>
      </c>
      <c r="Q944" s="8">
        <v>162.72999999999999</v>
      </c>
      <c r="R944" s="8">
        <v>162.72999999999999</v>
      </c>
      <c r="S944" s="9" t="s">
        <v>534</v>
      </c>
    </row>
    <row r="945" spans="1:19" hidden="1" x14ac:dyDescent="0.25">
      <c r="A945" t="s">
        <v>134</v>
      </c>
      <c r="B945" t="s">
        <v>79</v>
      </c>
      <c r="C945" t="s">
        <v>126</v>
      </c>
      <c r="D945" t="s">
        <v>527</v>
      </c>
      <c r="E945" t="s">
        <v>90</v>
      </c>
      <c r="F945" t="s">
        <v>91</v>
      </c>
      <c r="G945">
        <v>1</v>
      </c>
      <c r="H945">
        <v>6</v>
      </c>
      <c r="I945">
        <v>6</v>
      </c>
      <c r="J945">
        <v>6</v>
      </c>
      <c r="K945" s="6">
        <v>100</v>
      </c>
      <c r="L945" s="6">
        <v>0</v>
      </c>
      <c r="M945" s="6">
        <v>100</v>
      </c>
      <c r="N945">
        <v>0</v>
      </c>
      <c r="O945" s="6">
        <v>0</v>
      </c>
      <c r="P945">
        <v>0</v>
      </c>
      <c r="Q945" s="8">
        <v>162.72999999999999</v>
      </c>
      <c r="R945" s="8">
        <v>162.72999999999999</v>
      </c>
      <c r="S945" s="9" t="s">
        <v>535</v>
      </c>
    </row>
    <row r="946" spans="1:19" hidden="1" x14ac:dyDescent="0.25">
      <c r="A946" t="s">
        <v>134</v>
      </c>
      <c r="B946" t="s">
        <v>79</v>
      </c>
      <c r="C946" t="s">
        <v>126</v>
      </c>
      <c r="D946" t="s">
        <v>527</v>
      </c>
      <c r="E946" t="s">
        <v>90</v>
      </c>
      <c r="F946" t="s">
        <v>94</v>
      </c>
      <c r="G946">
        <v>2</v>
      </c>
      <c r="H946">
        <v>6</v>
      </c>
      <c r="I946">
        <v>6</v>
      </c>
      <c r="J946">
        <v>6</v>
      </c>
      <c r="K946" s="6">
        <v>98.25</v>
      </c>
      <c r="L946" s="6">
        <v>-1.4</v>
      </c>
      <c r="M946" s="6">
        <v>98.25</v>
      </c>
      <c r="N946">
        <v>0</v>
      </c>
      <c r="O946" s="6">
        <v>0</v>
      </c>
      <c r="P946">
        <v>0</v>
      </c>
      <c r="Q946" s="8">
        <v>162.72999999999999</v>
      </c>
      <c r="R946" s="8">
        <v>159.88</v>
      </c>
      <c r="S946" s="9" t="s">
        <v>535</v>
      </c>
    </row>
    <row r="947" spans="1:19" hidden="1" x14ac:dyDescent="0.25">
      <c r="A947" t="s">
        <v>134</v>
      </c>
      <c r="B947" t="s">
        <v>79</v>
      </c>
      <c r="C947" t="s">
        <v>126</v>
      </c>
      <c r="D947" t="s">
        <v>527</v>
      </c>
      <c r="E947" t="s">
        <v>90</v>
      </c>
      <c r="F947" t="s">
        <v>96</v>
      </c>
      <c r="G947">
        <v>6</v>
      </c>
      <c r="H947">
        <v>6</v>
      </c>
      <c r="I947">
        <v>6</v>
      </c>
      <c r="J947">
        <v>6</v>
      </c>
      <c r="K947" s="6">
        <v>98.25</v>
      </c>
      <c r="L947" s="6">
        <v>-1.4</v>
      </c>
      <c r="M947" s="6">
        <v>98.25</v>
      </c>
      <c r="N947">
        <v>0</v>
      </c>
      <c r="O947" s="6">
        <v>0</v>
      </c>
      <c r="P947">
        <v>0</v>
      </c>
      <c r="Q947" s="8">
        <v>162.72999999999999</v>
      </c>
      <c r="R947" s="8">
        <v>159.88</v>
      </c>
      <c r="S947" s="9" t="s">
        <v>535</v>
      </c>
    </row>
    <row r="948" spans="1:19" hidden="1" x14ac:dyDescent="0.25">
      <c r="A948" t="s">
        <v>134</v>
      </c>
      <c r="B948" t="s">
        <v>79</v>
      </c>
      <c r="C948" t="s">
        <v>126</v>
      </c>
      <c r="D948" t="s">
        <v>527</v>
      </c>
      <c r="E948" t="s">
        <v>90</v>
      </c>
      <c r="F948" t="s">
        <v>6</v>
      </c>
      <c r="G948">
        <v>13</v>
      </c>
      <c r="H948">
        <v>6</v>
      </c>
      <c r="I948">
        <v>6</v>
      </c>
      <c r="J948">
        <v>6</v>
      </c>
      <c r="K948" s="6">
        <v>95.05</v>
      </c>
      <c r="L948" s="6">
        <v>-2.71</v>
      </c>
      <c r="M948" s="6">
        <v>95.05</v>
      </c>
      <c r="N948">
        <v>0</v>
      </c>
      <c r="O948" s="6">
        <v>0</v>
      </c>
      <c r="P948">
        <v>0</v>
      </c>
      <c r="Q948" s="8">
        <v>162.72999999999999</v>
      </c>
      <c r="R948" s="8">
        <v>154.66999999999999</v>
      </c>
      <c r="S948" s="9" t="s">
        <v>535</v>
      </c>
    </row>
    <row r="949" spans="1:19" hidden="1" x14ac:dyDescent="0.25">
      <c r="A949" t="s">
        <v>134</v>
      </c>
      <c r="B949" t="s">
        <v>79</v>
      </c>
      <c r="C949" t="s">
        <v>126</v>
      </c>
      <c r="D949" t="s">
        <v>530</v>
      </c>
      <c r="E949" t="s">
        <v>90</v>
      </c>
      <c r="F949" t="s">
        <v>90</v>
      </c>
      <c r="G949">
        <v>0</v>
      </c>
      <c r="H949">
        <v>3</v>
      </c>
      <c r="I949">
        <v>3</v>
      </c>
      <c r="J949">
        <v>3</v>
      </c>
      <c r="K949" s="6">
        <v>100</v>
      </c>
      <c r="L949" s="6">
        <v>0</v>
      </c>
      <c r="M949" s="6">
        <v>100</v>
      </c>
      <c r="N949">
        <v>0</v>
      </c>
      <c r="O949" s="6">
        <v>0</v>
      </c>
      <c r="P949">
        <v>0</v>
      </c>
      <c r="Q949" s="8">
        <v>189.24</v>
      </c>
      <c r="R949" s="8">
        <v>189.24</v>
      </c>
      <c r="S949" s="9" t="s">
        <v>525</v>
      </c>
    </row>
    <row r="950" spans="1:19" hidden="1" x14ac:dyDescent="0.25">
      <c r="A950" t="s">
        <v>134</v>
      </c>
      <c r="B950" t="s">
        <v>79</v>
      </c>
      <c r="C950" t="s">
        <v>126</v>
      </c>
      <c r="D950" t="s">
        <v>530</v>
      </c>
      <c r="E950" t="s">
        <v>90</v>
      </c>
      <c r="F950" t="s">
        <v>91</v>
      </c>
      <c r="G950">
        <v>1</v>
      </c>
      <c r="H950">
        <v>3</v>
      </c>
      <c r="I950">
        <v>3</v>
      </c>
      <c r="J950">
        <v>3</v>
      </c>
      <c r="K950" s="6">
        <v>100</v>
      </c>
      <c r="L950" s="6">
        <v>0</v>
      </c>
      <c r="M950" s="6">
        <v>100</v>
      </c>
      <c r="N950">
        <v>0</v>
      </c>
      <c r="O950" s="6">
        <v>0</v>
      </c>
      <c r="P950">
        <v>0</v>
      </c>
      <c r="Q950" s="8">
        <v>189.24</v>
      </c>
      <c r="R950" s="8">
        <v>189.24</v>
      </c>
      <c r="S950" s="9" t="s">
        <v>526</v>
      </c>
    </row>
    <row r="951" spans="1:19" hidden="1" x14ac:dyDescent="0.25">
      <c r="A951" t="s">
        <v>134</v>
      </c>
      <c r="B951" t="s">
        <v>79</v>
      </c>
      <c r="C951" t="s">
        <v>126</v>
      </c>
      <c r="D951" t="s">
        <v>530</v>
      </c>
      <c r="E951" t="s">
        <v>90</v>
      </c>
      <c r="F951" t="s">
        <v>94</v>
      </c>
      <c r="G951">
        <v>2</v>
      </c>
      <c r="H951">
        <v>3</v>
      </c>
      <c r="I951">
        <v>3</v>
      </c>
      <c r="J951">
        <v>3</v>
      </c>
      <c r="K951" s="6">
        <v>99.02</v>
      </c>
      <c r="L951" s="6">
        <v>0</v>
      </c>
      <c r="M951" s="6">
        <v>99.02</v>
      </c>
      <c r="N951">
        <v>0</v>
      </c>
      <c r="O951" s="6">
        <v>0</v>
      </c>
      <c r="P951">
        <v>0</v>
      </c>
      <c r="Q951" s="8">
        <v>189.24</v>
      </c>
      <c r="R951" s="8">
        <v>187.39</v>
      </c>
      <c r="S951" s="9" t="s">
        <v>526</v>
      </c>
    </row>
    <row r="952" spans="1:19" hidden="1" x14ac:dyDescent="0.25">
      <c r="A952" t="s">
        <v>134</v>
      </c>
      <c r="B952" t="s">
        <v>79</v>
      </c>
      <c r="C952" t="s">
        <v>126</v>
      </c>
      <c r="D952" t="s">
        <v>530</v>
      </c>
      <c r="E952" t="s">
        <v>90</v>
      </c>
      <c r="F952" t="s">
        <v>96</v>
      </c>
      <c r="G952">
        <v>6</v>
      </c>
      <c r="H952">
        <v>3</v>
      </c>
      <c r="I952">
        <v>3</v>
      </c>
      <c r="J952">
        <v>3</v>
      </c>
      <c r="K952" s="6">
        <v>99.02</v>
      </c>
      <c r="L952" s="6">
        <v>0</v>
      </c>
      <c r="M952" s="6">
        <v>99.02</v>
      </c>
      <c r="N952">
        <v>0</v>
      </c>
      <c r="O952" s="6">
        <v>0</v>
      </c>
      <c r="P952">
        <v>0</v>
      </c>
      <c r="Q952" s="8">
        <v>189.24</v>
      </c>
      <c r="R952" s="8">
        <v>187.39</v>
      </c>
      <c r="S952" s="9" t="s">
        <v>526</v>
      </c>
    </row>
    <row r="953" spans="1:19" hidden="1" x14ac:dyDescent="0.25">
      <c r="A953" t="s">
        <v>134</v>
      </c>
      <c r="B953" t="s">
        <v>79</v>
      </c>
      <c r="C953" t="s">
        <v>126</v>
      </c>
      <c r="D953" t="s">
        <v>530</v>
      </c>
      <c r="E953" t="s">
        <v>90</v>
      </c>
      <c r="F953" t="s">
        <v>6</v>
      </c>
      <c r="G953">
        <v>13</v>
      </c>
      <c r="H953">
        <v>3</v>
      </c>
      <c r="I953">
        <v>3</v>
      </c>
      <c r="J953">
        <v>3</v>
      </c>
      <c r="K953" s="6">
        <v>92.87</v>
      </c>
      <c r="L953" s="6">
        <v>-5.38</v>
      </c>
      <c r="M953" s="6">
        <v>92.87</v>
      </c>
      <c r="N953">
        <v>0</v>
      </c>
      <c r="O953" s="6">
        <v>0</v>
      </c>
      <c r="P953">
        <v>0</v>
      </c>
      <c r="Q953" s="8">
        <v>189.24</v>
      </c>
      <c r="R953" s="8">
        <v>175.75</v>
      </c>
      <c r="S953" s="9" t="s">
        <v>526</v>
      </c>
    </row>
    <row r="954" spans="1:19" hidden="1" x14ac:dyDescent="0.25">
      <c r="A954" t="s">
        <v>134</v>
      </c>
      <c r="B954" t="s">
        <v>79</v>
      </c>
      <c r="C954" t="s">
        <v>126</v>
      </c>
      <c r="D954" t="s">
        <v>531</v>
      </c>
      <c r="E954" t="s">
        <v>90</v>
      </c>
      <c r="F954" t="s">
        <v>90</v>
      </c>
      <c r="G954">
        <v>0</v>
      </c>
      <c r="H954">
        <v>5</v>
      </c>
      <c r="I954">
        <v>5</v>
      </c>
      <c r="J954">
        <v>5</v>
      </c>
      <c r="K954" s="6">
        <v>100</v>
      </c>
      <c r="L954" s="6">
        <v>0</v>
      </c>
      <c r="M954" s="6">
        <v>100</v>
      </c>
      <c r="N954">
        <v>0</v>
      </c>
      <c r="O954" s="6">
        <v>0</v>
      </c>
      <c r="P954">
        <v>0</v>
      </c>
      <c r="Q954" s="8">
        <v>190.14</v>
      </c>
      <c r="R954" s="8">
        <v>190.14</v>
      </c>
      <c r="S954" s="9" t="s">
        <v>538</v>
      </c>
    </row>
    <row r="955" spans="1:19" hidden="1" x14ac:dyDescent="0.25">
      <c r="A955" t="s">
        <v>134</v>
      </c>
      <c r="B955" t="s">
        <v>79</v>
      </c>
      <c r="C955" t="s">
        <v>126</v>
      </c>
      <c r="D955" t="s">
        <v>531</v>
      </c>
      <c r="E955" t="s">
        <v>90</v>
      </c>
      <c r="F955" t="s">
        <v>91</v>
      </c>
      <c r="G955">
        <v>1</v>
      </c>
      <c r="H955">
        <v>5</v>
      </c>
      <c r="I955">
        <v>5</v>
      </c>
      <c r="J955">
        <v>5</v>
      </c>
      <c r="K955" s="6">
        <v>100</v>
      </c>
      <c r="L955" s="6">
        <v>0</v>
      </c>
      <c r="M955" s="6">
        <v>100</v>
      </c>
      <c r="N955">
        <v>0</v>
      </c>
      <c r="O955" s="6">
        <v>0</v>
      </c>
      <c r="P955">
        <v>0</v>
      </c>
      <c r="Q955" s="8">
        <v>190.14</v>
      </c>
      <c r="R955" s="8">
        <v>190.14</v>
      </c>
      <c r="S955" s="9" t="s">
        <v>133</v>
      </c>
    </row>
    <row r="956" spans="1:19" hidden="1" x14ac:dyDescent="0.25">
      <c r="A956" t="s">
        <v>134</v>
      </c>
      <c r="B956" t="s">
        <v>79</v>
      </c>
      <c r="C956" t="s">
        <v>126</v>
      </c>
      <c r="D956" t="s">
        <v>531</v>
      </c>
      <c r="E956" t="s">
        <v>90</v>
      </c>
      <c r="F956" t="s">
        <v>94</v>
      </c>
      <c r="G956">
        <v>2</v>
      </c>
      <c r="H956">
        <v>5</v>
      </c>
      <c r="I956">
        <v>5</v>
      </c>
      <c r="J956">
        <v>5</v>
      </c>
      <c r="K956" s="6">
        <v>99.4</v>
      </c>
      <c r="L956" s="6">
        <v>0</v>
      </c>
      <c r="M956" s="6">
        <v>99.4</v>
      </c>
      <c r="N956">
        <v>0</v>
      </c>
      <c r="O956" s="6">
        <v>0</v>
      </c>
      <c r="P956">
        <v>0</v>
      </c>
      <c r="Q956" s="8">
        <v>190.14</v>
      </c>
      <c r="R956" s="8">
        <v>189</v>
      </c>
      <c r="S956" s="9" t="s">
        <v>133</v>
      </c>
    </row>
    <row r="957" spans="1:19" hidden="1" x14ac:dyDescent="0.25">
      <c r="A957" t="s">
        <v>134</v>
      </c>
      <c r="B957" t="s">
        <v>79</v>
      </c>
      <c r="C957" t="s">
        <v>126</v>
      </c>
      <c r="D957" t="s">
        <v>531</v>
      </c>
      <c r="E957" t="s">
        <v>90</v>
      </c>
      <c r="F957" t="s">
        <v>96</v>
      </c>
      <c r="G957">
        <v>6</v>
      </c>
      <c r="H957">
        <v>5</v>
      </c>
      <c r="I957">
        <v>5</v>
      </c>
      <c r="J957">
        <v>5</v>
      </c>
      <c r="K957" s="6">
        <v>99.4</v>
      </c>
      <c r="L957" s="6">
        <v>0</v>
      </c>
      <c r="M957" s="6">
        <v>99.4</v>
      </c>
      <c r="N957">
        <v>0</v>
      </c>
      <c r="O957" s="6">
        <v>0</v>
      </c>
      <c r="P957">
        <v>0</v>
      </c>
      <c r="Q957" s="8">
        <v>190.14</v>
      </c>
      <c r="R957" s="8">
        <v>189</v>
      </c>
      <c r="S957" s="9" t="s">
        <v>133</v>
      </c>
    </row>
    <row r="958" spans="1:19" hidden="1" x14ac:dyDescent="0.25">
      <c r="A958" t="s">
        <v>134</v>
      </c>
      <c r="B958" t="s">
        <v>79</v>
      </c>
      <c r="C958" t="s">
        <v>126</v>
      </c>
      <c r="D958" t="s">
        <v>531</v>
      </c>
      <c r="E958" t="s">
        <v>90</v>
      </c>
      <c r="F958" t="s">
        <v>6</v>
      </c>
      <c r="G958">
        <v>13</v>
      </c>
      <c r="H958">
        <v>5</v>
      </c>
      <c r="I958">
        <v>5</v>
      </c>
      <c r="J958">
        <v>5</v>
      </c>
      <c r="K958" s="6">
        <v>95.49</v>
      </c>
      <c r="L958" s="6">
        <v>-3.52</v>
      </c>
      <c r="M958" s="6">
        <v>95.49</v>
      </c>
      <c r="N958">
        <v>0</v>
      </c>
      <c r="O958" s="6">
        <v>0</v>
      </c>
      <c r="P958">
        <v>0</v>
      </c>
      <c r="Q958" s="8">
        <v>190.14</v>
      </c>
      <c r="R958" s="8">
        <v>181.57</v>
      </c>
      <c r="S958" s="9" t="s">
        <v>133</v>
      </c>
    </row>
    <row r="959" spans="1:19" hidden="1" x14ac:dyDescent="0.25">
      <c r="A959" t="s">
        <v>134</v>
      </c>
      <c r="B959" t="s">
        <v>79</v>
      </c>
      <c r="C959" t="s">
        <v>126</v>
      </c>
      <c r="D959" t="s">
        <v>532</v>
      </c>
      <c r="E959" t="s">
        <v>90</v>
      </c>
      <c r="F959" t="s">
        <v>90</v>
      </c>
      <c r="G959">
        <v>0</v>
      </c>
      <c r="H959">
        <v>5</v>
      </c>
      <c r="I959">
        <v>5</v>
      </c>
      <c r="J959">
        <v>5</v>
      </c>
      <c r="K959" s="6">
        <v>100</v>
      </c>
      <c r="L959" s="6">
        <v>0</v>
      </c>
      <c r="M959" s="6">
        <v>100</v>
      </c>
      <c r="N959">
        <v>0</v>
      </c>
      <c r="O959" s="6">
        <v>0</v>
      </c>
      <c r="P959">
        <v>0</v>
      </c>
      <c r="Q959" s="8">
        <v>186.11</v>
      </c>
      <c r="R959" s="8">
        <v>186.11</v>
      </c>
      <c r="S959" s="9" t="s">
        <v>538</v>
      </c>
    </row>
    <row r="960" spans="1:19" hidden="1" x14ac:dyDescent="0.25">
      <c r="A960" t="s">
        <v>134</v>
      </c>
      <c r="B960" t="s">
        <v>79</v>
      </c>
      <c r="C960" t="s">
        <v>126</v>
      </c>
      <c r="D960" t="s">
        <v>532</v>
      </c>
      <c r="E960" t="s">
        <v>90</v>
      </c>
      <c r="F960" t="s">
        <v>91</v>
      </c>
      <c r="G960">
        <v>1</v>
      </c>
      <c r="H960">
        <v>5</v>
      </c>
      <c r="I960">
        <v>4</v>
      </c>
      <c r="J960">
        <v>4</v>
      </c>
      <c r="K960" s="6">
        <v>100</v>
      </c>
      <c r="L960" s="6">
        <v>0</v>
      </c>
      <c r="M960" s="6">
        <v>97.96</v>
      </c>
      <c r="N960">
        <v>-2.04</v>
      </c>
      <c r="O960" s="6">
        <v>20</v>
      </c>
      <c r="P960">
        <v>0</v>
      </c>
      <c r="Q960" s="8">
        <v>182.32</v>
      </c>
      <c r="R960" s="8">
        <v>182.32</v>
      </c>
      <c r="S960" s="9" t="s">
        <v>548</v>
      </c>
    </row>
    <row r="961" spans="1:19" hidden="1" x14ac:dyDescent="0.25">
      <c r="A961" t="s">
        <v>134</v>
      </c>
      <c r="B961" t="s">
        <v>79</v>
      </c>
      <c r="C961" t="s">
        <v>126</v>
      </c>
      <c r="D961" t="s">
        <v>532</v>
      </c>
      <c r="E961" t="s">
        <v>90</v>
      </c>
      <c r="F961" t="s">
        <v>94</v>
      </c>
      <c r="G961">
        <v>2</v>
      </c>
      <c r="H961">
        <v>5</v>
      </c>
      <c r="I961">
        <v>4</v>
      </c>
      <c r="J961">
        <v>4</v>
      </c>
      <c r="K961" s="6">
        <v>100</v>
      </c>
      <c r="L961" s="6">
        <v>0</v>
      </c>
      <c r="M961" s="6">
        <v>97.96</v>
      </c>
      <c r="N961">
        <v>-2.04</v>
      </c>
      <c r="O961" s="6">
        <v>20</v>
      </c>
      <c r="P961">
        <v>0</v>
      </c>
      <c r="Q961" s="8">
        <v>182.32</v>
      </c>
      <c r="R961" s="8">
        <v>182.32</v>
      </c>
      <c r="S961" s="9" t="s">
        <v>548</v>
      </c>
    </row>
    <row r="962" spans="1:19" hidden="1" x14ac:dyDescent="0.25">
      <c r="A962" t="s">
        <v>134</v>
      </c>
      <c r="B962" t="s">
        <v>79</v>
      </c>
      <c r="C962" t="s">
        <v>126</v>
      </c>
      <c r="D962" t="s">
        <v>532</v>
      </c>
      <c r="E962" t="s">
        <v>90</v>
      </c>
      <c r="F962" t="s">
        <v>96</v>
      </c>
      <c r="G962">
        <v>6</v>
      </c>
      <c r="H962">
        <v>5</v>
      </c>
      <c r="I962">
        <v>4</v>
      </c>
      <c r="J962">
        <v>4</v>
      </c>
      <c r="K962" s="6">
        <v>100</v>
      </c>
      <c r="L962" s="6">
        <v>0</v>
      </c>
      <c r="M962" s="6">
        <v>97.96</v>
      </c>
      <c r="N962">
        <v>-2.04</v>
      </c>
      <c r="O962" s="6">
        <v>20</v>
      </c>
      <c r="P962">
        <v>0</v>
      </c>
      <c r="Q962" s="8">
        <v>182.32</v>
      </c>
      <c r="R962" s="8">
        <v>182.32</v>
      </c>
      <c r="S962" s="9" t="s">
        <v>548</v>
      </c>
    </row>
    <row r="963" spans="1:19" hidden="1" x14ac:dyDescent="0.25">
      <c r="A963" t="s">
        <v>134</v>
      </c>
      <c r="B963" t="s">
        <v>79</v>
      </c>
      <c r="C963" t="s">
        <v>126</v>
      </c>
      <c r="D963" t="s">
        <v>532</v>
      </c>
      <c r="E963" t="s">
        <v>90</v>
      </c>
      <c r="F963" t="s">
        <v>6</v>
      </c>
      <c r="G963">
        <v>13</v>
      </c>
      <c r="H963">
        <v>5</v>
      </c>
      <c r="I963">
        <v>4</v>
      </c>
      <c r="J963">
        <v>4</v>
      </c>
      <c r="K963" s="6">
        <v>100.3</v>
      </c>
      <c r="L963" s="6">
        <v>0</v>
      </c>
      <c r="M963" s="6">
        <v>98.26</v>
      </c>
      <c r="N963">
        <v>-2.04</v>
      </c>
      <c r="O963" s="6">
        <v>20</v>
      </c>
      <c r="P963">
        <v>0</v>
      </c>
      <c r="Q963" s="8">
        <v>182.32</v>
      </c>
      <c r="R963" s="8">
        <v>182.88</v>
      </c>
      <c r="S963" s="9" t="s">
        <v>548</v>
      </c>
    </row>
    <row r="964" spans="1:19" hidden="1" x14ac:dyDescent="0.25">
      <c r="A964" t="s">
        <v>134</v>
      </c>
      <c r="B964" t="s">
        <v>79</v>
      </c>
      <c r="C964" t="s">
        <v>126</v>
      </c>
      <c r="D964" t="s">
        <v>533</v>
      </c>
      <c r="E964" t="s">
        <v>94</v>
      </c>
      <c r="F964" t="s">
        <v>94</v>
      </c>
      <c r="G964">
        <v>0</v>
      </c>
      <c r="H964">
        <v>8</v>
      </c>
      <c r="I964">
        <v>8</v>
      </c>
      <c r="J964">
        <v>8</v>
      </c>
      <c r="K964" s="6">
        <v>100</v>
      </c>
      <c r="L964" s="6">
        <v>0</v>
      </c>
      <c r="M964" s="6">
        <v>100</v>
      </c>
      <c r="N964">
        <v>0</v>
      </c>
      <c r="O964" s="6">
        <v>0</v>
      </c>
      <c r="P964">
        <v>0</v>
      </c>
      <c r="Q964" s="8">
        <v>160.65</v>
      </c>
      <c r="R964" s="8">
        <v>160.65</v>
      </c>
      <c r="S964" s="9" t="s">
        <v>543</v>
      </c>
    </row>
    <row r="965" spans="1:19" hidden="1" x14ac:dyDescent="0.25">
      <c r="A965" t="s">
        <v>134</v>
      </c>
      <c r="B965" t="s">
        <v>79</v>
      </c>
      <c r="C965" t="s">
        <v>126</v>
      </c>
      <c r="D965" t="s">
        <v>533</v>
      </c>
      <c r="E965" t="s">
        <v>94</v>
      </c>
      <c r="F965" t="s">
        <v>96</v>
      </c>
      <c r="G965">
        <v>4</v>
      </c>
      <c r="H965">
        <v>8</v>
      </c>
      <c r="I965">
        <v>7</v>
      </c>
      <c r="J965">
        <v>7</v>
      </c>
      <c r="K965" s="6">
        <v>100</v>
      </c>
      <c r="L965" s="6">
        <v>0</v>
      </c>
      <c r="M965" s="6">
        <v>99.82</v>
      </c>
      <c r="N965">
        <v>-0.18</v>
      </c>
      <c r="O965" s="6">
        <v>12.5</v>
      </c>
      <c r="P965">
        <v>0</v>
      </c>
      <c r="Q965" s="8">
        <v>160.35</v>
      </c>
      <c r="R965" s="8">
        <v>160.35</v>
      </c>
      <c r="S965" s="9" t="s">
        <v>550</v>
      </c>
    </row>
    <row r="966" spans="1:19" hidden="1" x14ac:dyDescent="0.25">
      <c r="A966" t="s">
        <v>134</v>
      </c>
      <c r="B966" t="s">
        <v>79</v>
      </c>
      <c r="C966" t="s">
        <v>126</v>
      </c>
      <c r="D966" t="s">
        <v>533</v>
      </c>
      <c r="E966" t="s">
        <v>94</v>
      </c>
      <c r="F966" t="s">
        <v>6</v>
      </c>
      <c r="G966">
        <v>11</v>
      </c>
      <c r="H966">
        <v>8</v>
      </c>
      <c r="I966">
        <v>8</v>
      </c>
      <c r="J966">
        <v>7</v>
      </c>
      <c r="K966" s="6">
        <v>99.49</v>
      </c>
      <c r="L966" s="6">
        <v>0</v>
      </c>
      <c r="M966" s="6">
        <v>100.56</v>
      </c>
      <c r="N966">
        <v>1.07</v>
      </c>
      <c r="O966" s="6">
        <v>12.5</v>
      </c>
      <c r="P966">
        <v>1</v>
      </c>
      <c r="Q966" s="8">
        <v>160.35</v>
      </c>
      <c r="R966" s="8">
        <v>159.54</v>
      </c>
      <c r="S966" s="9" t="s">
        <v>550</v>
      </c>
    </row>
    <row r="967" spans="1:19" hidden="1" x14ac:dyDescent="0.25">
      <c r="A967" t="s">
        <v>134</v>
      </c>
      <c r="B967" t="s">
        <v>79</v>
      </c>
      <c r="C967" t="s">
        <v>126</v>
      </c>
      <c r="D967" t="s">
        <v>545</v>
      </c>
      <c r="E967" t="s">
        <v>94</v>
      </c>
      <c r="F967" t="s">
        <v>94</v>
      </c>
      <c r="G967">
        <v>0</v>
      </c>
      <c r="H967">
        <v>4</v>
      </c>
      <c r="I967">
        <v>4</v>
      </c>
      <c r="J967">
        <v>4</v>
      </c>
      <c r="K967" s="6">
        <v>100</v>
      </c>
      <c r="L967" s="6">
        <v>0</v>
      </c>
      <c r="M967" s="6">
        <v>100</v>
      </c>
      <c r="N967">
        <v>0</v>
      </c>
      <c r="O967" s="6">
        <v>0</v>
      </c>
      <c r="P967">
        <v>0</v>
      </c>
      <c r="Q967" s="8">
        <v>157.36000000000001</v>
      </c>
      <c r="R967" s="8">
        <v>157.36000000000001</v>
      </c>
      <c r="S967" s="9" t="s">
        <v>605</v>
      </c>
    </row>
    <row r="968" spans="1:19" hidden="1" x14ac:dyDescent="0.25">
      <c r="A968" t="s">
        <v>134</v>
      </c>
      <c r="B968" t="s">
        <v>79</v>
      </c>
      <c r="C968" t="s">
        <v>126</v>
      </c>
      <c r="D968" t="s">
        <v>545</v>
      </c>
      <c r="E968" t="s">
        <v>94</v>
      </c>
      <c r="F968" t="s">
        <v>96</v>
      </c>
      <c r="G968">
        <v>4</v>
      </c>
      <c r="H968">
        <v>4</v>
      </c>
      <c r="I968">
        <v>4</v>
      </c>
      <c r="J968">
        <v>4</v>
      </c>
      <c r="K968" s="6">
        <v>98.87</v>
      </c>
      <c r="L968" s="6">
        <v>-0.98</v>
      </c>
      <c r="M968" s="6">
        <v>98.87</v>
      </c>
      <c r="N968">
        <v>0</v>
      </c>
      <c r="O968" s="6">
        <v>0</v>
      </c>
      <c r="P968">
        <v>0</v>
      </c>
      <c r="Q968" s="8">
        <v>157.36000000000001</v>
      </c>
      <c r="R968" s="8">
        <v>155.57</v>
      </c>
      <c r="S968" s="9" t="s">
        <v>548</v>
      </c>
    </row>
    <row r="969" spans="1:19" hidden="1" x14ac:dyDescent="0.25">
      <c r="A969" t="s">
        <v>134</v>
      </c>
      <c r="B969" t="s">
        <v>79</v>
      </c>
      <c r="C969" t="s">
        <v>126</v>
      </c>
      <c r="D969" t="s">
        <v>545</v>
      </c>
      <c r="E969" t="s">
        <v>94</v>
      </c>
      <c r="F969" t="s">
        <v>6</v>
      </c>
      <c r="G969">
        <v>11</v>
      </c>
      <c r="H969">
        <v>4</v>
      </c>
      <c r="I969">
        <v>4</v>
      </c>
      <c r="J969">
        <v>4</v>
      </c>
      <c r="K969" s="6">
        <v>96.82</v>
      </c>
      <c r="L969" s="6">
        <v>-3.13</v>
      </c>
      <c r="M969" s="6">
        <v>96.82</v>
      </c>
      <c r="N969">
        <v>0</v>
      </c>
      <c r="O969" s="6">
        <v>0</v>
      </c>
      <c r="P969">
        <v>0</v>
      </c>
      <c r="Q969" s="8">
        <v>157.36000000000001</v>
      </c>
      <c r="R969" s="8">
        <v>152.36000000000001</v>
      </c>
      <c r="S969" s="9" t="s">
        <v>548</v>
      </c>
    </row>
    <row r="970" spans="1:19" hidden="1" x14ac:dyDescent="0.25">
      <c r="A970" t="s">
        <v>134</v>
      </c>
      <c r="B970" t="s">
        <v>79</v>
      </c>
      <c r="C970" t="s">
        <v>126</v>
      </c>
      <c r="D970" t="s">
        <v>580</v>
      </c>
      <c r="E970" t="s">
        <v>94</v>
      </c>
      <c r="F970" t="s">
        <v>94</v>
      </c>
      <c r="G970">
        <v>0</v>
      </c>
      <c r="H970">
        <v>4</v>
      </c>
      <c r="I970">
        <v>4</v>
      </c>
      <c r="J970">
        <v>4</v>
      </c>
      <c r="K970" s="6">
        <v>100</v>
      </c>
      <c r="L970" s="6">
        <v>0</v>
      </c>
      <c r="M970" s="6">
        <v>100</v>
      </c>
      <c r="N970">
        <v>0</v>
      </c>
      <c r="O970" s="6">
        <v>0</v>
      </c>
      <c r="P970">
        <v>0</v>
      </c>
      <c r="Q970" s="8">
        <v>161.57</v>
      </c>
      <c r="R970" s="8">
        <v>161.57</v>
      </c>
      <c r="S970" s="9" t="s">
        <v>605</v>
      </c>
    </row>
    <row r="971" spans="1:19" hidden="1" x14ac:dyDescent="0.25">
      <c r="A971" t="s">
        <v>134</v>
      </c>
      <c r="B971" t="s">
        <v>79</v>
      </c>
      <c r="C971" t="s">
        <v>126</v>
      </c>
      <c r="D971" t="s">
        <v>580</v>
      </c>
      <c r="E971" t="s">
        <v>94</v>
      </c>
      <c r="F971" t="s">
        <v>96</v>
      </c>
      <c r="G971">
        <v>4</v>
      </c>
      <c r="H971">
        <v>4</v>
      </c>
      <c r="I971">
        <v>4</v>
      </c>
      <c r="J971">
        <v>4</v>
      </c>
      <c r="K971" s="6">
        <v>100</v>
      </c>
      <c r="L971" s="6">
        <v>0</v>
      </c>
      <c r="M971" s="6">
        <v>100</v>
      </c>
      <c r="N971">
        <v>0</v>
      </c>
      <c r="O971" s="6">
        <v>0</v>
      </c>
      <c r="P971">
        <v>0</v>
      </c>
      <c r="Q971" s="8">
        <v>161.57</v>
      </c>
      <c r="R971" s="8">
        <v>161.57</v>
      </c>
      <c r="S971" s="9" t="s">
        <v>548</v>
      </c>
    </row>
    <row r="972" spans="1:19" hidden="1" x14ac:dyDescent="0.25">
      <c r="A972" t="s">
        <v>134</v>
      </c>
      <c r="B972" t="s">
        <v>79</v>
      </c>
      <c r="C972" t="s">
        <v>126</v>
      </c>
      <c r="D972" t="s">
        <v>580</v>
      </c>
      <c r="E972" t="s">
        <v>94</v>
      </c>
      <c r="F972" t="s">
        <v>6</v>
      </c>
      <c r="G972">
        <v>11</v>
      </c>
      <c r="H972">
        <v>4</v>
      </c>
      <c r="I972">
        <v>4</v>
      </c>
      <c r="J972">
        <v>4</v>
      </c>
      <c r="K972" s="6">
        <v>100</v>
      </c>
      <c r="L972" s="6">
        <v>0</v>
      </c>
      <c r="M972" s="6">
        <v>100</v>
      </c>
      <c r="N972">
        <v>0</v>
      </c>
      <c r="O972" s="6">
        <v>0</v>
      </c>
      <c r="P972">
        <v>0</v>
      </c>
      <c r="Q972" s="8">
        <v>161.57</v>
      </c>
      <c r="R972" s="8">
        <v>161.57</v>
      </c>
      <c r="S972" s="9" t="s">
        <v>548</v>
      </c>
    </row>
    <row r="973" spans="1:19" hidden="1" x14ac:dyDescent="0.25">
      <c r="A973" t="s">
        <v>134</v>
      </c>
      <c r="B973" t="s">
        <v>79</v>
      </c>
      <c r="C973" t="s">
        <v>126</v>
      </c>
      <c r="D973" t="s">
        <v>582</v>
      </c>
      <c r="E973" t="s">
        <v>94</v>
      </c>
      <c r="F973" t="s">
        <v>94</v>
      </c>
      <c r="G973">
        <v>0</v>
      </c>
      <c r="H973">
        <v>15</v>
      </c>
      <c r="I973">
        <v>15</v>
      </c>
      <c r="J973">
        <v>15</v>
      </c>
      <c r="K973" s="6">
        <v>100</v>
      </c>
      <c r="L973" s="6">
        <v>0</v>
      </c>
      <c r="M973" s="6">
        <v>100</v>
      </c>
      <c r="N973">
        <v>0</v>
      </c>
      <c r="O973" s="6">
        <v>0</v>
      </c>
      <c r="P973">
        <v>0</v>
      </c>
      <c r="Q973" s="8">
        <v>160.76</v>
      </c>
      <c r="R973" s="8">
        <v>160.76</v>
      </c>
      <c r="S973" s="9" t="s">
        <v>611</v>
      </c>
    </row>
    <row r="974" spans="1:19" hidden="1" x14ac:dyDescent="0.25">
      <c r="A974" t="s">
        <v>134</v>
      </c>
      <c r="B974" t="s">
        <v>79</v>
      </c>
      <c r="C974" t="s">
        <v>126</v>
      </c>
      <c r="D974" t="s">
        <v>582</v>
      </c>
      <c r="E974" t="s">
        <v>94</v>
      </c>
      <c r="F974" t="s">
        <v>96</v>
      </c>
      <c r="G974">
        <v>4</v>
      </c>
      <c r="H974">
        <v>15</v>
      </c>
      <c r="I974">
        <v>13</v>
      </c>
      <c r="J974">
        <v>13</v>
      </c>
      <c r="K974" s="6">
        <v>100</v>
      </c>
      <c r="L974" s="6">
        <v>0</v>
      </c>
      <c r="M974" s="6">
        <v>103.44</v>
      </c>
      <c r="N974">
        <v>3.44</v>
      </c>
      <c r="O974" s="6">
        <v>13.3</v>
      </c>
      <c r="P974">
        <v>0</v>
      </c>
      <c r="Q974" s="8">
        <v>166.28</v>
      </c>
      <c r="R974" s="8">
        <v>166.28</v>
      </c>
      <c r="S974" s="10" t="s">
        <v>612</v>
      </c>
    </row>
    <row r="975" spans="1:19" hidden="1" x14ac:dyDescent="0.25">
      <c r="A975" t="s">
        <v>134</v>
      </c>
      <c r="B975" t="s">
        <v>79</v>
      </c>
      <c r="C975" t="s">
        <v>126</v>
      </c>
      <c r="D975" t="s">
        <v>582</v>
      </c>
      <c r="E975" t="s">
        <v>94</v>
      </c>
      <c r="F975" t="s">
        <v>6</v>
      </c>
      <c r="G975">
        <v>11</v>
      </c>
      <c r="H975">
        <v>15</v>
      </c>
      <c r="I975">
        <v>8</v>
      </c>
      <c r="J975">
        <v>8</v>
      </c>
      <c r="K975" s="6">
        <v>100</v>
      </c>
      <c r="L975" s="6">
        <v>0</v>
      </c>
      <c r="M975" s="6">
        <v>101.05</v>
      </c>
      <c r="N975">
        <v>1.05</v>
      </c>
      <c r="O975" s="6">
        <v>46.7</v>
      </c>
      <c r="P975">
        <v>0</v>
      </c>
      <c r="Q975" s="8">
        <v>162.44</v>
      </c>
      <c r="R975" s="8">
        <v>162.44</v>
      </c>
      <c r="S975" s="9" t="s">
        <v>544</v>
      </c>
    </row>
    <row r="976" spans="1:19" hidden="1" x14ac:dyDescent="0.25">
      <c r="A976" t="s">
        <v>134</v>
      </c>
      <c r="B976" t="s">
        <v>79</v>
      </c>
      <c r="C976" t="s">
        <v>126</v>
      </c>
      <c r="D976" t="s">
        <v>583</v>
      </c>
      <c r="E976" t="s">
        <v>94</v>
      </c>
      <c r="F976" t="s">
        <v>94</v>
      </c>
      <c r="G976">
        <v>0</v>
      </c>
      <c r="H976">
        <v>16</v>
      </c>
      <c r="I976">
        <v>16</v>
      </c>
      <c r="J976">
        <v>16</v>
      </c>
      <c r="K976" s="6">
        <v>100</v>
      </c>
      <c r="L976" s="6">
        <v>0</v>
      </c>
      <c r="M976" s="6">
        <v>100</v>
      </c>
      <c r="N976">
        <v>0</v>
      </c>
      <c r="O976" s="6">
        <v>0</v>
      </c>
      <c r="P976">
        <v>0</v>
      </c>
      <c r="Q976" s="8">
        <v>196.57</v>
      </c>
      <c r="R976" s="8">
        <v>196.57</v>
      </c>
      <c r="S976" s="9" t="s">
        <v>606</v>
      </c>
    </row>
    <row r="977" spans="1:19" hidden="1" x14ac:dyDescent="0.25">
      <c r="A977" t="s">
        <v>134</v>
      </c>
      <c r="B977" t="s">
        <v>79</v>
      </c>
      <c r="C977" t="s">
        <v>126</v>
      </c>
      <c r="D977" t="s">
        <v>583</v>
      </c>
      <c r="E977" t="s">
        <v>94</v>
      </c>
      <c r="F977" t="s">
        <v>96</v>
      </c>
      <c r="G977">
        <v>4</v>
      </c>
      <c r="H977">
        <v>16</v>
      </c>
      <c r="I977">
        <v>12</v>
      </c>
      <c r="J977">
        <v>12</v>
      </c>
      <c r="K977" s="6">
        <v>100</v>
      </c>
      <c r="L977" s="6">
        <v>0</v>
      </c>
      <c r="M977" s="6">
        <v>108.22</v>
      </c>
      <c r="N977">
        <v>8.2200000000000006</v>
      </c>
      <c r="O977" s="6">
        <v>25</v>
      </c>
      <c r="P977">
        <v>0</v>
      </c>
      <c r="Q977" s="8">
        <v>212.73</v>
      </c>
      <c r="R977" s="8">
        <v>212.73</v>
      </c>
      <c r="S977" s="10" t="s">
        <v>587</v>
      </c>
    </row>
    <row r="978" spans="1:19" hidden="1" x14ac:dyDescent="0.25">
      <c r="A978" t="s">
        <v>134</v>
      </c>
      <c r="B978" t="s">
        <v>79</v>
      </c>
      <c r="C978" t="s">
        <v>126</v>
      </c>
      <c r="D978" t="s">
        <v>583</v>
      </c>
      <c r="E978" t="s">
        <v>94</v>
      </c>
      <c r="F978" t="s">
        <v>6</v>
      </c>
      <c r="G978">
        <v>11</v>
      </c>
      <c r="H978">
        <v>16</v>
      </c>
      <c r="I978">
        <v>4</v>
      </c>
      <c r="J978">
        <v>4</v>
      </c>
      <c r="K978" s="6">
        <v>100</v>
      </c>
      <c r="L978" s="6">
        <v>0</v>
      </c>
      <c r="M978" s="6">
        <v>99.34</v>
      </c>
      <c r="N978">
        <v>-0.66</v>
      </c>
      <c r="O978" s="6">
        <v>75</v>
      </c>
      <c r="P978">
        <v>0</v>
      </c>
      <c r="Q978" s="8">
        <v>195.26</v>
      </c>
      <c r="R978" s="8">
        <v>195.26</v>
      </c>
      <c r="S978" s="9" t="s">
        <v>548</v>
      </c>
    </row>
    <row r="979" spans="1:19" hidden="1" x14ac:dyDescent="0.25">
      <c r="A979" t="s">
        <v>134</v>
      </c>
      <c r="B979" t="s">
        <v>79</v>
      </c>
      <c r="C979" t="s">
        <v>126</v>
      </c>
      <c r="D979" t="s">
        <v>585</v>
      </c>
      <c r="E979" t="s">
        <v>94</v>
      </c>
      <c r="F979" t="s">
        <v>94</v>
      </c>
      <c r="G979">
        <v>0</v>
      </c>
      <c r="H979">
        <v>19</v>
      </c>
      <c r="I979">
        <v>19</v>
      </c>
      <c r="J979">
        <v>19</v>
      </c>
      <c r="K979" s="6">
        <v>100</v>
      </c>
      <c r="L979" s="6">
        <v>0</v>
      </c>
      <c r="M979" s="6">
        <v>100</v>
      </c>
      <c r="N979">
        <v>0</v>
      </c>
      <c r="O979" s="6">
        <v>0</v>
      </c>
      <c r="P979">
        <v>0</v>
      </c>
      <c r="Q979" s="8">
        <v>204.82</v>
      </c>
      <c r="R979" s="8">
        <v>204.82</v>
      </c>
      <c r="S979" s="9" t="s">
        <v>613</v>
      </c>
    </row>
    <row r="980" spans="1:19" hidden="1" x14ac:dyDescent="0.25">
      <c r="A980" t="s">
        <v>134</v>
      </c>
      <c r="B980" t="s">
        <v>79</v>
      </c>
      <c r="C980" t="s">
        <v>126</v>
      </c>
      <c r="D980" t="s">
        <v>585</v>
      </c>
      <c r="E980" t="s">
        <v>94</v>
      </c>
      <c r="F980" t="s">
        <v>96</v>
      </c>
      <c r="G980">
        <v>4</v>
      </c>
      <c r="H980">
        <v>19</v>
      </c>
      <c r="I980">
        <v>14</v>
      </c>
      <c r="J980">
        <v>14</v>
      </c>
      <c r="K980" s="6">
        <v>100</v>
      </c>
      <c r="L980" s="6">
        <v>0</v>
      </c>
      <c r="M980" s="6">
        <v>109.48</v>
      </c>
      <c r="N980">
        <v>9.48</v>
      </c>
      <c r="O980" s="6">
        <v>26.3</v>
      </c>
      <c r="P980">
        <v>0</v>
      </c>
      <c r="Q980" s="8">
        <v>224.24</v>
      </c>
      <c r="R980" s="8">
        <v>224.24</v>
      </c>
      <c r="S980" s="10" t="s">
        <v>607</v>
      </c>
    </row>
    <row r="981" spans="1:19" hidden="1" x14ac:dyDescent="0.25">
      <c r="A981" t="s">
        <v>134</v>
      </c>
      <c r="B981" t="s">
        <v>79</v>
      </c>
      <c r="C981" t="s">
        <v>126</v>
      </c>
      <c r="D981" t="s">
        <v>585</v>
      </c>
      <c r="E981" t="s">
        <v>94</v>
      </c>
      <c r="F981" t="s">
        <v>6</v>
      </c>
      <c r="G981">
        <v>11</v>
      </c>
      <c r="H981">
        <v>19</v>
      </c>
      <c r="I981">
        <v>4</v>
      </c>
      <c r="J981">
        <v>4</v>
      </c>
      <c r="K981" s="6">
        <v>100</v>
      </c>
      <c r="L981" s="6">
        <v>0</v>
      </c>
      <c r="M981" s="6">
        <v>101.06</v>
      </c>
      <c r="N981">
        <v>1.06</v>
      </c>
      <c r="O981" s="6">
        <v>78.900000000000006</v>
      </c>
      <c r="P981">
        <v>0</v>
      </c>
      <c r="Q981" s="8">
        <v>207</v>
      </c>
      <c r="R981" s="8">
        <v>207</v>
      </c>
      <c r="S981" s="9" t="s">
        <v>548</v>
      </c>
    </row>
    <row r="982" spans="1:19" hidden="1" x14ac:dyDescent="0.25">
      <c r="A982" t="s">
        <v>134</v>
      </c>
      <c r="B982" t="s">
        <v>79</v>
      </c>
      <c r="C982" t="s">
        <v>126</v>
      </c>
      <c r="D982" t="s">
        <v>588</v>
      </c>
      <c r="E982" t="s">
        <v>94</v>
      </c>
      <c r="F982" t="s">
        <v>94</v>
      </c>
      <c r="G982">
        <v>0</v>
      </c>
      <c r="H982">
        <v>16</v>
      </c>
      <c r="I982">
        <v>16</v>
      </c>
      <c r="J982">
        <v>16</v>
      </c>
      <c r="K982" s="6">
        <v>100</v>
      </c>
      <c r="L982" s="6">
        <v>0</v>
      </c>
      <c r="M982" s="6">
        <v>100</v>
      </c>
      <c r="N982">
        <v>0</v>
      </c>
      <c r="O982" s="6">
        <v>0</v>
      </c>
      <c r="P982">
        <v>0</v>
      </c>
      <c r="Q982" s="8">
        <v>184.06</v>
      </c>
      <c r="R982" s="8">
        <v>184.06</v>
      </c>
      <c r="S982" s="9" t="s">
        <v>606</v>
      </c>
    </row>
    <row r="983" spans="1:19" hidden="1" x14ac:dyDescent="0.25">
      <c r="A983" t="s">
        <v>134</v>
      </c>
      <c r="B983" t="s">
        <v>79</v>
      </c>
      <c r="C983" t="s">
        <v>126</v>
      </c>
      <c r="D983" t="s">
        <v>588</v>
      </c>
      <c r="E983" t="s">
        <v>94</v>
      </c>
      <c r="F983" t="s">
        <v>96</v>
      </c>
      <c r="G983">
        <v>4</v>
      </c>
      <c r="H983">
        <v>16</v>
      </c>
      <c r="I983">
        <v>13</v>
      </c>
      <c r="J983">
        <v>13</v>
      </c>
      <c r="K983" s="6">
        <v>100</v>
      </c>
      <c r="L983" s="6">
        <v>0</v>
      </c>
      <c r="M983" s="6">
        <v>105.72</v>
      </c>
      <c r="N983">
        <v>5.72</v>
      </c>
      <c r="O983" s="6">
        <v>18.8</v>
      </c>
      <c r="P983">
        <v>0</v>
      </c>
      <c r="Q983" s="8">
        <v>194.59</v>
      </c>
      <c r="R983" s="8">
        <v>194.59</v>
      </c>
      <c r="S983" s="10" t="s">
        <v>612</v>
      </c>
    </row>
    <row r="984" spans="1:19" hidden="1" x14ac:dyDescent="0.25">
      <c r="A984" t="s">
        <v>134</v>
      </c>
      <c r="B984" t="s">
        <v>79</v>
      </c>
      <c r="C984" t="s">
        <v>126</v>
      </c>
      <c r="D984" t="s">
        <v>588</v>
      </c>
      <c r="E984" t="s">
        <v>94</v>
      </c>
      <c r="F984" t="s">
        <v>6</v>
      </c>
      <c r="G984">
        <v>11</v>
      </c>
      <c r="H984">
        <v>16</v>
      </c>
      <c r="I984">
        <v>4</v>
      </c>
      <c r="J984">
        <v>4</v>
      </c>
      <c r="K984" s="6">
        <v>100</v>
      </c>
      <c r="L984" s="6">
        <v>0</v>
      </c>
      <c r="M984" s="6">
        <v>101.22</v>
      </c>
      <c r="N984">
        <v>1.22</v>
      </c>
      <c r="O984" s="6">
        <v>75</v>
      </c>
      <c r="P984">
        <v>0</v>
      </c>
      <c r="Q984" s="8">
        <v>186.31</v>
      </c>
      <c r="R984" s="8">
        <v>186.31</v>
      </c>
      <c r="S984" s="9" t="s">
        <v>548</v>
      </c>
    </row>
    <row r="985" spans="1:19" hidden="1" x14ac:dyDescent="0.25">
      <c r="A985" t="s">
        <v>134</v>
      </c>
      <c r="B985" t="s">
        <v>79</v>
      </c>
      <c r="C985" t="s">
        <v>126</v>
      </c>
      <c r="D985" t="s">
        <v>589</v>
      </c>
      <c r="E985" t="s">
        <v>94</v>
      </c>
      <c r="F985" t="s">
        <v>94</v>
      </c>
      <c r="G985">
        <v>0</v>
      </c>
      <c r="H985">
        <v>12</v>
      </c>
      <c r="I985">
        <v>12</v>
      </c>
      <c r="J985">
        <v>12</v>
      </c>
      <c r="K985" s="6">
        <v>100</v>
      </c>
      <c r="L985" s="6">
        <v>0</v>
      </c>
      <c r="M985" s="6">
        <v>100</v>
      </c>
      <c r="N985">
        <v>0</v>
      </c>
      <c r="O985" s="6">
        <v>0</v>
      </c>
      <c r="P985">
        <v>0</v>
      </c>
      <c r="Q985" s="8">
        <v>168.84</v>
      </c>
      <c r="R985" s="8">
        <v>168.84</v>
      </c>
      <c r="S985" s="9" t="s">
        <v>586</v>
      </c>
    </row>
    <row r="986" spans="1:19" hidden="1" x14ac:dyDescent="0.25">
      <c r="A986" t="s">
        <v>134</v>
      </c>
      <c r="B986" t="s">
        <v>79</v>
      </c>
      <c r="C986" t="s">
        <v>126</v>
      </c>
      <c r="D986" t="s">
        <v>589</v>
      </c>
      <c r="E986" t="s">
        <v>94</v>
      </c>
      <c r="F986" t="s">
        <v>96</v>
      </c>
      <c r="G986">
        <v>4</v>
      </c>
      <c r="H986">
        <v>12</v>
      </c>
      <c r="I986">
        <v>11</v>
      </c>
      <c r="J986">
        <v>11</v>
      </c>
      <c r="K986" s="6">
        <v>100</v>
      </c>
      <c r="L986" s="6">
        <v>0</v>
      </c>
      <c r="M986" s="6">
        <v>102.1</v>
      </c>
      <c r="N986">
        <v>2.1</v>
      </c>
      <c r="O986" s="6">
        <v>8.3000000000000007</v>
      </c>
      <c r="P986">
        <v>0</v>
      </c>
      <c r="Q986" s="8">
        <v>172.39</v>
      </c>
      <c r="R986" s="8">
        <v>172.39</v>
      </c>
      <c r="S986" s="10" t="s">
        <v>529</v>
      </c>
    </row>
    <row r="987" spans="1:19" hidden="1" x14ac:dyDescent="0.25">
      <c r="A987" t="s">
        <v>134</v>
      </c>
      <c r="B987" t="s">
        <v>79</v>
      </c>
      <c r="C987" t="s">
        <v>126</v>
      </c>
      <c r="D987" t="s">
        <v>589</v>
      </c>
      <c r="E987" t="s">
        <v>94</v>
      </c>
      <c r="F987" t="s">
        <v>6</v>
      </c>
      <c r="G987">
        <v>11</v>
      </c>
      <c r="H987">
        <v>12</v>
      </c>
      <c r="I987">
        <v>5</v>
      </c>
      <c r="J987">
        <v>5</v>
      </c>
      <c r="K987" s="6">
        <v>100</v>
      </c>
      <c r="L987" s="6">
        <v>0</v>
      </c>
      <c r="M987" s="6">
        <v>93.58</v>
      </c>
      <c r="N987">
        <v>-6.42</v>
      </c>
      <c r="O987" s="6">
        <v>58.3</v>
      </c>
      <c r="P987">
        <v>0</v>
      </c>
      <c r="Q987" s="8">
        <v>158</v>
      </c>
      <c r="R987" s="8">
        <v>158</v>
      </c>
      <c r="S987" s="9" t="s">
        <v>133</v>
      </c>
    </row>
    <row r="988" spans="1:19" hidden="1" x14ac:dyDescent="0.25">
      <c r="A988" t="s">
        <v>134</v>
      </c>
      <c r="B988" t="s">
        <v>79</v>
      </c>
      <c r="C988" t="s">
        <v>126</v>
      </c>
      <c r="D988" t="s">
        <v>590</v>
      </c>
      <c r="E988" t="s">
        <v>94</v>
      </c>
      <c r="F988" t="s">
        <v>94</v>
      </c>
      <c r="G988">
        <v>0</v>
      </c>
      <c r="H988">
        <v>2</v>
      </c>
      <c r="I988">
        <v>2</v>
      </c>
      <c r="J988">
        <v>2</v>
      </c>
      <c r="K988" s="6">
        <v>100</v>
      </c>
      <c r="L988" s="6">
        <v>0</v>
      </c>
      <c r="M988" s="6">
        <v>100</v>
      </c>
      <c r="N988">
        <v>0</v>
      </c>
      <c r="O988" s="6">
        <v>0</v>
      </c>
      <c r="P988">
        <v>0</v>
      </c>
      <c r="Q988" s="8">
        <v>176.29</v>
      </c>
      <c r="R988" s="8">
        <v>176.29</v>
      </c>
      <c r="S988" s="9" t="s">
        <v>536</v>
      </c>
    </row>
    <row r="989" spans="1:19" hidden="1" x14ac:dyDescent="0.25">
      <c r="A989" t="s">
        <v>134</v>
      </c>
      <c r="B989" t="s">
        <v>79</v>
      </c>
      <c r="C989" t="s">
        <v>126</v>
      </c>
      <c r="D989" t="s">
        <v>590</v>
      </c>
      <c r="E989" t="s">
        <v>94</v>
      </c>
      <c r="F989" t="s">
        <v>96</v>
      </c>
      <c r="G989">
        <v>4</v>
      </c>
      <c r="H989">
        <v>2</v>
      </c>
      <c r="I989">
        <v>2</v>
      </c>
      <c r="J989">
        <v>2</v>
      </c>
      <c r="K989" s="6">
        <v>100</v>
      </c>
      <c r="L989" s="6">
        <v>0</v>
      </c>
      <c r="M989" s="6">
        <v>100</v>
      </c>
      <c r="N989">
        <v>0</v>
      </c>
      <c r="O989" s="6">
        <v>0</v>
      </c>
      <c r="P989">
        <v>0</v>
      </c>
      <c r="Q989" s="8">
        <v>176.29</v>
      </c>
      <c r="R989" s="8">
        <v>176.29</v>
      </c>
      <c r="S989" s="9" t="s">
        <v>537</v>
      </c>
    </row>
    <row r="990" spans="1:19" hidden="1" x14ac:dyDescent="0.25">
      <c r="A990" t="s">
        <v>134</v>
      </c>
      <c r="B990" t="s">
        <v>79</v>
      </c>
      <c r="C990" t="s">
        <v>126</v>
      </c>
      <c r="D990" t="s">
        <v>590</v>
      </c>
      <c r="E990" t="s">
        <v>94</v>
      </c>
      <c r="F990" t="s">
        <v>6</v>
      </c>
      <c r="G990">
        <v>11</v>
      </c>
      <c r="H990">
        <v>2</v>
      </c>
      <c r="I990">
        <v>2</v>
      </c>
      <c r="J990">
        <v>2</v>
      </c>
      <c r="K990" s="6">
        <v>100</v>
      </c>
      <c r="L990" s="6">
        <v>0</v>
      </c>
      <c r="M990" s="6">
        <v>100</v>
      </c>
      <c r="N990">
        <v>0</v>
      </c>
      <c r="O990" s="6">
        <v>0</v>
      </c>
      <c r="P990">
        <v>0</v>
      </c>
      <c r="Q990" s="8">
        <v>176.29</v>
      </c>
      <c r="R990" s="8">
        <v>176.29</v>
      </c>
      <c r="S990" s="9" t="s">
        <v>537</v>
      </c>
    </row>
    <row r="991" spans="1:19" hidden="1" x14ac:dyDescent="0.25">
      <c r="A991" t="s">
        <v>134</v>
      </c>
      <c r="B991" t="s">
        <v>79</v>
      </c>
      <c r="C991" t="s">
        <v>127</v>
      </c>
      <c r="D991" t="s">
        <v>524</v>
      </c>
      <c r="E991" t="s">
        <v>90</v>
      </c>
      <c r="F991" t="s">
        <v>90</v>
      </c>
      <c r="G991">
        <v>0</v>
      </c>
      <c r="H991">
        <v>1</v>
      </c>
      <c r="I991">
        <v>1</v>
      </c>
      <c r="J991">
        <v>1</v>
      </c>
      <c r="K991" s="6">
        <v>100</v>
      </c>
      <c r="L991" s="6">
        <v>0</v>
      </c>
      <c r="M991" s="6">
        <v>100</v>
      </c>
      <c r="N991">
        <v>0</v>
      </c>
      <c r="O991" s="6">
        <v>0</v>
      </c>
      <c r="P991">
        <v>0</v>
      </c>
      <c r="Q991" s="8">
        <v>232.71</v>
      </c>
      <c r="R991" s="8">
        <v>232.71</v>
      </c>
      <c r="S991" s="9" t="s">
        <v>540</v>
      </c>
    </row>
    <row r="992" spans="1:19" hidden="1" x14ac:dyDescent="0.25">
      <c r="A992" t="s">
        <v>134</v>
      </c>
      <c r="B992" t="s">
        <v>79</v>
      </c>
      <c r="C992" t="s">
        <v>127</v>
      </c>
      <c r="D992" t="s">
        <v>524</v>
      </c>
      <c r="E992" t="s">
        <v>90</v>
      </c>
      <c r="F992" t="s">
        <v>91</v>
      </c>
      <c r="G992">
        <v>1</v>
      </c>
      <c r="H992">
        <v>1</v>
      </c>
      <c r="I992">
        <v>1</v>
      </c>
      <c r="J992">
        <v>1</v>
      </c>
      <c r="K992" s="6">
        <v>100</v>
      </c>
      <c r="L992" s="6">
        <v>0</v>
      </c>
      <c r="M992" s="6">
        <v>100</v>
      </c>
      <c r="N992">
        <v>0</v>
      </c>
      <c r="O992" s="6">
        <v>0</v>
      </c>
      <c r="P992">
        <v>0</v>
      </c>
      <c r="Q992" s="8">
        <v>232.71</v>
      </c>
      <c r="R992" s="8">
        <v>232.71</v>
      </c>
      <c r="S992" s="9" t="s">
        <v>541</v>
      </c>
    </row>
    <row r="993" spans="1:19" hidden="1" x14ac:dyDescent="0.25">
      <c r="A993" t="s">
        <v>134</v>
      </c>
      <c r="B993" t="s">
        <v>79</v>
      </c>
      <c r="C993" t="s">
        <v>127</v>
      </c>
      <c r="D993" t="s">
        <v>524</v>
      </c>
      <c r="E993" t="s">
        <v>90</v>
      </c>
      <c r="F993" t="s">
        <v>94</v>
      </c>
      <c r="G993">
        <v>2</v>
      </c>
      <c r="H993">
        <v>1</v>
      </c>
      <c r="I993">
        <v>1</v>
      </c>
      <c r="J993">
        <v>1</v>
      </c>
      <c r="K993" s="6">
        <v>97.54</v>
      </c>
      <c r="L993" s="6">
        <v>-2.46</v>
      </c>
      <c r="M993" s="6">
        <v>97.54</v>
      </c>
      <c r="N993">
        <v>0</v>
      </c>
      <c r="O993" s="6">
        <v>0</v>
      </c>
      <c r="P993">
        <v>0</v>
      </c>
      <c r="Q993" s="8">
        <v>232.71</v>
      </c>
      <c r="R993" s="8">
        <v>227</v>
      </c>
      <c r="S993" s="9" t="s">
        <v>541</v>
      </c>
    </row>
    <row r="994" spans="1:19" hidden="1" x14ac:dyDescent="0.25">
      <c r="A994" t="s">
        <v>134</v>
      </c>
      <c r="B994" t="s">
        <v>79</v>
      </c>
      <c r="C994" t="s">
        <v>127</v>
      </c>
      <c r="D994" t="s">
        <v>524</v>
      </c>
      <c r="E994" t="s">
        <v>90</v>
      </c>
      <c r="F994" t="s">
        <v>96</v>
      </c>
      <c r="G994">
        <v>6</v>
      </c>
      <c r="H994">
        <v>1</v>
      </c>
      <c r="I994">
        <v>1</v>
      </c>
      <c r="J994">
        <v>1</v>
      </c>
      <c r="K994" s="6">
        <v>97.54</v>
      </c>
      <c r="L994" s="6">
        <v>-2.46</v>
      </c>
      <c r="M994" s="6">
        <v>97.54</v>
      </c>
      <c r="N994">
        <v>0</v>
      </c>
      <c r="O994" s="6">
        <v>0</v>
      </c>
      <c r="P994">
        <v>0</v>
      </c>
      <c r="Q994" s="8">
        <v>232.71</v>
      </c>
      <c r="R994" s="8">
        <v>227</v>
      </c>
      <c r="S994" s="9" t="s">
        <v>541</v>
      </c>
    </row>
    <row r="995" spans="1:19" hidden="1" x14ac:dyDescent="0.25">
      <c r="A995" t="s">
        <v>134</v>
      </c>
      <c r="B995" t="s">
        <v>79</v>
      </c>
      <c r="C995" t="s">
        <v>127</v>
      </c>
      <c r="D995" t="s">
        <v>524</v>
      </c>
      <c r="E995" t="s">
        <v>90</v>
      </c>
      <c r="F995" t="s">
        <v>6</v>
      </c>
      <c r="G995">
        <v>13</v>
      </c>
      <c r="H995">
        <v>1</v>
      </c>
      <c r="I995">
        <v>1</v>
      </c>
      <c r="J995">
        <v>1</v>
      </c>
      <c r="K995" s="6">
        <v>97.54</v>
      </c>
      <c r="L995" s="6">
        <v>-2.46</v>
      </c>
      <c r="M995" s="6">
        <v>97.54</v>
      </c>
      <c r="N995">
        <v>0</v>
      </c>
      <c r="O995" s="6">
        <v>0</v>
      </c>
      <c r="P995">
        <v>0</v>
      </c>
      <c r="Q995" s="8">
        <v>232.71</v>
      </c>
      <c r="R995" s="8">
        <v>227</v>
      </c>
      <c r="S995" s="9" t="s">
        <v>541</v>
      </c>
    </row>
    <row r="996" spans="1:19" hidden="1" x14ac:dyDescent="0.25">
      <c r="A996" t="s">
        <v>134</v>
      </c>
      <c r="B996" t="s">
        <v>79</v>
      </c>
      <c r="C996" t="s">
        <v>127</v>
      </c>
      <c r="D996" t="s">
        <v>527</v>
      </c>
      <c r="E996" t="s">
        <v>90</v>
      </c>
      <c r="F996" t="s">
        <v>90</v>
      </c>
      <c r="G996">
        <v>0</v>
      </c>
      <c r="H996">
        <v>6</v>
      </c>
      <c r="I996">
        <v>6</v>
      </c>
      <c r="J996">
        <v>6</v>
      </c>
      <c r="K996" s="6">
        <v>100</v>
      </c>
      <c r="L996" s="6">
        <v>0</v>
      </c>
      <c r="M996" s="6">
        <v>100</v>
      </c>
      <c r="N996">
        <v>0</v>
      </c>
      <c r="O996" s="6">
        <v>0</v>
      </c>
      <c r="P996">
        <v>0</v>
      </c>
      <c r="Q996" s="8">
        <v>206.54</v>
      </c>
      <c r="R996" s="8">
        <v>206.54</v>
      </c>
      <c r="S996" s="9" t="s">
        <v>534</v>
      </c>
    </row>
    <row r="997" spans="1:19" hidden="1" x14ac:dyDescent="0.25">
      <c r="A997" t="s">
        <v>134</v>
      </c>
      <c r="B997" t="s">
        <v>79</v>
      </c>
      <c r="C997" t="s">
        <v>127</v>
      </c>
      <c r="D997" t="s">
        <v>527</v>
      </c>
      <c r="E997" t="s">
        <v>90</v>
      </c>
      <c r="F997" t="s">
        <v>91</v>
      </c>
      <c r="G997">
        <v>1</v>
      </c>
      <c r="H997">
        <v>6</v>
      </c>
      <c r="I997">
        <v>6</v>
      </c>
      <c r="J997">
        <v>6</v>
      </c>
      <c r="K997" s="6">
        <v>100</v>
      </c>
      <c r="L997" s="6">
        <v>0</v>
      </c>
      <c r="M997" s="6">
        <v>100</v>
      </c>
      <c r="N997">
        <v>0</v>
      </c>
      <c r="O997" s="6">
        <v>0</v>
      </c>
      <c r="P997">
        <v>0</v>
      </c>
      <c r="Q997" s="8">
        <v>206.54</v>
      </c>
      <c r="R997" s="8">
        <v>206.54</v>
      </c>
      <c r="S997" s="9" t="s">
        <v>535</v>
      </c>
    </row>
    <row r="998" spans="1:19" hidden="1" x14ac:dyDescent="0.25">
      <c r="A998" t="s">
        <v>134</v>
      </c>
      <c r="B998" t="s">
        <v>79</v>
      </c>
      <c r="C998" t="s">
        <v>127</v>
      </c>
      <c r="D998" t="s">
        <v>527</v>
      </c>
      <c r="E998" t="s">
        <v>90</v>
      </c>
      <c r="F998" t="s">
        <v>94</v>
      </c>
      <c r="G998">
        <v>2</v>
      </c>
      <c r="H998">
        <v>6</v>
      </c>
      <c r="I998">
        <v>6</v>
      </c>
      <c r="J998">
        <v>6</v>
      </c>
      <c r="K998" s="6">
        <v>97.88</v>
      </c>
      <c r="L998" s="6">
        <v>-1.8</v>
      </c>
      <c r="M998" s="6">
        <v>97.88</v>
      </c>
      <c r="N998">
        <v>0</v>
      </c>
      <c r="O998" s="6">
        <v>0</v>
      </c>
      <c r="P998">
        <v>0</v>
      </c>
      <c r="Q998" s="8">
        <v>206.54</v>
      </c>
      <c r="R998" s="8">
        <v>202.16</v>
      </c>
      <c r="S998" s="9" t="s">
        <v>535</v>
      </c>
    </row>
    <row r="999" spans="1:19" hidden="1" x14ac:dyDescent="0.25">
      <c r="A999" t="s">
        <v>134</v>
      </c>
      <c r="B999" t="s">
        <v>79</v>
      </c>
      <c r="C999" t="s">
        <v>127</v>
      </c>
      <c r="D999" t="s">
        <v>527</v>
      </c>
      <c r="E999" t="s">
        <v>90</v>
      </c>
      <c r="F999" t="s">
        <v>96</v>
      </c>
      <c r="G999">
        <v>6</v>
      </c>
      <c r="H999">
        <v>6</v>
      </c>
      <c r="I999">
        <v>6</v>
      </c>
      <c r="J999">
        <v>6</v>
      </c>
      <c r="K999" s="6">
        <v>97.88</v>
      </c>
      <c r="L999" s="6">
        <v>-1.8</v>
      </c>
      <c r="M999" s="6">
        <v>97.88</v>
      </c>
      <c r="N999">
        <v>0</v>
      </c>
      <c r="O999" s="6">
        <v>0</v>
      </c>
      <c r="P999">
        <v>0</v>
      </c>
      <c r="Q999" s="8">
        <v>206.54</v>
      </c>
      <c r="R999" s="8">
        <v>202.16</v>
      </c>
      <c r="S999" s="9" t="s">
        <v>535</v>
      </c>
    </row>
    <row r="1000" spans="1:19" hidden="1" x14ac:dyDescent="0.25">
      <c r="A1000" t="s">
        <v>134</v>
      </c>
      <c r="B1000" t="s">
        <v>79</v>
      </c>
      <c r="C1000" t="s">
        <v>127</v>
      </c>
      <c r="D1000" t="s">
        <v>527</v>
      </c>
      <c r="E1000" t="s">
        <v>90</v>
      </c>
      <c r="F1000" t="s">
        <v>6</v>
      </c>
      <c r="G1000">
        <v>13</v>
      </c>
      <c r="H1000">
        <v>6</v>
      </c>
      <c r="I1000">
        <v>6</v>
      </c>
      <c r="J1000">
        <v>6</v>
      </c>
      <c r="K1000" s="6">
        <v>95.44</v>
      </c>
      <c r="L1000" s="6">
        <v>-3.67</v>
      </c>
      <c r="M1000" s="6">
        <v>95.44</v>
      </c>
      <c r="N1000">
        <v>0</v>
      </c>
      <c r="O1000" s="6">
        <v>0</v>
      </c>
      <c r="P1000">
        <v>0</v>
      </c>
      <c r="Q1000" s="8">
        <v>206.54</v>
      </c>
      <c r="R1000" s="8">
        <v>197.12</v>
      </c>
      <c r="S1000" s="9" t="s">
        <v>535</v>
      </c>
    </row>
    <row r="1001" spans="1:19" hidden="1" x14ac:dyDescent="0.25">
      <c r="A1001" t="s">
        <v>134</v>
      </c>
      <c r="B1001" t="s">
        <v>79</v>
      </c>
      <c r="C1001" t="s">
        <v>127</v>
      </c>
      <c r="D1001" t="s">
        <v>530</v>
      </c>
      <c r="E1001" t="s">
        <v>90</v>
      </c>
      <c r="F1001" t="s">
        <v>90</v>
      </c>
      <c r="G1001">
        <v>0</v>
      </c>
      <c r="H1001">
        <v>3</v>
      </c>
      <c r="I1001">
        <v>3</v>
      </c>
      <c r="J1001">
        <v>3</v>
      </c>
      <c r="K1001" s="6">
        <v>100</v>
      </c>
      <c r="L1001" s="6">
        <v>0</v>
      </c>
      <c r="M1001" s="6">
        <v>100</v>
      </c>
      <c r="N1001">
        <v>0</v>
      </c>
      <c r="O1001" s="6">
        <v>0</v>
      </c>
      <c r="P1001">
        <v>0</v>
      </c>
      <c r="Q1001" s="8">
        <v>253.21</v>
      </c>
      <c r="R1001" s="8">
        <v>253.21</v>
      </c>
      <c r="S1001" s="9" t="s">
        <v>525</v>
      </c>
    </row>
    <row r="1002" spans="1:19" hidden="1" x14ac:dyDescent="0.25">
      <c r="A1002" t="s">
        <v>134</v>
      </c>
      <c r="B1002" t="s">
        <v>79</v>
      </c>
      <c r="C1002" t="s">
        <v>127</v>
      </c>
      <c r="D1002" t="s">
        <v>530</v>
      </c>
      <c r="E1002" t="s">
        <v>90</v>
      </c>
      <c r="F1002" t="s">
        <v>91</v>
      </c>
      <c r="G1002">
        <v>1</v>
      </c>
      <c r="H1002">
        <v>3</v>
      </c>
      <c r="I1002">
        <v>3</v>
      </c>
      <c r="J1002">
        <v>3</v>
      </c>
      <c r="K1002" s="6">
        <v>100</v>
      </c>
      <c r="L1002" s="6">
        <v>0</v>
      </c>
      <c r="M1002" s="6">
        <v>100</v>
      </c>
      <c r="N1002">
        <v>0</v>
      </c>
      <c r="O1002" s="6">
        <v>0</v>
      </c>
      <c r="P1002">
        <v>0</v>
      </c>
      <c r="Q1002" s="8">
        <v>253.21</v>
      </c>
      <c r="R1002" s="8">
        <v>253.21</v>
      </c>
      <c r="S1002" s="9" t="s">
        <v>526</v>
      </c>
    </row>
    <row r="1003" spans="1:19" hidden="1" x14ac:dyDescent="0.25">
      <c r="A1003" t="s">
        <v>134</v>
      </c>
      <c r="B1003" t="s">
        <v>79</v>
      </c>
      <c r="C1003" t="s">
        <v>127</v>
      </c>
      <c r="D1003" t="s">
        <v>530</v>
      </c>
      <c r="E1003" t="s">
        <v>90</v>
      </c>
      <c r="F1003" t="s">
        <v>94</v>
      </c>
      <c r="G1003">
        <v>2</v>
      </c>
      <c r="H1003">
        <v>3</v>
      </c>
      <c r="I1003">
        <v>3</v>
      </c>
      <c r="J1003">
        <v>3</v>
      </c>
      <c r="K1003" s="6">
        <v>98.68</v>
      </c>
      <c r="L1003" s="6">
        <v>0</v>
      </c>
      <c r="M1003" s="6">
        <v>98.68</v>
      </c>
      <c r="N1003">
        <v>0</v>
      </c>
      <c r="O1003" s="6">
        <v>0</v>
      </c>
      <c r="P1003">
        <v>0</v>
      </c>
      <c r="Q1003" s="8">
        <v>253.21</v>
      </c>
      <c r="R1003" s="8">
        <v>249.88</v>
      </c>
      <c r="S1003" s="9" t="s">
        <v>526</v>
      </c>
    </row>
    <row r="1004" spans="1:19" hidden="1" x14ac:dyDescent="0.25">
      <c r="A1004" t="s">
        <v>134</v>
      </c>
      <c r="B1004" t="s">
        <v>79</v>
      </c>
      <c r="C1004" t="s">
        <v>127</v>
      </c>
      <c r="D1004" t="s">
        <v>530</v>
      </c>
      <c r="E1004" t="s">
        <v>90</v>
      </c>
      <c r="F1004" t="s">
        <v>96</v>
      </c>
      <c r="G1004">
        <v>6</v>
      </c>
      <c r="H1004">
        <v>3</v>
      </c>
      <c r="I1004">
        <v>3</v>
      </c>
      <c r="J1004">
        <v>3</v>
      </c>
      <c r="K1004" s="6">
        <v>98.68</v>
      </c>
      <c r="L1004" s="6">
        <v>0</v>
      </c>
      <c r="M1004" s="6">
        <v>98.68</v>
      </c>
      <c r="N1004">
        <v>0</v>
      </c>
      <c r="O1004" s="6">
        <v>0</v>
      </c>
      <c r="P1004">
        <v>0</v>
      </c>
      <c r="Q1004" s="8">
        <v>253.21</v>
      </c>
      <c r="R1004" s="8">
        <v>249.88</v>
      </c>
      <c r="S1004" s="9" t="s">
        <v>526</v>
      </c>
    </row>
    <row r="1005" spans="1:19" hidden="1" x14ac:dyDescent="0.25">
      <c r="A1005" t="s">
        <v>134</v>
      </c>
      <c r="B1005" t="s">
        <v>79</v>
      </c>
      <c r="C1005" t="s">
        <v>127</v>
      </c>
      <c r="D1005" t="s">
        <v>530</v>
      </c>
      <c r="E1005" t="s">
        <v>90</v>
      </c>
      <c r="F1005" t="s">
        <v>6</v>
      </c>
      <c r="G1005">
        <v>13</v>
      </c>
      <c r="H1005">
        <v>3</v>
      </c>
      <c r="I1005">
        <v>3</v>
      </c>
      <c r="J1005">
        <v>3</v>
      </c>
      <c r="K1005" s="6">
        <v>95.05</v>
      </c>
      <c r="L1005" s="6">
        <v>-5.5</v>
      </c>
      <c r="M1005" s="6">
        <v>95.05</v>
      </c>
      <c r="N1005">
        <v>0</v>
      </c>
      <c r="O1005" s="6">
        <v>0</v>
      </c>
      <c r="P1005">
        <v>0</v>
      </c>
      <c r="Q1005" s="8">
        <v>253.21</v>
      </c>
      <c r="R1005" s="8">
        <v>240.67</v>
      </c>
      <c r="S1005" s="9" t="s">
        <v>526</v>
      </c>
    </row>
    <row r="1006" spans="1:19" hidden="1" x14ac:dyDescent="0.25">
      <c r="A1006" t="s">
        <v>134</v>
      </c>
      <c r="B1006" t="s">
        <v>79</v>
      </c>
      <c r="C1006" t="s">
        <v>127</v>
      </c>
      <c r="D1006" t="s">
        <v>531</v>
      </c>
      <c r="E1006" t="s">
        <v>90</v>
      </c>
      <c r="F1006" t="s">
        <v>90</v>
      </c>
      <c r="G1006">
        <v>0</v>
      </c>
      <c r="H1006">
        <v>5</v>
      </c>
      <c r="I1006">
        <v>5</v>
      </c>
      <c r="J1006">
        <v>5</v>
      </c>
      <c r="K1006" s="6">
        <v>100</v>
      </c>
      <c r="L1006" s="6">
        <v>0</v>
      </c>
      <c r="M1006" s="6">
        <v>100</v>
      </c>
      <c r="N1006">
        <v>0</v>
      </c>
      <c r="O1006" s="6">
        <v>0</v>
      </c>
      <c r="P1006">
        <v>0</v>
      </c>
      <c r="Q1006" s="8">
        <v>266.70999999999998</v>
      </c>
      <c r="R1006" s="8">
        <v>266.70999999999998</v>
      </c>
      <c r="S1006" s="9" t="s">
        <v>538</v>
      </c>
    </row>
    <row r="1007" spans="1:19" hidden="1" x14ac:dyDescent="0.25">
      <c r="A1007" t="s">
        <v>134</v>
      </c>
      <c r="B1007" t="s">
        <v>79</v>
      </c>
      <c r="C1007" t="s">
        <v>127</v>
      </c>
      <c r="D1007" t="s">
        <v>531</v>
      </c>
      <c r="E1007" t="s">
        <v>90</v>
      </c>
      <c r="F1007" t="s">
        <v>91</v>
      </c>
      <c r="G1007">
        <v>1</v>
      </c>
      <c r="H1007">
        <v>5</v>
      </c>
      <c r="I1007">
        <v>5</v>
      </c>
      <c r="J1007">
        <v>5</v>
      </c>
      <c r="K1007" s="6">
        <v>100</v>
      </c>
      <c r="L1007" s="6">
        <v>0</v>
      </c>
      <c r="M1007" s="6">
        <v>100</v>
      </c>
      <c r="N1007">
        <v>0</v>
      </c>
      <c r="O1007" s="6">
        <v>0</v>
      </c>
      <c r="P1007">
        <v>0</v>
      </c>
      <c r="Q1007" s="8">
        <v>266.70999999999998</v>
      </c>
      <c r="R1007" s="8">
        <v>266.70999999999998</v>
      </c>
      <c r="S1007" s="9" t="s">
        <v>133</v>
      </c>
    </row>
    <row r="1008" spans="1:19" hidden="1" x14ac:dyDescent="0.25">
      <c r="A1008" t="s">
        <v>134</v>
      </c>
      <c r="B1008" t="s">
        <v>79</v>
      </c>
      <c r="C1008" t="s">
        <v>127</v>
      </c>
      <c r="D1008" t="s">
        <v>531</v>
      </c>
      <c r="E1008" t="s">
        <v>90</v>
      </c>
      <c r="F1008" t="s">
        <v>94</v>
      </c>
      <c r="G1008">
        <v>2</v>
      </c>
      <c r="H1008">
        <v>5</v>
      </c>
      <c r="I1008">
        <v>5</v>
      </c>
      <c r="J1008">
        <v>5</v>
      </c>
      <c r="K1008" s="6">
        <v>96.89</v>
      </c>
      <c r="L1008" s="6">
        <v>-3.19</v>
      </c>
      <c r="M1008" s="6">
        <v>96.89</v>
      </c>
      <c r="N1008">
        <v>0</v>
      </c>
      <c r="O1008" s="6">
        <v>0</v>
      </c>
      <c r="P1008">
        <v>0</v>
      </c>
      <c r="Q1008" s="8">
        <v>266.70999999999998</v>
      </c>
      <c r="R1008" s="8">
        <v>258.43</v>
      </c>
      <c r="S1008" s="9" t="s">
        <v>133</v>
      </c>
    </row>
    <row r="1009" spans="1:19" hidden="1" x14ac:dyDescent="0.25">
      <c r="A1009" t="s">
        <v>134</v>
      </c>
      <c r="B1009" t="s">
        <v>79</v>
      </c>
      <c r="C1009" t="s">
        <v>127</v>
      </c>
      <c r="D1009" t="s">
        <v>531</v>
      </c>
      <c r="E1009" t="s">
        <v>90</v>
      </c>
      <c r="F1009" t="s">
        <v>96</v>
      </c>
      <c r="G1009">
        <v>6</v>
      </c>
      <c r="H1009">
        <v>5</v>
      </c>
      <c r="I1009">
        <v>5</v>
      </c>
      <c r="J1009">
        <v>5</v>
      </c>
      <c r="K1009" s="6">
        <v>96.89</v>
      </c>
      <c r="L1009" s="6">
        <v>-3.19</v>
      </c>
      <c r="M1009" s="6">
        <v>96.89</v>
      </c>
      <c r="N1009">
        <v>0</v>
      </c>
      <c r="O1009" s="6">
        <v>0</v>
      </c>
      <c r="P1009">
        <v>0</v>
      </c>
      <c r="Q1009" s="8">
        <v>266.70999999999998</v>
      </c>
      <c r="R1009" s="8">
        <v>258.43</v>
      </c>
      <c r="S1009" s="9" t="s">
        <v>133</v>
      </c>
    </row>
    <row r="1010" spans="1:19" hidden="1" x14ac:dyDescent="0.25">
      <c r="A1010" t="s">
        <v>134</v>
      </c>
      <c r="B1010" t="s">
        <v>79</v>
      </c>
      <c r="C1010" t="s">
        <v>127</v>
      </c>
      <c r="D1010" t="s">
        <v>531</v>
      </c>
      <c r="E1010" t="s">
        <v>90</v>
      </c>
      <c r="F1010" t="s">
        <v>6</v>
      </c>
      <c r="G1010">
        <v>13</v>
      </c>
      <c r="H1010">
        <v>5</v>
      </c>
      <c r="I1010">
        <v>5</v>
      </c>
      <c r="J1010">
        <v>5</v>
      </c>
      <c r="K1010" s="6">
        <v>91.86</v>
      </c>
      <c r="L1010" s="6">
        <v>-8.52</v>
      </c>
      <c r="M1010" s="6">
        <v>91.86</v>
      </c>
      <c r="N1010">
        <v>0</v>
      </c>
      <c r="O1010" s="6">
        <v>0</v>
      </c>
      <c r="P1010">
        <v>0</v>
      </c>
      <c r="Q1010" s="8">
        <v>266.70999999999998</v>
      </c>
      <c r="R1010" s="8">
        <v>245</v>
      </c>
      <c r="S1010" s="9" t="s">
        <v>133</v>
      </c>
    </row>
    <row r="1011" spans="1:19" hidden="1" x14ac:dyDescent="0.25">
      <c r="A1011" t="s">
        <v>134</v>
      </c>
      <c r="B1011" t="s">
        <v>79</v>
      </c>
      <c r="C1011" t="s">
        <v>127</v>
      </c>
      <c r="D1011" t="s">
        <v>532</v>
      </c>
      <c r="E1011" t="s">
        <v>90</v>
      </c>
      <c r="F1011" t="s">
        <v>90</v>
      </c>
      <c r="G1011">
        <v>0</v>
      </c>
      <c r="H1011">
        <v>5</v>
      </c>
      <c r="I1011">
        <v>5</v>
      </c>
      <c r="J1011">
        <v>5</v>
      </c>
      <c r="K1011" s="6">
        <v>100</v>
      </c>
      <c r="L1011" s="6">
        <v>0</v>
      </c>
      <c r="M1011" s="6">
        <v>100</v>
      </c>
      <c r="N1011">
        <v>0</v>
      </c>
      <c r="O1011" s="6">
        <v>0</v>
      </c>
      <c r="P1011">
        <v>0</v>
      </c>
      <c r="Q1011" s="8">
        <v>263.94</v>
      </c>
      <c r="R1011" s="8">
        <v>263.94</v>
      </c>
      <c r="S1011" s="9" t="s">
        <v>538</v>
      </c>
    </row>
    <row r="1012" spans="1:19" hidden="1" x14ac:dyDescent="0.25">
      <c r="A1012" t="s">
        <v>134</v>
      </c>
      <c r="B1012" t="s">
        <v>79</v>
      </c>
      <c r="C1012" t="s">
        <v>127</v>
      </c>
      <c r="D1012" t="s">
        <v>532</v>
      </c>
      <c r="E1012" t="s">
        <v>90</v>
      </c>
      <c r="F1012" t="s">
        <v>91</v>
      </c>
      <c r="G1012">
        <v>1</v>
      </c>
      <c r="H1012">
        <v>5</v>
      </c>
      <c r="I1012">
        <v>4</v>
      </c>
      <c r="J1012">
        <v>4</v>
      </c>
      <c r="K1012" s="6">
        <v>100</v>
      </c>
      <c r="L1012" s="6">
        <v>0</v>
      </c>
      <c r="M1012" s="6">
        <v>96.87</v>
      </c>
      <c r="N1012">
        <v>-3.13</v>
      </c>
      <c r="O1012" s="6">
        <v>20</v>
      </c>
      <c r="P1012">
        <v>0</v>
      </c>
      <c r="Q1012" s="8">
        <v>255.67</v>
      </c>
      <c r="R1012" s="8">
        <v>255.67</v>
      </c>
      <c r="S1012" s="9" t="s">
        <v>548</v>
      </c>
    </row>
    <row r="1013" spans="1:19" hidden="1" x14ac:dyDescent="0.25">
      <c r="A1013" t="s">
        <v>134</v>
      </c>
      <c r="B1013" t="s">
        <v>79</v>
      </c>
      <c r="C1013" t="s">
        <v>127</v>
      </c>
      <c r="D1013" t="s">
        <v>532</v>
      </c>
      <c r="E1013" t="s">
        <v>90</v>
      </c>
      <c r="F1013" t="s">
        <v>94</v>
      </c>
      <c r="G1013">
        <v>2</v>
      </c>
      <c r="H1013">
        <v>5</v>
      </c>
      <c r="I1013">
        <v>4</v>
      </c>
      <c r="J1013">
        <v>4</v>
      </c>
      <c r="K1013" s="6">
        <v>100.2</v>
      </c>
      <c r="L1013" s="6">
        <v>0</v>
      </c>
      <c r="M1013" s="6">
        <v>97.06</v>
      </c>
      <c r="N1013">
        <v>-3.14</v>
      </c>
      <c r="O1013" s="6">
        <v>20</v>
      </c>
      <c r="P1013">
        <v>0</v>
      </c>
      <c r="Q1013" s="8">
        <v>255.67</v>
      </c>
      <c r="R1013" s="8">
        <v>256.17</v>
      </c>
      <c r="S1013" s="9" t="s">
        <v>548</v>
      </c>
    </row>
    <row r="1014" spans="1:19" hidden="1" x14ac:dyDescent="0.25">
      <c r="A1014" t="s">
        <v>134</v>
      </c>
      <c r="B1014" t="s">
        <v>79</v>
      </c>
      <c r="C1014" t="s">
        <v>127</v>
      </c>
      <c r="D1014" t="s">
        <v>532</v>
      </c>
      <c r="E1014" t="s">
        <v>90</v>
      </c>
      <c r="F1014" t="s">
        <v>96</v>
      </c>
      <c r="G1014">
        <v>6</v>
      </c>
      <c r="H1014">
        <v>5</v>
      </c>
      <c r="I1014">
        <v>4</v>
      </c>
      <c r="J1014">
        <v>4</v>
      </c>
      <c r="K1014" s="6">
        <v>100.2</v>
      </c>
      <c r="L1014" s="6">
        <v>0</v>
      </c>
      <c r="M1014" s="6">
        <v>97.06</v>
      </c>
      <c r="N1014">
        <v>-3.14</v>
      </c>
      <c r="O1014" s="6">
        <v>20</v>
      </c>
      <c r="P1014">
        <v>0</v>
      </c>
      <c r="Q1014" s="8">
        <v>255.67</v>
      </c>
      <c r="R1014" s="8">
        <v>256.17</v>
      </c>
      <c r="S1014" s="9" t="s">
        <v>548</v>
      </c>
    </row>
    <row r="1015" spans="1:19" hidden="1" x14ac:dyDescent="0.25">
      <c r="A1015" t="s">
        <v>134</v>
      </c>
      <c r="B1015" t="s">
        <v>79</v>
      </c>
      <c r="C1015" t="s">
        <v>127</v>
      </c>
      <c r="D1015" t="s">
        <v>532</v>
      </c>
      <c r="E1015" t="s">
        <v>90</v>
      </c>
      <c r="F1015" t="s">
        <v>6</v>
      </c>
      <c r="G1015">
        <v>13</v>
      </c>
      <c r="H1015">
        <v>5</v>
      </c>
      <c r="I1015">
        <v>4</v>
      </c>
      <c r="J1015">
        <v>4</v>
      </c>
      <c r="K1015" s="6">
        <v>100.41</v>
      </c>
      <c r="L1015" s="6">
        <v>0.38</v>
      </c>
      <c r="M1015" s="6">
        <v>97.27</v>
      </c>
      <c r="N1015">
        <v>-3.14</v>
      </c>
      <c r="O1015" s="6">
        <v>20</v>
      </c>
      <c r="P1015">
        <v>0</v>
      </c>
      <c r="Q1015" s="8">
        <v>255.67</v>
      </c>
      <c r="R1015" s="8">
        <v>256.73</v>
      </c>
      <c r="S1015" s="9" t="s">
        <v>548</v>
      </c>
    </row>
    <row r="1016" spans="1:19" hidden="1" x14ac:dyDescent="0.25">
      <c r="A1016" t="s">
        <v>134</v>
      </c>
      <c r="B1016" t="s">
        <v>79</v>
      </c>
      <c r="C1016" t="s">
        <v>127</v>
      </c>
      <c r="D1016" t="s">
        <v>533</v>
      </c>
      <c r="E1016" t="s">
        <v>94</v>
      </c>
      <c r="F1016" t="s">
        <v>94</v>
      </c>
      <c r="G1016">
        <v>0</v>
      </c>
      <c r="H1016">
        <v>8</v>
      </c>
      <c r="I1016">
        <v>8</v>
      </c>
      <c r="J1016">
        <v>8</v>
      </c>
      <c r="K1016" s="6">
        <v>100</v>
      </c>
      <c r="L1016" s="6">
        <v>0</v>
      </c>
      <c r="M1016" s="6">
        <v>100</v>
      </c>
      <c r="N1016">
        <v>0</v>
      </c>
      <c r="O1016" s="6">
        <v>0</v>
      </c>
      <c r="P1016">
        <v>0</v>
      </c>
      <c r="Q1016" s="8">
        <v>224.99</v>
      </c>
      <c r="R1016" s="8">
        <v>224.99</v>
      </c>
      <c r="S1016" s="9" t="s">
        <v>543</v>
      </c>
    </row>
    <row r="1017" spans="1:19" hidden="1" x14ac:dyDescent="0.25">
      <c r="A1017" t="s">
        <v>134</v>
      </c>
      <c r="B1017" t="s">
        <v>79</v>
      </c>
      <c r="C1017" t="s">
        <v>127</v>
      </c>
      <c r="D1017" t="s">
        <v>533</v>
      </c>
      <c r="E1017" t="s">
        <v>94</v>
      </c>
      <c r="F1017" t="s">
        <v>96</v>
      </c>
      <c r="G1017">
        <v>4</v>
      </c>
      <c r="H1017">
        <v>8</v>
      </c>
      <c r="I1017">
        <v>7</v>
      </c>
      <c r="J1017">
        <v>7</v>
      </c>
      <c r="K1017" s="6">
        <v>100.46</v>
      </c>
      <c r="L1017" s="6">
        <v>0</v>
      </c>
      <c r="M1017" s="6">
        <v>98.97</v>
      </c>
      <c r="N1017">
        <v>-1.49</v>
      </c>
      <c r="O1017" s="6">
        <v>12.5</v>
      </c>
      <c r="P1017">
        <v>0</v>
      </c>
      <c r="Q1017" s="8">
        <v>221.65</v>
      </c>
      <c r="R1017" s="8">
        <v>222.67</v>
      </c>
      <c r="S1017" s="9" t="s">
        <v>550</v>
      </c>
    </row>
    <row r="1018" spans="1:19" hidden="1" x14ac:dyDescent="0.25">
      <c r="A1018" t="s">
        <v>134</v>
      </c>
      <c r="B1018" t="s">
        <v>79</v>
      </c>
      <c r="C1018" t="s">
        <v>127</v>
      </c>
      <c r="D1018" t="s">
        <v>533</v>
      </c>
      <c r="E1018" t="s">
        <v>94</v>
      </c>
      <c r="F1018" t="s">
        <v>6</v>
      </c>
      <c r="G1018">
        <v>11</v>
      </c>
      <c r="H1018">
        <v>8</v>
      </c>
      <c r="I1018">
        <v>8</v>
      </c>
      <c r="J1018">
        <v>7</v>
      </c>
      <c r="K1018" s="6">
        <v>100.46</v>
      </c>
      <c r="L1018" s="6">
        <v>0</v>
      </c>
      <c r="M1018" s="6">
        <v>101.11</v>
      </c>
      <c r="N1018">
        <v>0.65</v>
      </c>
      <c r="O1018" s="6">
        <v>12.5</v>
      </c>
      <c r="P1018">
        <v>1</v>
      </c>
      <c r="Q1018" s="8">
        <v>221.65</v>
      </c>
      <c r="R1018" s="8">
        <v>222.67</v>
      </c>
      <c r="S1018" s="9" t="s">
        <v>550</v>
      </c>
    </row>
    <row r="1019" spans="1:19" hidden="1" x14ac:dyDescent="0.25">
      <c r="A1019" t="s">
        <v>134</v>
      </c>
      <c r="B1019" t="s">
        <v>79</v>
      </c>
      <c r="C1019" t="s">
        <v>127</v>
      </c>
      <c r="D1019" t="s">
        <v>545</v>
      </c>
      <c r="E1019" t="s">
        <v>94</v>
      </c>
      <c r="F1019" t="s">
        <v>94</v>
      </c>
      <c r="G1019">
        <v>0</v>
      </c>
      <c r="H1019">
        <v>4</v>
      </c>
      <c r="I1019">
        <v>4</v>
      </c>
      <c r="J1019">
        <v>4</v>
      </c>
      <c r="K1019" s="6">
        <v>100</v>
      </c>
      <c r="L1019" s="6">
        <v>0</v>
      </c>
      <c r="M1019" s="6">
        <v>100</v>
      </c>
      <c r="N1019">
        <v>0</v>
      </c>
      <c r="O1019" s="6">
        <v>0</v>
      </c>
      <c r="P1019">
        <v>0</v>
      </c>
      <c r="Q1019" s="8">
        <v>217.71</v>
      </c>
      <c r="R1019" s="8">
        <v>217.71</v>
      </c>
      <c r="S1019" s="9" t="s">
        <v>605</v>
      </c>
    </row>
    <row r="1020" spans="1:19" hidden="1" x14ac:dyDescent="0.25">
      <c r="A1020" t="s">
        <v>134</v>
      </c>
      <c r="B1020" t="s">
        <v>79</v>
      </c>
      <c r="C1020" t="s">
        <v>127</v>
      </c>
      <c r="D1020" t="s">
        <v>545</v>
      </c>
      <c r="E1020" t="s">
        <v>94</v>
      </c>
      <c r="F1020" t="s">
        <v>96</v>
      </c>
      <c r="G1020">
        <v>4</v>
      </c>
      <c r="H1020">
        <v>4</v>
      </c>
      <c r="I1020">
        <v>4</v>
      </c>
      <c r="J1020">
        <v>4</v>
      </c>
      <c r="K1020" s="6">
        <v>99.18</v>
      </c>
      <c r="L1020" s="6">
        <v>0</v>
      </c>
      <c r="M1020" s="6">
        <v>99.18</v>
      </c>
      <c r="N1020">
        <v>0</v>
      </c>
      <c r="O1020" s="6">
        <v>0</v>
      </c>
      <c r="P1020">
        <v>0</v>
      </c>
      <c r="Q1020" s="8">
        <v>217.71</v>
      </c>
      <c r="R1020" s="8">
        <v>215.93</v>
      </c>
      <c r="S1020" s="9" t="s">
        <v>548</v>
      </c>
    </row>
    <row r="1021" spans="1:19" hidden="1" x14ac:dyDescent="0.25">
      <c r="A1021" t="s">
        <v>134</v>
      </c>
      <c r="B1021" t="s">
        <v>79</v>
      </c>
      <c r="C1021" t="s">
        <v>127</v>
      </c>
      <c r="D1021" t="s">
        <v>545</v>
      </c>
      <c r="E1021" t="s">
        <v>94</v>
      </c>
      <c r="F1021" t="s">
        <v>6</v>
      </c>
      <c r="G1021">
        <v>11</v>
      </c>
      <c r="H1021">
        <v>4</v>
      </c>
      <c r="I1021">
        <v>4</v>
      </c>
      <c r="J1021">
        <v>4</v>
      </c>
      <c r="K1021" s="6">
        <v>98.36</v>
      </c>
      <c r="L1021" s="6">
        <v>-1.6</v>
      </c>
      <c r="M1021" s="6">
        <v>98.36</v>
      </c>
      <c r="N1021">
        <v>0</v>
      </c>
      <c r="O1021" s="6">
        <v>0</v>
      </c>
      <c r="P1021">
        <v>0</v>
      </c>
      <c r="Q1021" s="8">
        <v>217.71</v>
      </c>
      <c r="R1021" s="8">
        <v>214.14</v>
      </c>
      <c r="S1021" s="9" t="s">
        <v>548</v>
      </c>
    </row>
    <row r="1022" spans="1:19" hidden="1" x14ac:dyDescent="0.25">
      <c r="A1022" t="s">
        <v>134</v>
      </c>
      <c r="B1022" t="s">
        <v>79</v>
      </c>
      <c r="C1022" t="s">
        <v>127</v>
      </c>
      <c r="D1022" t="s">
        <v>580</v>
      </c>
      <c r="E1022" t="s">
        <v>94</v>
      </c>
      <c r="F1022" t="s">
        <v>94</v>
      </c>
      <c r="G1022">
        <v>0</v>
      </c>
      <c r="H1022">
        <v>4</v>
      </c>
      <c r="I1022">
        <v>4</v>
      </c>
      <c r="J1022">
        <v>4</v>
      </c>
      <c r="K1022" s="6">
        <v>100</v>
      </c>
      <c r="L1022" s="6">
        <v>0</v>
      </c>
      <c r="M1022" s="6">
        <v>100</v>
      </c>
      <c r="N1022">
        <v>0</v>
      </c>
      <c r="O1022" s="6">
        <v>0</v>
      </c>
      <c r="P1022">
        <v>0</v>
      </c>
      <c r="Q1022" s="8">
        <v>203.07</v>
      </c>
      <c r="R1022" s="8">
        <v>203.07</v>
      </c>
      <c r="S1022" s="9" t="s">
        <v>605</v>
      </c>
    </row>
    <row r="1023" spans="1:19" hidden="1" x14ac:dyDescent="0.25">
      <c r="A1023" t="s">
        <v>134</v>
      </c>
      <c r="B1023" t="s">
        <v>79</v>
      </c>
      <c r="C1023" t="s">
        <v>127</v>
      </c>
      <c r="D1023" t="s">
        <v>580</v>
      </c>
      <c r="E1023" t="s">
        <v>94</v>
      </c>
      <c r="F1023" t="s">
        <v>96</v>
      </c>
      <c r="G1023">
        <v>4</v>
      </c>
      <c r="H1023">
        <v>4</v>
      </c>
      <c r="I1023">
        <v>4</v>
      </c>
      <c r="J1023">
        <v>4</v>
      </c>
      <c r="K1023" s="6">
        <v>100</v>
      </c>
      <c r="L1023" s="6">
        <v>0</v>
      </c>
      <c r="M1023" s="6">
        <v>100</v>
      </c>
      <c r="N1023">
        <v>0</v>
      </c>
      <c r="O1023" s="6">
        <v>0</v>
      </c>
      <c r="P1023">
        <v>0</v>
      </c>
      <c r="Q1023" s="8">
        <v>203.07</v>
      </c>
      <c r="R1023" s="8">
        <v>203.07</v>
      </c>
      <c r="S1023" s="9" t="s">
        <v>548</v>
      </c>
    </row>
    <row r="1024" spans="1:19" hidden="1" x14ac:dyDescent="0.25">
      <c r="A1024" t="s">
        <v>134</v>
      </c>
      <c r="B1024" t="s">
        <v>79</v>
      </c>
      <c r="C1024" t="s">
        <v>127</v>
      </c>
      <c r="D1024" t="s">
        <v>580</v>
      </c>
      <c r="E1024" t="s">
        <v>94</v>
      </c>
      <c r="F1024" t="s">
        <v>6</v>
      </c>
      <c r="G1024">
        <v>11</v>
      </c>
      <c r="H1024">
        <v>4</v>
      </c>
      <c r="I1024">
        <v>4</v>
      </c>
      <c r="J1024">
        <v>4</v>
      </c>
      <c r="K1024" s="6">
        <v>100</v>
      </c>
      <c r="L1024" s="6">
        <v>0</v>
      </c>
      <c r="M1024" s="6">
        <v>100</v>
      </c>
      <c r="N1024">
        <v>0</v>
      </c>
      <c r="O1024" s="6">
        <v>0</v>
      </c>
      <c r="P1024">
        <v>0</v>
      </c>
      <c r="Q1024" s="8">
        <v>203.07</v>
      </c>
      <c r="R1024" s="8">
        <v>203.07</v>
      </c>
      <c r="S1024" s="9" t="s">
        <v>548</v>
      </c>
    </row>
    <row r="1025" spans="1:19" hidden="1" x14ac:dyDescent="0.25">
      <c r="A1025" t="s">
        <v>134</v>
      </c>
      <c r="B1025" t="s">
        <v>79</v>
      </c>
      <c r="C1025" t="s">
        <v>127</v>
      </c>
      <c r="D1025" t="s">
        <v>582</v>
      </c>
      <c r="E1025" t="s">
        <v>94</v>
      </c>
      <c r="F1025" t="s">
        <v>94</v>
      </c>
      <c r="G1025">
        <v>0</v>
      </c>
      <c r="H1025">
        <v>15</v>
      </c>
      <c r="I1025">
        <v>15</v>
      </c>
      <c r="J1025">
        <v>15</v>
      </c>
      <c r="K1025" s="6">
        <v>100</v>
      </c>
      <c r="L1025" s="6">
        <v>0</v>
      </c>
      <c r="M1025" s="6">
        <v>100</v>
      </c>
      <c r="N1025">
        <v>0</v>
      </c>
      <c r="O1025" s="6">
        <v>0</v>
      </c>
      <c r="P1025">
        <v>0</v>
      </c>
      <c r="Q1025" s="8">
        <v>217.69</v>
      </c>
      <c r="R1025" s="8">
        <v>217.69</v>
      </c>
      <c r="S1025" s="9" t="s">
        <v>611</v>
      </c>
    </row>
    <row r="1026" spans="1:19" hidden="1" x14ac:dyDescent="0.25">
      <c r="A1026" t="s">
        <v>134</v>
      </c>
      <c r="B1026" t="s">
        <v>79</v>
      </c>
      <c r="C1026" t="s">
        <v>127</v>
      </c>
      <c r="D1026" t="s">
        <v>582</v>
      </c>
      <c r="E1026" t="s">
        <v>94</v>
      </c>
      <c r="F1026" t="s">
        <v>96</v>
      </c>
      <c r="G1026">
        <v>4</v>
      </c>
      <c r="H1026">
        <v>15</v>
      </c>
      <c r="I1026">
        <v>13</v>
      </c>
      <c r="J1026">
        <v>13</v>
      </c>
      <c r="K1026" s="6">
        <v>100</v>
      </c>
      <c r="L1026" s="6">
        <v>0</v>
      </c>
      <c r="M1026" s="6">
        <v>103.68</v>
      </c>
      <c r="N1026">
        <v>3.68</v>
      </c>
      <c r="O1026" s="6">
        <v>13.3</v>
      </c>
      <c r="P1026">
        <v>0</v>
      </c>
      <c r="Q1026" s="8">
        <v>225.71</v>
      </c>
      <c r="R1026" s="8">
        <v>225.71</v>
      </c>
      <c r="S1026" s="10" t="s">
        <v>612</v>
      </c>
    </row>
    <row r="1027" spans="1:19" hidden="1" x14ac:dyDescent="0.25">
      <c r="A1027" t="s">
        <v>134</v>
      </c>
      <c r="B1027" t="s">
        <v>79</v>
      </c>
      <c r="C1027" t="s">
        <v>127</v>
      </c>
      <c r="D1027" t="s">
        <v>582</v>
      </c>
      <c r="E1027" t="s">
        <v>94</v>
      </c>
      <c r="F1027" t="s">
        <v>6</v>
      </c>
      <c r="G1027">
        <v>11</v>
      </c>
      <c r="H1027">
        <v>15</v>
      </c>
      <c r="I1027">
        <v>8</v>
      </c>
      <c r="J1027">
        <v>8</v>
      </c>
      <c r="K1027" s="6">
        <v>100</v>
      </c>
      <c r="L1027" s="6">
        <v>0</v>
      </c>
      <c r="M1027" s="6">
        <v>98.47</v>
      </c>
      <c r="N1027">
        <v>-1.53</v>
      </c>
      <c r="O1027" s="6">
        <v>46.7</v>
      </c>
      <c r="P1027">
        <v>0</v>
      </c>
      <c r="Q1027" s="8">
        <v>214.37</v>
      </c>
      <c r="R1027" s="8">
        <v>214.37</v>
      </c>
      <c r="S1027" s="9" t="s">
        <v>544</v>
      </c>
    </row>
    <row r="1028" spans="1:19" hidden="1" x14ac:dyDescent="0.25">
      <c r="A1028" t="s">
        <v>134</v>
      </c>
      <c r="B1028" t="s">
        <v>79</v>
      </c>
      <c r="C1028" t="s">
        <v>127</v>
      </c>
      <c r="D1028" t="s">
        <v>583</v>
      </c>
      <c r="E1028" t="s">
        <v>94</v>
      </c>
      <c r="F1028" t="s">
        <v>94</v>
      </c>
      <c r="G1028">
        <v>0</v>
      </c>
      <c r="H1028">
        <v>16</v>
      </c>
      <c r="I1028">
        <v>16</v>
      </c>
      <c r="J1028">
        <v>16</v>
      </c>
      <c r="K1028" s="6">
        <v>100</v>
      </c>
      <c r="L1028" s="6">
        <v>0</v>
      </c>
      <c r="M1028" s="6">
        <v>100</v>
      </c>
      <c r="N1028">
        <v>0</v>
      </c>
      <c r="O1028" s="6">
        <v>0</v>
      </c>
      <c r="P1028">
        <v>0</v>
      </c>
      <c r="Q1028" s="8">
        <v>279.38</v>
      </c>
      <c r="R1028" s="8">
        <v>279.38</v>
      </c>
      <c r="S1028" s="9" t="s">
        <v>606</v>
      </c>
    </row>
    <row r="1029" spans="1:19" hidden="1" x14ac:dyDescent="0.25">
      <c r="A1029" t="s">
        <v>134</v>
      </c>
      <c r="B1029" t="s">
        <v>79</v>
      </c>
      <c r="C1029" t="s">
        <v>127</v>
      </c>
      <c r="D1029" t="s">
        <v>583</v>
      </c>
      <c r="E1029" t="s">
        <v>94</v>
      </c>
      <c r="F1029" t="s">
        <v>96</v>
      </c>
      <c r="G1029">
        <v>4</v>
      </c>
      <c r="H1029">
        <v>16</v>
      </c>
      <c r="I1029">
        <v>12</v>
      </c>
      <c r="J1029">
        <v>12</v>
      </c>
      <c r="K1029" s="6">
        <v>100</v>
      </c>
      <c r="L1029" s="6">
        <v>0</v>
      </c>
      <c r="M1029" s="6">
        <v>109.28</v>
      </c>
      <c r="N1029">
        <v>9.2799999999999994</v>
      </c>
      <c r="O1029" s="6">
        <v>25</v>
      </c>
      <c r="P1029">
        <v>0</v>
      </c>
      <c r="Q1029" s="8">
        <v>305.3</v>
      </c>
      <c r="R1029" s="8">
        <v>305.3</v>
      </c>
      <c r="S1029" s="10" t="s">
        <v>587</v>
      </c>
    </row>
    <row r="1030" spans="1:19" hidden="1" x14ac:dyDescent="0.25">
      <c r="A1030" t="s">
        <v>134</v>
      </c>
      <c r="B1030" t="s">
        <v>79</v>
      </c>
      <c r="C1030" t="s">
        <v>127</v>
      </c>
      <c r="D1030" t="s">
        <v>583</v>
      </c>
      <c r="E1030" t="s">
        <v>94</v>
      </c>
      <c r="F1030" t="s">
        <v>6</v>
      </c>
      <c r="G1030">
        <v>11</v>
      </c>
      <c r="H1030">
        <v>16</v>
      </c>
      <c r="I1030">
        <v>4</v>
      </c>
      <c r="J1030">
        <v>4</v>
      </c>
      <c r="K1030" s="6">
        <v>100</v>
      </c>
      <c r="L1030" s="6">
        <v>0</v>
      </c>
      <c r="M1030" s="6">
        <v>98.08</v>
      </c>
      <c r="N1030">
        <v>-1.92</v>
      </c>
      <c r="O1030" s="6">
        <v>75</v>
      </c>
      <c r="P1030">
        <v>0</v>
      </c>
      <c r="Q1030" s="8">
        <v>274.02999999999997</v>
      </c>
      <c r="R1030" s="8">
        <v>274.02999999999997</v>
      </c>
      <c r="S1030" s="9" t="s">
        <v>548</v>
      </c>
    </row>
    <row r="1031" spans="1:19" hidden="1" x14ac:dyDescent="0.25">
      <c r="A1031" t="s">
        <v>134</v>
      </c>
      <c r="B1031" t="s">
        <v>79</v>
      </c>
      <c r="C1031" t="s">
        <v>127</v>
      </c>
      <c r="D1031" t="s">
        <v>585</v>
      </c>
      <c r="E1031" t="s">
        <v>94</v>
      </c>
      <c r="F1031" t="s">
        <v>94</v>
      </c>
      <c r="G1031">
        <v>0</v>
      </c>
      <c r="H1031">
        <v>19</v>
      </c>
      <c r="I1031">
        <v>19</v>
      </c>
      <c r="J1031">
        <v>19</v>
      </c>
      <c r="K1031" s="6">
        <v>100</v>
      </c>
      <c r="L1031" s="6">
        <v>0</v>
      </c>
      <c r="M1031" s="6">
        <v>100</v>
      </c>
      <c r="N1031">
        <v>0</v>
      </c>
      <c r="O1031" s="6">
        <v>0</v>
      </c>
      <c r="P1031">
        <v>0</v>
      </c>
      <c r="Q1031" s="8">
        <v>289.63</v>
      </c>
      <c r="R1031" s="8">
        <v>289.63</v>
      </c>
      <c r="S1031" s="9" t="s">
        <v>613</v>
      </c>
    </row>
    <row r="1032" spans="1:19" hidden="1" x14ac:dyDescent="0.25">
      <c r="A1032" t="s">
        <v>134</v>
      </c>
      <c r="B1032" t="s">
        <v>79</v>
      </c>
      <c r="C1032" t="s">
        <v>127</v>
      </c>
      <c r="D1032" t="s">
        <v>585</v>
      </c>
      <c r="E1032" t="s">
        <v>94</v>
      </c>
      <c r="F1032" t="s">
        <v>96</v>
      </c>
      <c r="G1032">
        <v>4</v>
      </c>
      <c r="H1032">
        <v>19</v>
      </c>
      <c r="I1032">
        <v>14</v>
      </c>
      <c r="J1032">
        <v>14</v>
      </c>
      <c r="K1032" s="6">
        <v>100</v>
      </c>
      <c r="L1032" s="6">
        <v>0</v>
      </c>
      <c r="M1032" s="6">
        <v>110.19</v>
      </c>
      <c r="N1032">
        <v>10.19</v>
      </c>
      <c r="O1032" s="6">
        <v>26.3</v>
      </c>
      <c r="P1032">
        <v>0</v>
      </c>
      <c r="Q1032" s="8">
        <v>319.14</v>
      </c>
      <c r="R1032" s="8">
        <v>319.14</v>
      </c>
      <c r="S1032" s="10" t="s">
        <v>607</v>
      </c>
    </row>
    <row r="1033" spans="1:19" hidden="1" x14ac:dyDescent="0.25">
      <c r="A1033" t="s">
        <v>134</v>
      </c>
      <c r="B1033" t="s">
        <v>79</v>
      </c>
      <c r="C1033" t="s">
        <v>127</v>
      </c>
      <c r="D1033" t="s">
        <v>585</v>
      </c>
      <c r="E1033" t="s">
        <v>94</v>
      </c>
      <c r="F1033" t="s">
        <v>6</v>
      </c>
      <c r="G1033">
        <v>11</v>
      </c>
      <c r="H1033">
        <v>19</v>
      </c>
      <c r="I1033">
        <v>4</v>
      </c>
      <c r="J1033">
        <v>4</v>
      </c>
      <c r="K1033" s="6">
        <v>100</v>
      </c>
      <c r="L1033" s="6">
        <v>0</v>
      </c>
      <c r="M1033" s="6">
        <v>98.6</v>
      </c>
      <c r="N1033">
        <v>-1.4</v>
      </c>
      <c r="O1033" s="6">
        <v>78.900000000000006</v>
      </c>
      <c r="P1033">
        <v>0</v>
      </c>
      <c r="Q1033" s="8">
        <v>285.57</v>
      </c>
      <c r="R1033" s="8">
        <v>285.57</v>
      </c>
      <c r="S1033" s="9" t="s">
        <v>548</v>
      </c>
    </row>
    <row r="1034" spans="1:19" hidden="1" x14ac:dyDescent="0.25">
      <c r="A1034" t="s">
        <v>134</v>
      </c>
      <c r="B1034" t="s">
        <v>79</v>
      </c>
      <c r="C1034" t="s">
        <v>127</v>
      </c>
      <c r="D1034" t="s">
        <v>588</v>
      </c>
      <c r="E1034" t="s">
        <v>94</v>
      </c>
      <c r="F1034" t="s">
        <v>94</v>
      </c>
      <c r="G1034">
        <v>0</v>
      </c>
      <c r="H1034">
        <v>16</v>
      </c>
      <c r="I1034">
        <v>16</v>
      </c>
      <c r="J1034">
        <v>16</v>
      </c>
      <c r="K1034" s="6">
        <v>100</v>
      </c>
      <c r="L1034" s="6">
        <v>0</v>
      </c>
      <c r="M1034" s="6">
        <v>100</v>
      </c>
      <c r="N1034">
        <v>0</v>
      </c>
      <c r="O1034" s="6">
        <v>0</v>
      </c>
      <c r="P1034">
        <v>0</v>
      </c>
      <c r="Q1034" s="8">
        <v>263.77999999999997</v>
      </c>
      <c r="R1034" s="8">
        <v>263.77999999999997</v>
      </c>
      <c r="S1034" s="9" t="s">
        <v>606</v>
      </c>
    </row>
    <row r="1035" spans="1:19" hidden="1" x14ac:dyDescent="0.25">
      <c r="A1035" t="s">
        <v>134</v>
      </c>
      <c r="B1035" t="s">
        <v>79</v>
      </c>
      <c r="C1035" t="s">
        <v>127</v>
      </c>
      <c r="D1035" t="s">
        <v>588</v>
      </c>
      <c r="E1035" t="s">
        <v>94</v>
      </c>
      <c r="F1035" t="s">
        <v>96</v>
      </c>
      <c r="G1035">
        <v>4</v>
      </c>
      <c r="H1035">
        <v>16</v>
      </c>
      <c r="I1035">
        <v>13</v>
      </c>
      <c r="J1035">
        <v>13</v>
      </c>
      <c r="K1035" s="6">
        <v>100</v>
      </c>
      <c r="L1035" s="6">
        <v>0</v>
      </c>
      <c r="M1035" s="6">
        <v>105.93</v>
      </c>
      <c r="N1035">
        <v>5.93</v>
      </c>
      <c r="O1035" s="6">
        <v>18.8</v>
      </c>
      <c r="P1035">
        <v>0</v>
      </c>
      <c r="Q1035" s="8">
        <v>279.41000000000003</v>
      </c>
      <c r="R1035" s="8">
        <v>279.41000000000003</v>
      </c>
      <c r="S1035" s="10" t="s">
        <v>612</v>
      </c>
    </row>
    <row r="1036" spans="1:19" hidden="1" x14ac:dyDescent="0.25">
      <c r="A1036" t="s">
        <v>134</v>
      </c>
      <c r="B1036" t="s">
        <v>79</v>
      </c>
      <c r="C1036" t="s">
        <v>127</v>
      </c>
      <c r="D1036" t="s">
        <v>588</v>
      </c>
      <c r="E1036" t="s">
        <v>94</v>
      </c>
      <c r="F1036" t="s">
        <v>6</v>
      </c>
      <c r="G1036">
        <v>11</v>
      </c>
      <c r="H1036">
        <v>16</v>
      </c>
      <c r="I1036">
        <v>4</v>
      </c>
      <c r="J1036">
        <v>4</v>
      </c>
      <c r="K1036" s="6">
        <v>100</v>
      </c>
      <c r="L1036" s="6">
        <v>0</v>
      </c>
      <c r="M1036" s="6">
        <v>97.69</v>
      </c>
      <c r="N1036">
        <v>-2.31</v>
      </c>
      <c r="O1036" s="6">
        <v>75</v>
      </c>
      <c r="P1036">
        <v>0</v>
      </c>
      <c r="Q1036" s="8">
        <v>257.7</v>
      </c>
      <c r="R1036" s="8">
        <v>257.7</v>
      </c>
      <c r="S1036" s="9" t="s">
        <v>548</v>
      </c>
    </row>
    <row r="1037" spans="1:19" hidden="1" x14ac:dyDescent="0.25">
      <c r="A1037" t="s">
        <v>134</v>
      </c>
      <c r="B1037" t="s">
        <v>79</v>
      </c>
      <c r="C1037" t="s">
        <v>127</v>
      </c>
      <c r="D1037" t="s">
        <v>589</v>
      </c>
      <c r="E1037" t="s">
        <v>94</v>
      </c>
      <c r="F1037" t="s">
        <v>94</v>
      </c>
      <c r="G1037">
        <v>0</v>
      </c>
      <c r="H1037">
        <v>12</v>
      </c>
      <c r="I1037">
        <v>12</v>
      </c>
      <c r="J1037">
        <v>12</v>
      </c>
      <c r="K1037" s="6">
        <v>100</v>
      </c>
      <c r="L1037" s="6">
        <v>0</v>
      </c>
      <c r="M1037" s="6">
        <v>100</v>
      </c>
      <c r="N1037">
        <v>0</v>
      </c>
      <c r="O1037" s="6">
        <v>0</v>
      </c>
      <c r="P1037">
        <v>0</v>
      </c>
      <c r="Q1037" s="8">
        <v>234.06</v>
      </c>
      <c r="R1037" s="8">
        <v>234.06</v>
      </c>
      <c r="S1037" s="9" t="s">
        <v>586</v>
      </c>
    </row>
    <row r="1038" spans="1:19" hidden="1" x14ac:dyDescent="0.25">
      <c r="A1038" t="s">
        <v>134</v>
      </c>
      <c r="B1038" t="s">
        <v>79</v>
      </c>
      <c r="C1038" t="s">
        <v>127</v>
      </c>
      <c r="D1038" t="s">
        <v>589</v>
      </c>
      <c r="E1038" t="s">
        <v>94</v>
      </c>
      <c r="F1038" t="s">
        <v>96</v>
      </c>
      <c r="G1038">
        <v>4</v>
      </c>
      <c r="H1038">
        <v>12</v>
      </c>
      <c r="I1038">
        <v>11</v>
      </c>
      <c r="J1038">
        <v>11</v>
      </c>
      <c r="K1038" s="6">
        <v>100</v>
      </c>
      <c r="L1038" s="6">
        <v>0</v>
      </c>
      <c r="M1038" s="6">
        <v>101.83</v>
      </c>
      <c r="N1038">
        <v>1.83</v>
      </c>
      <c r="O1038" s="6">
        <v>8.3000000000000007</v>
      </c>
      <c r="P1038">
        <v>0</v>
      </c>
      <c r="Q1038" s="8">
        <v>238.33</v>
      </c>
      <c r="R1038" s="8">
        <v>238.33</v>
      </c>
      <c r="S1038" s="10" t="s">
        <v>529</v>
      </c>
    </row>
    <row r="1039" spans="1:19" hidden="1" x14ac:dyDescent="0.25">
      <c r="A1039" t="s">
        <v>134</v>
      </c>
      <c r="B1039" t="s">
        <v>79</v>
      </c>
      <c r="C1039" t="s">
        <v>127</v>
      </c>
      <c r="D1039" t="s">
        <v>589</v>
      </c>
      <c r="E1039" t="s">
        <v>94</v>
      </c>
      <c r="F1039" t="s">
        <v>6</v>
      </c>
      <c r="G1039">
        <v>11</v>
      </c>
      <c r="H1039">
        <v>12</v>
      </c>
      <c r="I1039">
        <v>5</v>
      </c>
      <c r="J1039">
        <v>5</v>
      </c>
      <c r="K1039" s="6">
        <v>100</v>
      </c>
      <c r="L1039" s="6">
        <v>0</v>
      </c>
      <c r="M1039" s="6">
        <v>89.21</v>
      </c>
      <c r="N1039">
        <v>-10.79</v>
      </c>
      <c r="O1039" s="6">
        <v>58.3</v>
      </c>
      <c r="P1039">
        <v>0</v>
      </c>
      <c r="Q1039" s="8">
        <v>208.79</v>
      </c>
      <c r="R1039" s="8">
        <v>208.79</v>
      </c>
      <c r="S1039" s="9" t="s">
        <v>133</v>
      </c>
    </row>
    <row r="1040" spans="1:19" hidden="1" x14ac:dyDescent="0.25">
      <c r="A1040" t="s">
        <v>134</v>
      </c>
      <c r="B1040" t="s">
        <v>79</v>
      </c>
      <c r="C1040" t="s">
        <v>127</v>
      </c>
      <c r="D1040" t="s">
        <v>590</v>
      </c>
      <c r="E1040" t="s">
        <v>94</v>
      </c>
      <c r="F1040" t="s">
        <v>94</v>
      </c>
      <c r="G1040">
        <v>0</v>
      </c>
      <c r="H1040">
        <v>2</v>
      </c>
      <c r="I1040">
        <v>2</v>
      </c>
      <c r="J1040">
        <v>2</v>
      </c>
      <c r="K1040" s="6">
        <v>100</v>
      </c>
      <c r="L1040" s="6">
        <v>0</v>
      </c>
      <c r="M1040" s="6">
        <v>100</v>
      </c>
      <c r="N1040">
        <v>0</v>
      </c>
      <c r="O1040" s="6">
        <v>0</v>
      </c>
      <c r="P1040">
        <v>0</v>
      </c>
      <c r="Q1040" s="8">
        <v>233.43</v>
      </c>
      <c r="R1040" s="8">
        <v>233.43</v>
      </c>
      <c r="S1040" s="9" t="s">
        <v>536</v>
      </c>
    </row>
    <row r="1041" spans="1:19" hidden="1" x14ac:dyDescent="0.25">
      <c r="A1041" t="s">
        <v>134</v>
      </c>
      <c r="B1041" t="s">
        <v>79</v>
      </c>
      <c r="C1041" t="s">
        <v>127</v>
      </c>
      <c r="D1041" t="s">
        <v>590</v>
      </c>
      <c r="E1041" t="s">
        <v>94</v>
      </c>
      <c r="F1041" t="s">
        <v>96</v>
      </c>
      <c r="G1041">
        <v>4</v>
      </c>
      <c r="H1041">
        <v>2</v>
      </c>
      <c r="I1041">
        <v>2</v>
      </c>
      <c r="J1041">
        <v>2</v>
      </c>
      <c r="K1041" s="6">
        <v>100</v>
      </c>
      <c r="L1041" s="6">
        <v>0</v>
      </c>
      <c r="M1041" s="6">
        <v>100</v>
      </c>
      <c r="N1041">
        <v>0</v>
      </c>
      <c r="O1041" s="6">
        <v>0</v>
      </c>
      <c r="P1041">
        <v>0</v>
      </c>
      <c r="Q1041" s="8">
        <v>233.43</v>
      </c>
      <c r="R1041" s="8">
        <v>233.43</v>
      </c>
      <c r="S1041" s="9" t="s">
        <v>537</v>
      </c>
    </row>
    <row r="1042" spans="1:19" hidden="1" x14ac:dyDescent="0.25">
      <c r="A1042" t="s">
        <v>134</v>
      </c>
      <c r="B1042" t="s">
        <v>79</v>
      </c>
      <c r="C1042" t="s">
        <v>127</v>
      </c>
      <c r="D1042" t="s">
        <v>590</v>
      </c>
      <c r="E1042" t="s">
        <v>94</v>
      </c>
      <c r="F1042" t="s">
        <v>6</v>
      </c>
      <c r="G1042">
        <v>11</v>
      </c>
      <c r="H1042">
        <v>2</v>
      </c>
      <c r="I1042">
        <v>2</v>
      </c>
      <c r="J1042">
        <v>2</v>
      </c>
      <c r="K1042" s="6">
        <v>100</v>
      </c>
      <c r="L1042" s="6">
        <v>0</v>
      </c>
      <c r="M1042" s="6">
        <v>100</v>
      </c>
      <c r="N1042">
        <v>0</v>
      </c>
      <c r="O1042" s="6">
        <v>0</v>
      </c>
      <c r="P1042">
        <v>0</v>
      </c>
      <c r="Q1042" s="8">
        <v>233.43</v>
      </c>
      <c r="R1042" s="8">
        <v>233.43</v>
      </c>
      <c r="S1042" s="9" t="s">
        <v>537</v>
      </c>
    </row>
    <row r="1043" spans="1:19" hidden="1" x14ac:dyDescent="0.25">
      <c r="A1043" t="s">
        <v>134</v>
      </c>
      <c r="B1043" t="s">
        <v>79</v>
      </c>
      <c r="C1043" t="s">
        <v>128</v>
      </c>
      <c r="D1043" t="s">
        <v>524</v>
      </c>
      <c r="E1043" t="s">
        <v>90</v>
      </c>
      <c r="F1043" t="s">
        <v>90</v>
      </c>
      <c r="G1043">
        <v>0</v>
      </c>
      <c r="H1043">
        <v>1</v>
      </c>
      <c r="I1043">
        <v>1</v>
      </c>
      <c r="J1043">
        <v>1</v>
      </c>
      <c r="K1043" s="6">
        <v>100</v>
      </c>
      <c r="L1043" s="6">
        <v>0</v>
      </c>
      <c r="M1043" s="6">
        <v>100</v>
      </c>
      <c r="N1043">
        <v>0</v>
      </c>
      <c r="O1043" s="6">
        <v>0</v>
      </c>
      <c r="P1043">
        <v>0</v>
      </c>
      <c r="Q1043" s="8">
        <v>725.57</v>
      </c>
      <c r="R1043" s="8">
        <v>725.57</v>
      </c>
      <c r="S1043" s="9" t="s">
        <v>540</v>
      </c>
    </row>
    <row r="1044" spans="1:19" hidden="1" x14ac:dyDescent="0.25">
      <c r="A1044" t="s">
        <v>134</v>
      </c>
      <c r="B1044" t="s">
        <v>79</v>
      </c>
      <c r="C1044" t="s">
        <v>128</v>
      </c>
      <c r="D1044" t="s">
        <v>524</v>
      </c>
      <c r="E1044" t="s">
        <v>90</v>
      </c>
      <c r="F1044" t="s">
        <v>91</v>
      </c>
      <c r="G1044">
        <v>1</v>
      </c>
      <c r="H1044">
        <v>1</v>
      </c>
      <c r="I1044">
        <v>1</v>
      </c>
      <c r="J1044">
        <v>1</v>
      </c>
      <c r="K1044" s="6">
        <v>100</v>
      </c>
      <c r="L1044" s="6">
        <v>0</v>
      </c>
      <c r="M1044" s="6">
        <v>100</v>
      </c>
      <c r="N1044">
        <v>0</v>
      </c>
      <c r="O1044" s="6">
        <v>0</v>
      </c>
      <c r="P1044">
        <v>0</v>
      </c>
      <c r="Q1044" s="8">
        <v>725.57</v>
      </c>
      <c r="R1044" s="8">
        <v>725.57</v>
      </c>
      <c r="S1044" s="9" t="s">
        <v>541</v>
      </c>
    </row>
    <row r="1045" spans="1:19" hidden="1" x14ac:dyDescent="0.25">
      <c r="A1045" t="s">
        <v>134</v>
      </c>
      <c r="B1045" t="s">
        <v>79</v>
      </c>
      <c r="C1045" t="s">
        <v>128</v>
      </c>
      <c r="D1045" t="s">
        <v>524</v>
      </c>
      <c r="E1045" t="s">
        <v>90</v>
      </c>
      <c r="F1045" t="s">
        <v>94</v>
      </c>
      <c r="G1045">
        <v>2</v>
      </c>
      <c r="H1045">
        <v>1</v>
      </c>
      <c r="I1045">
        <v>1</v>
      </c>
      <c r="J1045">
        <v>1</v>
      </c>
      <c r="K1045" s="6">
        <v>100</v>
      </c>
      <c r="L1045" s="6">
        <v>0</v>
      </c>
      <c r="M1045" s="6">
        <v>100</v>
      </c>
      <c r="N1045">
        <v>0</v>
      </c>
      <c r="O1045" s="6">
        <v>0</v>
      </c>
      <c r="P1045">
        <v>0</v>
      </c>
      <c r="Q1045" s="8">
        <v>725.57</v>
      </c>
      <c r="R1045" s="8">
        <v>725.57</v>
      </c>
      <c r="S1045" s="9" t="s">
        <v>541</v>
      </c>
    </row>
    <row r="1046" spans="1:19" hidden="1" x14ac:dyDescent="0.25">
      <c r="A1046" t="s">
        <v>134</v>
      </c>
      <c r="B1046" t="s">
        <v>79</v>
      </c>
      <c r="C1046" t="s">
        <v>128</v>
      </c>
      <c r="D1046" t="s">
        <v>524</v>
      </c>
      <c r="E1046" t="s">
        <v>90</v>
      </c>
      <c r="F1046" t="s">
        <v>96</v>
      </c>
      <c r="G1046">
        <v>6</v>
      </c>
      <c r="H1046">
        <v>1</v>
      </c>
      <c r="I1046">
        <v>1</v>
      </c>
      <c r="J1046">
        <v>1</v>
      </c>
      <c r="K1046" s="6">
        <v>100</v>
      </c>
      <c r="L1046" s="6">
        <v>0</v>
      </c>
      <c r="M1046" s="6">
        <v>100</v>
      </c>
      <c r="N1046">
        <v>0</v>
      </c>
      <c r="O1046" s="6">
        <v>0</v>
      </c>
      <c r="P1046">
        <v>0</v>
      </c>
      <c r="Q1046" s="8">
        <v>725.57</v>
      </c>
      <c r="R1046" s="8">
        <v>725.57</v>
      </c>
      <c r="S1046" s="9" t="s">
        <v>541</v>
      </c>
    </row>
    <row r="1047" spans="1:19" hidden="1" x14ac:dyDescent="0.25">
      <c r="A1047" t="s">
        <v>134</v>
      </c>
      <c r="B1047" t="s">
        <v>79</v>
      </c>
      <c r="C1047" t="s">
        <v>128</v>
      </c>
      <c r="D1047" t="s">
        <v>524</v>
      </c>
      <c r="E1047" t="s">
        <v>90</v>
      </c>
      <c r="F1047" t="s">
        <v>6</v>
      </c>
      <c r="G1047">
        <v>13</v>
      </c>
      <c r="H1047">
        <v>1</v>
      </c>
      <c r="I1047">
        <v>1</v>
      </c>
      <c r="J1047">
        <v>1</v>
      </c>
      <c r="K1047" s="6">
        <v>96.06</v>
      </c>
      <c r="L1047" s="6">
        <v>-3.94</v>
      </c>
      <c r="M1047" s="6">
        <v>96.06</v>
      </c>
      <c r="N1047">
        <v>0</v>
      </c>
      <c r="O1047" s="6">
        <v>0</v>
      </c>
      <c r="P1047">
        <v>0</v>
      </c>
      <c r="Q1047" s="8">
        <v>725.57</v>
      </c>
      <c r="R1047" s="8">
        <v>697</v>
      </c>
      <c r="S1047" s="9" t="s">
        <v>541</v>
      </c>
    </row>
    <row r="1048" spans="1:19" hidden="1" x14ac:dyDescent="0.25">
      <c r="A1048" t="s">
        <v>134</v>
      </c>
      <c r="B1048" t="s">
        <v>79</v>
      </c>
      <c r="C1048" t="s">
        <v>128</v>
      </c>
      <c r="D1048" t="s">
        <v>527</v>
      </c>
      <c r="E1048" t="s">
        <v>90</v>
      </c>
      <c r="F1048" t="s">
        <v>90</v>
      </c>
      <c r="G1048">
        <v>0</v>
      </c>
      <c r="H1048">
        <v>8</v>
      </c>
      <c r="I1048">
        <v>8</v>
      </c>
      <c r="J1048">
        <v>8</v>
      </c>
      <c r="K1048" s="6">
        <v>100</v>
      </c>
      <c r="L1048" s="6">
        <v>0</v>
      </c>
      <c r="M1048" s="6">
        <v>100</v>
      </c>
      <c r="N1048">
        <v>0</v>
      </c>
      <c r="O1048" s="6">
        <v>0</v>
      </c>
      <c r="P1048">
        <v>0</v>
      </c>
      <c r="Q1048" s="8">
        <v>588.88</v>
      </c>
      <c r="R1048" s="8">
        <v>588.88</v>
      </c>
      <c r="S1048" s="9" t="s">
        <v>543</v>
      </c>
    </row>
    <row r="1049" spans="1:19" hidden="1" x14ac:dyDescent="0.25">
      <c r="A1049" t="s">
        <v>134</v>
      </c>
      <c r="B1049" t="s">
        <v>79</v>
      </c>
      <c r="C1049" t="s">
        <v>128</v>
      </c>
      <c r="D1049" t="s">
        <v>527</v>
      </c>
      <c r="E1049" t="s">
        <v>90</v>
      </c>
      <c r="F1049" t="s">
        <v>91</v>
      </c>
      <c r="G1049">
        <v>1</v>
      </c>
      <c r="H1049">
        <v>8</v>
      </c>
      <c r="I1049">
        <v>8</v>
      </c>
      <c r="J1049">
        <v>8</v>
      </c>
      <c r="K1049" s="6">
        <v>100</v>
      </c>
      <c r="L1049" s="6">
        <v>0</v>
      </c>
      <c r="M1049" s="6">
        <v>100</v>
      </c>
      <c r="N1049">
        <v>0</v>
      </c>
      <c r="O1049" s="6">
        <v>0</v>
      </c>
      <c r="P1049">
        <v>0</v>
      </c>
      <c r="Q1049" s="8">
        <v>588.88</v>
      </c>
      <c r="R1049" s="8">
        <v>588.88</v>
      </c>
      <c r="S1049" s="9" t="s">
        <v>544</v>
      </c>
    </row>
    <row r="1050" spans="1:19" hidden="1" x14ac:dyDescent="0.25">
      <c r="A1050" t="s">
        <v>134</v>
      </c>
      <c r="B1050" t="s">
        <v>79</v>
      </c>
      <c r="C1050" t="s">
        <v>128</v>
      </c>
      <c r="D1050" t="s">
        <v>527</v>
      </c>
      <c r="E1050" t="s">
        <v>90</v>
      </c>
      <c r="F1050" t="s">
        <v>94</v>
      </c>
      <c r="G1050">
        <v>2</v>
      </c>
      <c r="H1050">
        <v>8</v>
      </c>
      <c r="I1050">
        <v>8</v>
      </c>
      <c r="J1050">
        <v>8</v>
      </c>
      <c r="K1050" s="6">
        <v>100</v>
      </c>
      <c r="L1050" s="6">
        <v>0</v>
      </c>
      <c r="M1050" s="6">
        <v>100</v>
      </c>
      <c r="N1050">
        <v>0</v>
      </c>
      <c r="O1050" s="6">
        <v>0</v>
      </c>
      <c r="P1050">
        <v>0</v>
      </c>
      <c r="Q1050" s="8">
        <v>588.88</v>
      </c>
      <c r="R1050" s="8">
        <v>588.88</v>
      </c>
      <c r="S1050" s="9" t="s">
        <v>544</v>
      </c>
    </row>
    <row r="1051" spans="1:19" hidden="1" x14ac:dyDescent="0.25">
      <c r="A1051" t="s">
        <v>134</v>
      </c>
      <c r="B1051" t="s">
        <v>79</v>
      </c>
      <c r="C1051" t="s">
        <v>128</v>
      </c>
      <c r="D1051" t="s">
        <v>527</v>
      </c>
      <c r="E1051" t="s">
        <v>90</v>
      </c>
      <c r="F1051" t="s">
        <v>96</v>
      </c>
      <c r="G1051">
        <v>6</v>
      </c>
      <c r="H1051">
        <v>8</v>
      </c>
      <c r="I1051">
        <v>8</v>
      </c>
      <c r="J1051">
        <v>8</v>
      </c>
      <c r="K1051" s="6">
        <v>100</v>
      </c>
      <c r="L1051" s="6">
        <v>0</v>
      </c>
      <c r="M1051" s="6">
        <v>100</v>
      </c>
      <c r="N1051">
        <v>0</v>
      </c>
      <c r="O1051" s="6">
        <v>0</v>
      </c>
      <c r="P1051">
        <v>0</v>
      </c>
      <c r="Q1051" s="8">
        <v>588.88</v>
      </c>
      <c r="R1051" s="8">
        <v>588.88</v>
      </c>
      <c r="S1051" s="9" t="s">
        <v>544</v>
      </c>
    </row>
    <row r="1052" spans="1:19" hidden="1" x14ac:dyDescent="0.25">
      <c r="A1052" t="s">
        <v>134</v>
      </c>
      <c r="B1052" t="s">
        <v>79</v>
      </c>
      <c r="C1052" t="s">
        <v>128</v>
      </c>
      <c r="D1052" t="s">
        <v>527</v>
      </c>
      <c r="E1052" t="s">
        <v>90</v>
      </c>
      <c r="F1052" t="s">
        <v>6</v>
      </c>
      <c r="G1052">
        <v>13</v>
      </c>
      <c r="H1052">
        <v>8</v>
      </c>
      <c r="I1052">
        <v>8</v>
      </c>
      <c r="J1052">
        <v>8</v>
      </c>
      <c r="K1052" s="6">
        <v>100.03</v>
      </c>
      <c r="L1052" s="6">
        <v>0</v>
      </c>
      <c r="M1052" s="6">
        <v>100.03</v>
      </c>
      <c r="N1052">
        <v>0</v>
      </c>
      <c r="O1052" s="6">
        <v>0</v>
      </c>
      <c r="P1052">
        <v>0</v>
      </c>
      <c r="Q1052" s="8">
        <v>588.88</v>
      </c>
      <c r="R1052" s="8">
        <v>589.08000000000004</v>
      </c>
      <c r="S1052" s="9" t="s">
        <v>544</v>
      </c>
    </row>
    <row r="1053" spans="1:19" hidden="1" x14ac:dyDescent="0.25">
      <c r="A1053" t="s">
        <v>134</v>
      </c>
      <c r="B1053" t="s">
        <v>79</v>
      </c>
      <c r="C1053" t="s">
        <v>128</v>
      </c>
      <c r="D1053" t="s">
        <v>530</v>
      </c>
      <c r="E1053" t="s">
        <v>90</v>
      </c>
      <c r="F1053" t="s">
        <v>90</v>
      </c>
      <c r="G1053">
        <v>0</v>
      </c>
      <c r="H1053">
        <v>6</v>
      </c>
      <c r="I1053">
        <v>6</v>
      </c>
      <c r="J1053">
        <v>6</v>
      </c>
      <c r="K1053" s="6">
        <v>100</v>
      </c>
      <c r="L1053" s="6">
        <v>0</v>
      </c>
      <c r="M1053" s="6">
        <v>100</v>
      </c>
      <c r="N1053">
        <v>0</v>
      </c>
      <c r="O1053" s="6">
        <v>0</v>
      </c>
      <c r="P1053">
        <v>0</v>
      </c>
      <c r="Q1053" s="8">
        <v>566.70000000000005</v>
      </c>
      <c r="R1053" s="8">
        <v>566.70000000000005</v>
      </c>
      <c r="S1053" s="9" t="s">
        <v>534</v>
      </c>
    </row>
    <row r="1054" spans="1:19" hidden="1" x14ac:dyDescent="0.25">
      <c r="A1054" t="s">
        <v>134</v>
      </c>
      <c r="B1054" t="s">
        <v>79</v>
      </c>
      <c r="C1054" t="s">
        <v>128</v>
      </c>
      <c r="D1054" t="s">
        <v>530</v>
      </c>
      <c r="E1054" t="s">
        <v>90</v>
      </c>
      <c r="F1054" t="s">
        <v>91</v>
      </c>
      <c r="G1054">
        <v>1</v>
      </c>
      <c r="H1054">
        <v>6</v>
      </c>
      <c r="I1054">
        <v>6</v>
      </c>
      <c r="J1054">
        <v>6</v>
      </c>
      <c r="K1054" s="6">
        <v>100</v>
      </c>
      <c r="L1054" s="6">
        <v>0</v>
      </c>
      <c r="M1054" s="6">
        <v>100</v>
      </c>
      <c r="N1054">
        <v>0</v>
      </c>
      <c r="O1054" s="6">
        <v>0</v>
      </c>
      <c r="P1054">
        <v>0</v>
      </c>
      <c r="Q1054" s="8">
        <v>566.70000000000005</v>
      </c>
      <c r="R1054" s="8">
        <v>566.70000000000005</v>
      </c>
      <c r="S1054" s="9" t="s">
        <v>535</v>
      </c>
    </row>
    <row r="1055" spans="1:19" hidden="1" x14ac:dyDescent="0.25">
      <c r="A1055" t="s">
        <v>134</v>
      </c>
      <c r="B1055" t="s">
        <v>79</v>
      </c>
      <c r="C1055" t="s">
        <v>128</v>
      </c>
      <c r="D1055" t="s">
        <v>530</v>
      </c>
      <c r="E1055" t="s">
        <v>90</v>
      </c>
      <c r="F1055" t="s">
        <v>94</v>
      </c>
      <c r="G1055">
        <v>2</v>
      </c>
      <c r="H1055">
        <v>6</v>
      </c>
      <c r="I1055">
        <v>6</v>
      </c>
      <c r="J1055">
        <v>6</v>
      </c>
      <c r="K1055" s="6">
        <v>100</v>
      </c>
      <c r="L1055" s="6">
        <v>0</v>
      </c>
      <c r="M1055" s="6">
        <v>100</v>
      </c>
      <c r="N1055">
        <v>0</v>
      </c>
      <c r="O1055" s="6">
        <v>0</v>
      </c>
      <c r="P1055">
        <v>0</v>
      </c>
      <c r="Q1055" s="8">
        <v>566.70000000000005</v>
      </c>
      <c r="R1055" s="8">
        <v>566.70000000000005</v>
      </c>
      <c r="S1055" s="9" t="s">
        <v>535</v>
      </c>
    </row>
    <row r="1056" spans="1:19" hidden="1" x14ac:dyDescent="0.25">
      <c r="A1056" t="s">
        <v>134</v>
      </c>
      <c r="B1056" t="s">
        <v>79</v>
      </c>
      <c r="C1056" t="s">
        <v>128</v>
      </c>
      <c r="D1056" t="s">
        <v>530</v>
      </c>
      <c r="E1056" t="s">
        <v>90</v>
      </c>
      <c r="F1056" t="s">
        <v>96</v>
      </c>
      <c r="G1056">
        <v>6</v>
      </c>
      <c r="H1056">
        <v>6</v>
      </c>
      <c r="I1056">
        <v>6</v>
      </c>
      <c r="J1056">
        <v>6</v>
      </c>
      <c r="K1056" s="6">
        <v>100</v>
      </c>
      <c r="L1056" s="6">
        <v>0</v>
      </c>
      <c r="M1056" s="6">
        <v>100</v>
      </c>
      <c r="N1056">
        <v>0</v>
      </c>
      <c r="O1056" s="6">
        <v>0</v>
      </c>
      <c r="P1056">
        <v>0</v>
      </c>
      <c r="Q1056" s="8">
        <v>566.70000000000005</v>
      </c>
      <c r="R1056" s="8">
        <v>566.70000000000005</v>
      </c>
      <c r="S1056" s="9" t="s">
        <v>535</v>
      </c>
    </row>
    <row r="1057" spans="1:19" hidden="1" x14ac:dyDescent="0.25">
      <c r="A1057" t="s">
        <v>134</v>
      </c>
      <c r="B1057" t="s">
        <v>79</v>
      </c>
      <c r="C1057" t="s">
        <v>128</v>
      </c>
      <c r="D1057" t="s">
        <v>530</v>
      </c>
      <c r="E1057" t="s">
        <v>90</v>
      </c>
      <c r="F1057" t="s">
        <v>6</v>
      </c>
      <c r="G1057">
        <v>13</v>
      </c>
      <c r="H1057">
        <v>6</v>
      </c>
      <c r="I1057">
        <v>6</v>
      </c>
      <c r="J1057">
        <v>6</v>
      </c>
      <c r="K1057" s="6">
        <v>99.16</v>
      </c>
      <c r="L1057" s="6">
        <v>0</v>
      </c>
      <c r="M1057" s="6">
        <v>99.16</v>
      </c>
      <c r="N1057">
        <v>0</v>
      </c>
      <c r="O1057" s="6">
        <v>0</v>
      </c>
      <c r="P1057">
        <v>0</v>
      </c>
      <c r="Q1057" s="8">
        <v>566.70000000000005</v>
      </c>
      <c r="R1057" s="8">
        <v>561.94000000000005</v>
      </c>
      <c r="S1057" s="9" t="s">
        <v>535</v>
      </c>
    </row>
    <row r="1058" spans="1:19" hidden="1" x14ac:dyDescent="0.25">
      <c r="A1058" t="s">
        <v>134</v>
      </c>
      <c r="B1058" t="s">
        <v>79</v>
      </c>
      <c r="C1058" t="s">
        <v>128</v>
      </c>
      <c r="D1058" t="s">
        <v>531</v>
      </c>
      <c r="E1058" t="s">
        <v>90</v>
      </c>
      <c r="F1058" t="s">
        <v>90</v>
      </c>
      <c r="G1058">
        <v>0</v>
      </c>
      <c r="H1058">
        <v>10</v>
      </c>
      <c r="I1058">
        <v>10</v>
      </c>
      <c r="J1058">
        <v>10</v>
      </c>
      <c r="K1058" s="6">
        <v>100</v>
      </c>
      <c r="L1058" s="6">
        <v>0</v>
      </c>
      <c r="M1058" s="6">
        <v>100</v>
      </c>
      <c r="N1058">
        <v>0</v>
      </c>
      <c r="O1058" s="6">
        <v>0</v>
      </c>
      <c r="P1058">
        <v>0</v>
      </c>
      <c r="Q1058" s="8">
        <v>539.42999999999995</v>
      </c>
      <c r="R1058" s="8">
        <v>539.42999999999995</v>
      </c>
      <c r="S1058" s="9" t="s">
        <v>584</v>
      </c>
    </row>
    <row r="1059" spans="1:19" hidden="1" x14ac:dyDescent="0.25">
      <c r="A1059" t="s">
        <v>134</v>
      </c>
      <c r="B1059" t="s">
        <v>79</v>
      </c>
      <c r="C1059" t="s">
        <v>128</v>
      </c>
      <c r="D1059" t="s">
        <v>531</v>
      </c>
      <c r="E1059" t="s">
        <v>90</v>
      </c>
      <c r="F1059" t="s">
        <v>91</v>
      </c>
      <c r="G1059">
        <v>1</v>
      </c>
      <c r="H1059">
        <v>10</v>
      </c>
      <c r="I1059">
        <v>10</v>
      </c>
      <c r="J1059">
        <v>10</v>
      </c>
      <c r="K1059" s="6">
        <v>100</v>
      </c>
      <c r="L1059" s="6">
        <v>0</v>
      </c>
      <c r="M1059" s="6">
        <v>100</v>
      </c>
      <c r="N1059">
        <v>0</v>
      </c>
      <c r="O1059" s="6">
        <v>0</v>
      </c>
      <c r="P1059">
        <v>0</v>
      </c>
      <c r="Q1059" s="8">
        <v>539.42999999999995</v>
      </c>
      <c r="R1059" s="8">
        <v>539.42999999999995</v>
      </c>
      <c r="S1059" s="10" t="s">
        <v>131</v>
      </c>
    </row>
    <row r="1060" spans="1:19" hidden="1" x14ac:dyDescent="0.25">
      <c r="A1060" t="s">
        <v>134</v>
      </c>
      <c r="B1060" t="s">
        <v>79</v>
      </c>
      <c r="C1060" t="s">
        <v>128</v>
      </c>
      <c r="D1060" t="s">
        <v>531</v>
      </c>
      <c r="E1060" t="s">
        <v>90</v>
      </c>
      <c r="F1060" t="s">
        <v>94</v>
      </c>
      <c r="G1060">
        <v>2</v>
      </c>
      <c r="H1060">
        <v>10</v>
      </c>
      <c r="I1060">
        <v>10</v>
      </c>
      <c r="J1060">
        <v>10</v>
      </c>
      <c r="K1060" s="6">
        <v>100</v>
      </c>
      <c r="L1060" s="6">
        <v>0</v>
      </c>
      <c r="M1060" s="6">
        <v>100</v>
      </c>
      <c r="N1060">
        <v>0</v>
      </c>
      <c r="O1060" s="6">
        <v>0</v>
      </c>
      <c r="P1060">
        <v>0</v>
      </c>
      <c r="Q1060" s="8">
        <v>539.42999999999995</v>
      </c>
      <c r="R1060" s="8">
        <v>539.42999999999995</v>
      </c>
      <c r="S1060" s="10" t="s">
        <v>131</v>
      </c>
    </row>
    <row r="1061" spans="1:19" hidden="1" x14ac:dyDescent="0.25">
      <c r="A1061" t="s">
        <v>134</v>
      </c>
      <c r="B1061" t="s">
        <v>79</v>
      </c>
      <c r="C1061" t="s">
        <v>128</v>
      </c>
      <c r="D1061" t="s">
        <v>531</v>
      </c>
      <c r="E1061" t="s">
        <v>90</v>
      </c>
      <c r="F1061" t="s">
        <v>96</v>
      </c>
      <c r="G1061">
        <v>6</v>
      </c>
      <c r="H1061">
        <v>10</v>
      </c>
      <c r="I1061">
        <v>10</v>
      </c>
      <c r="J1061">
        <v>10</v>
      </c>
      <c r="K1061" s="6">
        <v>100</v>
      </c>
      <c r="L1061" s="6">
        <v>0</v>
      </c>
      <c r="M1061" s="6">
        <v>100</v>
      </c>
      <c r="N1061">
        <v>0</v>
      </c>
      <c r="O1061" s="6">
        <v>0</v>
      </c>
      <c r="P1061">
        <v>0</v>
      </c>
      <c r="Q1061" s="8">
        <v>539.42999999999995</v>
      </c>
      <c r="R1061" s="8">
        <v>539.42999999999995</v>
      </c>
      <c r="S1061" s="10" t="s">
        <v>131</v>
      </c>
    </row>
    <row r="1062" spans="1:19" hidden="1" x14ac:dyDescent="0.25">
      <c r="A1062" t="s">
        <v>134</v>
      </c>
      <c r="B1062" t="s">
        <v>79</v>
      </c>
      <c r="C1062" t="s">
        <v>128</v>
      </c>
      <c r="D1062" t="s">
        <v>531</v>
      </c>
      <c r="E1062" t="s">
        <v>90</v>
      </c>
      <c r="F1062" t="s">
        <v>6</v>
      </c>
      <c r="G1062">
        <v>13</v>
      </c>
      <c r="H1062">
        <v>10</v>
      </c>
      <c r="I1062">
        <v>10</v>
      </c>
      <c r="J1062">
        <v>10</v>
      </c>
      <c r="K1062" s="6">
        <v>97.46</v>
      </c>
      <c r="L1062" s="6">
        <v>-2.54</v>
      </c>
      <c r="M1062" s="6">
        <v>97.46</v>
      </c>
      <c r="N1062">
        <v>0</v>
      </c>
      <c r="O1062" s="6">
        <v>0</v>
      </c>
      <c r="P1062">
        <v>0</v>
      </c>
      <c r="Q1062" s="8">
        <v>539.42999999999995</v>
      </c>
      <c r="R1062" s="8">
        <v>525.71</v>
      </c>
      <c r="S1062" s="10" t="s">
        <v>131</v>
      </c>
    </row>
    <row r="1063" spans="1:19" hidden="1" x14ac:dyDescent="0.25">
      <c r="A1063" t="s">
        <v>134</v>
      </c>
      <c r="B1063" t="s">
        <v>79</v>
      </c>
      <c r="C1063" t="s">
        <v>128</v>
      </c>
      <c r="D1063" t="s">
        <v>532</v>
      </c>
      <c r="E1063" t="s">
        <v>90</v>
      </c>
      <c r="F1063" t="s">
        <v>90</v>
      </c>
      <c r="G1063">
        <v>0</v>
      </c>
      <c r="H1063">
        <v>9</v>
      </c>
      <c r="I1063">
        <v>9</v>
      </c>
      <c r="J1063">
        <v>9</v>
      </c>
      <c r="K1063" s="6">
        <v>100</v>
      </c>
      <c r="L1063" s="6">
        <v>0</v>
      </c>
      <c r="M1063" s="6">
        <v>100</v>
      </c>
      <c r="N1063">
        <v>0</v>
      </c>
      <c r="O1063" s="6">
        <v>0</v>
      </c>
      <c r="P1063">
        <v>0</v>
      </c>
      <c r="Q1063" s="8">
        <v>563.09</v>
      </c>
      <c r="R1063" s="8">
        <v>563.09</v>
      </c>
      <c r="S1063" s="9" t="s">
        <v>546</v>
      </c>
    </row>
    <row r="1064" spans="1:19" hidden="1" x14ac:dyDescent="0.25">
      <c r="A1064" t="s">
        <v>134</v>
      </c>
      <c r="B1064" t="s">
        <v>79</v>
      </c>
      <c r="C1064" t="s">
        <v>128</v>
      </c>
      <c r="D1064" t="s">
        <v>532</v>
      </c>
      <c r="E1064" t="s">
        <v>90</v>
      </c>
      <c r="F1064" t="s">
        <v>91</v>
      </c>
      <c r="G1064">
        <v>1</v>
      </c>
      <c r="H1064">
        <v>9</v>
      </c>
      <c r="I1064">
        <v>8</v>
      </c>
      <c r="J1064">
        <v>8</v>
      </c>
      <c r="K1064" s="6">
        <v>100</v>
      </c>
      <c r="L1064" s="6">
        <v>0</v>
      </c>
      <c r="M1064" s="6">
        <v>94.33</v>
      </c>
      <c r="N1064">
        <v>-5.67</v>
      </c>
      <c r="O1064" s="6">
        <v>11.1</v>
      </c>
      <c r="P1064">
        <v>0</v>
      </c>
      <c r="Q1064" s="8">
        <v>531.17999999999995</v>
      </c>
      <c r="R1064" s="8">
        <v>531.17999999999995</v>
      </c>
      <c r="S1064" s="9" t="s">
        <v>544</v>
      </c>
    </row>
    <row r="1065" spans="1:19" hidden="1" x14ac:dyDescent="0.25">
      <c r="A1065" t="s">
        <v>134</v>
      </c>
      <c r="B1065" t="s">
        <v>79</v>
      </c>
      <c r="C1065" t="s">
        <v>128</v>
      </c>
      <c r="D1065" t="s">
        <v>532</v>
      </c>
      <c r="E1065" t="s">
        <v>90</v>
      </c>
      <c r="F1065" t="s">
        <v>94</v>
      </c>
      <c r="G1065">
        <v>2</v>
      </c>
      <c r="H1065">
        <v>9</v>
      </c>
      <c r="I1065">
        <v>8</v>
      </c>
      <c r="J1065">
        <v>8</v>
      </c>
      <c r="K1065" s="6">
        <v>100.18</v>
      </c>
      <c r="L1065" s="6">
        <v>0</v>
      </c>
      <c r="M1065" s="6">
        <v>94.5</v>
      </c>
      <c r="N1065">
        <v>-5.68</v>
      </c>
      <c r="O1065" s="6">
        <v>11.1</v>
      </c>
      <c r="P1065">
        <v>0</v>
      </c>
      <c r="Q1065" s="8">
        <v>531.17999999999995</v>
      </c>
      <c r="R1065" s="8">
        <v>532.15</v>
      </c>
      <c r="S1065" s="9" t="s">
        <v>544</v>
      </c>
    </row>
    <row r="1066" spans="1:19" hidden="1" x14ac:dyDescent="0.25">
      <c r="A1066" t="s">
        <v>134</v>
      </c>
      <c r="B1066" t="s">
        <v>79</v>
      </c>
      <c r="C1066" t="s">
        <v>128</v>
      </c>
      <c r="D1066" t="s">
        <v>532</v>
      </c>
      <c r="E1066" t="s">
        <v>90</v>
      </c>
      <c r="F1066" t="s">
        <v>96</v>
      </c>
      <c r="G1066">
        <v>6</v>
      </c>
      <c r="H1066">
        <v>9</v>
      </c>
      <c r="I1066">
        <v>8</v>
      </c>
      <c r="J1066">
        <v>8</v>
      </c>
      <c r="K1066" s="6">
        <v>100.18</v>
      </c>
      <c r="L1066" s="6">
        <v>0</v>
      </c>
      <c r="M1066" s="6">
        <v>94.5</v>
      </c>
      <c r="N1066">
        <v>-5.68</v>
      </c>
      <c r="O1066" s="6">
        <v>11.1</v>
      </c>
      <c r="P1066">
        <v>0</v>
      </c>
      <c r="Q1066" s="8">
        <v>531.17999999999995</v>
      </c>
      <c r="R1066" s="8">
        <v>532.15</v>
      </c>
      <c r="S1066" s="9" t="s">
        <v>544</v>
      </c>
    </row>
    <row r="1067" spans="1:19" hidden="1" x14ac:dyDescent="0.25">
      <c r="A1067" t="s">
        <v>134</v>
      </c>
      <c r="B1067" t="s">
        <v>79</v>
      </c>
      <c r="C1067" t="s">
        <v>128</v>
      </c>
      <c r="D1067" t="s">
        <v>532</v>
      </c>
      <c r="E1067" t="s">
        <v>90</v>
      </c>
      <c r="F1067" t="s">
        <v>6</v>
      </c>
      <c r="G1067">
        <v>13</v>
      </c>
      <c r="H1067">
        <v>9</v>
      </c>
      <c r="I1067">
        <v>8</v>
      </c>
      <c r="J1067">
        <v>8</v>
      </c>
      <c r="K1067" s="6">
        <v>100.18</v>
      </c>
      <c r="L1067" s="6">
        <v>0</v>
      </c>
      <c r="M1067" s="6">
        <v>94.5</v>
      </c>
      <c r="N1067">
        <v>-5.68</v>
      </c>
      <c r="O1067" s="6">
        <v>11.1</v>
      </c>
      <c r="P1067">
        <v>0</v>
      </c>
      <c r="Q1067" s="8">
        <v>531.17999999999995</v>
      </c>
      <c r="R1067" s="8">
        <v>532.15</v>
      </c>
      <c r="S1067" s="9" t="s">
        <v>544</v>
      </c>
    </row>
    <row r="1068" spans="1:19" hidden="1" x14ac:dyDescent="0.25">
      <c r="A1068" t="s">
        <v>134</v>
      </c>
      <c r="B1068" t="s">
        <v>79</v>
      </c>
      <c r="C1068" t="s">
        <v>128</v>
      </c>
      <c r="D1068" t="s">
        <v>533</v>
      </c>
      <c r="E1068" t="s">
        <v>94</v>
      </c>
      <c r="F1068" t="s">
        <v>94</v>
      </c>
      <c r="G1068">
        <v>0</v>
      </c>
      <c r="H1068">
        <v>11</v>
      </c>
      <c r="I1068">
        <v>11</v>
      </c>
      <c r="J1068">
        <v>11</v>
      </c>
      <c r="K1068" s="6">
        <v>100</v>
      </c>
      <c r="L1068" s="6">
        <v>0</v>
      </c>
      <c r="M1068" s="6">
        <v>100</v>
      </c>
      <c r="N1068">
        <v>0</v>
      </c>
      <c r="O1068" s="6">
        <v>0</v>
      </c>
      <c r="P1068">
        <v>0</v>
      </c>
      <c r="Q1068" s="8">
        <v>581.45000000000005</v>
      </c>
      <c r="R1068" s="8">
        <v>581.45000000000005</v>
      </c>
      <c r="S1068" s="9" t="s">
        <v>528</v>
      </c>
    </row>
    <row r="1069" spans="1:19" hidden="1" x14ac:dyDescent="0.25">
      <c r="A1069" t="s">
        <v>134</v>
      </c>
      <c r="B1069" t="s">
        <v>79</v>
      </c>
      <c r="C1069" t="s">
        <v>128</v>
      </c>
      <c r="D1069" t="s">
        <v>533</v>
      </c>
      <c r="E1069" t="s">
        <v>94</v>
      </c>
      <c r="F1069" t="s">
        <v>96</v>
      </c>
      <c r="G1069">
        <v>4</v>
      </c>
      <c r="H1069">
        <v>11</v>
      </c>
      <c r="I1069">
        <v>10</v>
      </c>
      <c r="J1069">
        <v>10</v>
      </c>
      <c r="K1069" s="6">
        <v>100.24</v>
      </c>
      <c r="L1069" s="6">
        <v>0</v>
      </c>
      <c r="M1069" s="6">
        <v>98.6</v>
      </c>
      <c r="N1069">
        <v>-1.64</v>
      </c>
      <c r="O1069" s="6">
        <v>9.1</v>
      </c>
      <c r="P1069">
        <v>0</v>
      </c>
      <c r="Q1069" s="8">
        <v>571.89</v>
      </c>
      <c r="R1069" s="8">
        <v>573.29</v>
      </c>
      <c r="S1069" s="10" t="s">
        <v>131</v>
      </c>
    </row>
    <row r="1070" spans="1:19" hidden="1" x14ac:dyDescent="0.25">
      <c r="A1070" t="s">
        <v>134</v>
      </c>
      <c r="B1070" t="s">
        <v>79</v>
      </c>
      <c r="C1070" t="s">
        <v>128</v>
      </c>
      <c r="D1070" t="s">
        <v>533</v>
      </c>
      <c r="E1070" t="s">
        <v>94</v>
      </c>
      <c r="F1070" t="s">
        <v>6</v>
      </c>
      <c r="G1070">
        <v>11</v>
      </c>
      <c r="H1070">
        <v>11</v>
      </c>
      <c r="I1070">
        <v>11</v>
      </c>
      <c r="J1070">
        <v>10</v>
      </c>
      <c r="K1070" s="6">
        <v>98.93</v>
      </c>
      <c r="L1070" s="6">
        <v>0</v>
      </c>
      <c r="M1070" s="6">
        <v>99.14</v>
      </c>
      <c r="N1070">
        <v>0.21</v>
      </c>
      <c r="O1070" s="6">
        <v>9.1</v>
      </c>
      <c r="P1070">
        <v>1</v>
      </c>
      <c r="Q1070" s="8">
        <v>571.89</v>
      </c>
      <c r="R1070" s="8">
        <v>565.79</v>
      </c>
      <c r="S1070" s="10" t="s">
        <v>131</v>
      </c>
    </row>
    <row r="1071" spans="1:19" hidden="1" x14ac:dyDescent="0.25">
      <c r="A1071" t="s">
        <v>134</v>
      </c>
      <c r="B1071" t="s">
        <v>79</v>
      </c>
      <c r="C1071" t="s">
        <v>128</v>
      </c>
      <c r="D1071" t="s">
        <v>545</v>
      </c>
      <c r="E1071" t="s">
        <v>94</v>
      </c>
      <c r="F1071" t="s">
        <v>94</v>
      </c>
      <c r="G1071">
        <v>0</v>
      </c>
      <c r="H1071">
        <v>4</v>
      </c>
      <c r="I1071">
        <v>4</v>
      </c>
      <c r="J1071">
        <v>4</v>
      </c>
      <c r="K1071" s="6">
        <v>100</v>
      </c>
      <c r="L1071" s="6">
        <v>0</v>
      </c>
      <c r="M1071" s="6">
        <v>100</v>
      </c>
      <c r="N1071">
        <v>0</v>
      </c>
      <c r="O1071" s="6">
        <v>0</v>
      </c>
      <c r="P1071">
        <v>0</v>
      </c>
      <c r="Q1071" s="8">
        <v>648.07000000000005</v>
      </c>
      <c r="R1071" s="8">
        <v>648.07000000000005</v>
      </c>
      <c r="S1071" s="9" t="s">
        <v>605</v>
      </c>
    </row>
    <row r="1072" spans="1:19" hidden="1" x14ac:dyDescent="0.25">
      <c r="A1072" t="s">
        <v>134</v>
      </c>
      <c r="B1072" t="s">
        <v>79</v>
      </c>
      <c r="C1072" t="s">
        <v>128</v>
      </c>
      <c r="D1072" t="s">
        <v>545</v>
      </c>
      <c r="E1072" t="s">
        <v>94</v>
      </c>
      <c r="F1072" t="s">
        <v>96</v>
      </c>
      <c r="G1072">
        <v>4</v>
      </c>
      <c r="H1072">
        <v>4</v>
      </c>
      <c r="I1072">
        <v>4</v>
      </c>
      <c r="J1072">
        <v>4</v>
      </c>
      <c r="K1072" s="6">
        <v>100</v>
      </c>
      <c r="L1072" s="6">
        <v>0</v>
      </c>
      <c r="M1072" s="6">
        <v>100</v>
      </c>
      <c r="N1072">
        <v>0</v>
      </c>
      <c r="O1072" s="6">
        <v>0</v>
      </c>
      <c r="P1072">
        <v>0</v>
      </c>
      <c r="Q1072" s="8">
        <v>648.07000000000005</v>
      </c>
      <c r="R1072" s="8">
        <v>648.07000000000005</v>
      </c>
      <c r="S1072" s="9" t="s">
        <v>548</v>
      </c>
    </row>
    <row r="1073" spans="1:19" hidden="1" x14ac:dyDescent="0.25">
      <c r="A1073" t="s">
        <v>134</v>
      </c>
      <c r="B1073" t="s">
        <v>79</v>
      </c>
      <c r="C1073" t="s">
        <v>128</v>
      </c>
      <c r="D1073" t="s">
        <v>545</v>
      </c>
      <c r="E1073" t="s">
        <v>94</v>
      </c>
      <c r="F1073" t="s">
        <v>6</v>
      </c>
      <c r="G1073">
        <v>11</v>
      </c>
      <c r="H1073">
        <v>4</v>
      </c>
      <c r="I1073">
        <v>4</v>
      </c>
      <c r="J1073">
        <v>4</v>
      </c>
      <c r="K1073" s="6">
        <v>99.72</v>
      </c>
      <c r="L1073" s="6">
        <v>0</v>
      </c>
      <c r="M1073" s="6">
        <v>99.72</v>
      </c>
      <c r="N1073">
        <v>0</v>
      </c>
      <c r="O1073" s="6">
        <v>0</v>
      </c>
      <c r="P1073">
        <v>0</v>
      </c>
      <c r="Q1073" s="8">
        <v>648.07000000000005</v>
      </c>
      <c r="R1073" s="8">
        <v>646.29</v>
      </c>
      <c r="S1073" s="9" t="s">
        <v>548</v>
      </c>
    </row>
    <row r="1074" spans="1:19" hidden="1" x14ac:dyDescent="0.25">
      <c r="A1074" t="s">
        <v>134</v>
      </c>
      <c r="B1074" t="s">
        <v>79</v>
      </c>
      <c r="C1074" t="s">
        <v>128</v>
      </c>
      <c r="D1074" t="s">
        <v>580</v>
      </c>
      <c r="E1074" t="s">
        <v>94</v>
      </c>
      <c r="F1074" t="s">
        <v>94</v>
      </c>
      <c r="G1074">
        <v>0</v>
      </c>
      <c r="H1074">
        <v>5</v>
      </c>
      <c r="I1074">
        <v>5</v>
      </c>
      <c r="J1074">
        <v>5</v>
      </c>
      <c r="K1074" s="6">
        <v>100</v>
      </c>
      <c r="L1074" s="6">
        <v>0</v>
      </c>
      <c r="M1074" s="6">
        <v>100</v>
      </c>
      <c r="N1074">
        <v>0</v>
      </c>
      <c r="O1074" s="6">
        <v>0</v>
      </c>
      <c r="P1074">
        <v>0</v>
      </c>
      <c r="Q1074" s="8">
        <v>622.53</v>
      </c>
      <c r="R1074" s="8">
        <v>622.53</v>
      </c>
      <c r="S1074" s="9" t="s">
        <v>538</v>
      </c>
    </row>
    <row r="1075" spans="1:19" hidden="1" x14ac:dyDescent="0.25">
      <c r="A1075" t="s">
        <v>134</v>
      </c>
      <c r="B1075" t="s">
        <v>79</v>
      </c>
      <c r="C1075" t="s">
        <v>128</v>
      </c>
      <c r="D1075" t="s">
        <v>580</v>
      </c>
      <c r="E1075" t="s">
        <v>94</v>
      </c>
      <c r="F1075" t="s">
        <v>96</v>
      </c>
      <c r="G1075">
        <v>4</v>
      </c>
      <c r="H1075">
        <v>5</v>
      </c>
      <c r="I1075">
        <v>5</v>
      </c>
      <c r="J1075">
        <v>5</v>
      </c>
      <c r="K1075" s="6">
        <v>100</v>
      </c>
      <c r="L1075" s="6">
        <v>0</v>
      </c>
      <c r="M1075" s="6">
        <v>100</v>
      </c>
      <c r="N1075">
        <v>0</v>
      </c>
      <c r="O1075" s="6">
        <v>0</v>
      </c>
      <c r="P1075">
        <v>0</v>
      </c>
      <c r="Q1075" s="8">
        <v>622.53</v>
      </c>
      <c r="R1075" s="8">
        <v>622.53</v>
      </c>
      <c r="S1075" s="9" t="s">
        <v>133</v>
      </c>
    </row>
    <row r="1076" spans="1:19" hidden="1" x14ac:dyDescent="0.25">
      <c r="A1076" t="s">
        <v>134</v>
      </c>
      <c r="B1076" t="s">
        <v>79</v>
      </c>
      <c r="C1076" t="s">
        <v>128</v>
      </c>
      <c r="D1076" t="s">
        <v>580</v>
      </c>
      <c r="E1076" t="s">
        <v>94</v>
      </c>
      <c r="F1076" t="s">
        <v>6</v>
      </c>
      <c r="G1076">
        <v>11</v>
      </c>
      <c r="H1076">
        <v>5</v>
      </c>
      <c r="I1076">
        <v>5</v>
      </c>
      <c r="J1076">
        <v>5</v>
      </c>
      <c r="K1076" s="6">
        <v>102.29</v>
      </c>
      <c r="L1076" s="6">
        <v>0</v>
      </c>
      <c r="M1076" s="6">
        <v>102.29</v>
      </c>
      <c r="N1076">
        <v>0</v>
      </c>
      <c r="O1076" s="6">
        <v>0</v>
      </c>
      <c r="P1076">
        <v>0</v>
      </c>
      <c r="Q1076" s="8">
        <v>622.53</v>
      </c>
      <c r="R1076" s="8">
        <v>636.80999999999995</v>
      </c>
      <c r="S1076" s="9" t="s">
        <v>133</v>
      </c>
    </row>
    <row r="1077" spans="1:19" hidden="1" x14ac:dyDescent="0.25">
      <c r="A1077" t="s">
        <v>134</v>
      </c>
      <c r="B1077" t="s">
        <v>79</v>
      </c>
      <c r="C1077" t="s">
        <v>128</v>
      </c>
      <c r="D1077" t="s">
        <v>582</v>
      </c>
      <c r="E1077" t="s">
        <v>94</v>
      </c>
      <c r="F1077" t="s">
        <v>94</v>
      </c>
      <c r="G1077">
        <v>0</v>
      </c>
      <c r="H1077">
        <v>22</v>
      </c>
      <c r="I1077">
        <v>22</v>
      </c>
      <c r="J1077">
        <v>22</v>
      </c>
      <c r="K1077" s="6">
        <v>100</v>
      </c>
      <c r="L1077" s="6">
        <v>0</v>
      </c>
      <c r="M1077" s="6">
        <v>100</v>
      </c>
      <c r="N1077">
        <v>0</v>
      </c>
      <c r="O1077" s="6">
        <v>0</v>
      </c>
      <c r="P1077">
        <v>0</v>
      </c>
      <c r="Q1077" s="8">
        <v>618.27</v>
      </c>
      <c r="R1077" s="8">
        <v>618.27</v>
      </c>
      <c r="S1077" s="9" t="s">
        <v>614</v>
      </c>
    </row>
    <row r="1078" spans="1:19" hidden="1" x14ac:dyDescent="0.25">
      <c r="A1078" t="s">
        <v>134</v>
      </c>
      <c r="B1078" t="s">
        <v>79</v>
      </c>
      <c r="C1078" t="s">
        <v>128</v>
      </c>
      <c r="D1078" t="s">
        <v>582</v>
      </c>
      <c r="E1078" t="s">
        <v>94</v>
      </c>
      <c r="F1078" t="s">
        <v>96</v>
      </c>
      <c r="G1078">
        <v>4</v>
      </c>
      <c r="H1078">
        <v>22</v>
      </c>
      <c r="I1078">
        <v>18</v>
      </c>
      <c r="J1078">
        <v>18</v>
      </c>
      <c r="K1078" s="6">
        <v>100</v>
      </c>
      <c r="L1078" s="6">
        <v>0</v>
      </c>
      <c r="M1078" s="6">
        <v>98.04</v>
      </c>
      <c r="N1078">
        <v>-1.96</v>
      </c>
      <c r="O1078" s="6">
        <v>18.2</v>
      </c>
      <c r="P1078">
        <v>0</v>
      </c>
      <c r="Q1078" s="8">
        <v>606.17999999999995</v>
      </c>
      <c r="R1078" s="8">
        <v>606.17999999999995</v>
      </c>
      <c r="S1078" s="10" t="s">
        <v>488</v>
      </c>
    </row>
    <row r="1079" spans="1:19" hidden="1" x14ac:dyDescent="0.25">
      <c r="A1079" t="s">
        <v>134</v>
      </c>
      <c r="B1079" t="s">
        <v>79</v>
      </c>
      <c r="C1079" t="s">
        <v>128</v>
      </c>
      <c r="D1079" t="s">
        <v>582</v>
      </c>
      <c r="E1079" t="s">
        <v>94</v>
      </c>
      <c r="F1079" t="s">
        <v>6</v>
      </c>
      <c r="G1079">
        <v>11</v>
      </c>
      <c r="H1079">
        <v>22</v>
      </c>
      <c r="I1079">
        <v>12</v>
      </c>
      <c r="J1079">
        <v>12</v>
      </c>
      <c r="K1079" s="6">
        <v>104.9</v>
      </c>
      <c r="L1079" s="6">
        <v>5.76</v>
      </c>
      <c r="M1079" s="6">
        <v>94.17</v>
      </c>
      <c r="N1079">
        <v>-10.73</v>
      </c>
      <c r="O1079" s="6">
        <v>45.5</v>
      </c>
      <c r="P1079">
        <v>0</v>
      </c>
      <c r="Q1079" s="8">
        <v>555.04999999999995</v>
      </c>
      <c r="R1079" s="8">
        <v>582.25</v>
      </c>
      <c r="S1079" s="10" t="s">
        <v>587</v>
      </c>
    </row>
    <row r="1080" spans="1:19" hidden="1" x14ac:dyDescent="0.25">
      <c r="A1080" t="s">
        <v>134</v>
      </c>
      <c r="B1080" t="s">
        <v>79</v>
      </c>
      <c r="C1080" t="s">
        <v>128</v>
      </c>
      <c r="D1080" t="s">
        <v>583</v>
      </c>
      <c r="E1080" t="s">
        <v>94</v>
      </c>
      <c r="F1080" t="s">
        <v>94</v>
      </c>
      <c r="G1080">
        <v>0</v>
      </c>
      <c r="H1080">
        <v>24</v>
      </c>
      <c r="I1080">
        <v>24</v>
      </c>
      <c r="J1080">
        <v>24</v>
      </c>
      <c r="K1080" s="6">
        <v>100</v>
      </c>
      <c r="L1080" s="6">
        <v>0</v>
      </c>
      <c r="M1080" s="6">
        <v>100</v>
      </c>
      <c r="N1080">
        <v>0</v>
      </c>
      <c r="O1080" s="6">
        <v>0</v>
      </c>
      <c r="P1080">
        <v>0</v>
      </c>
      <c r="Q1080" s="8">
        <v>751.61</v>
      </c>
      <c r="R1080" s="8">
        <v>751.61</v>
      </c>
      <c r="S1080" s="9" t="s">
        <v>601</v>
      </c>
    </row>
    <row r="1081" spans="1:19" hidden="1" x14ac:dyDescent="0.25">
      <c r="A1081" t="s">
        <v>134</v>
      </c>
      <c r="B1081" t="s">
        <v>79</v>
      </c>
      <c r="C1081" t="s">
        <v>128</v>
      </c>
      <c r="D1081" t="s">
        <v>583</v>
      </c>
      <c r="E1081" t="s">
        <v>94</v>
      </c>
      <c r="F1081" t="s">
        <v>96</v>
      </c>
      <c r="G1081">
        <v>4</v>
      </c>
      <c r="H1081">
        <v>24</v>
      </c>
      <c r="I1081">
        <v>16</v>
      </c>
      <c r="J1081">
        <v>16</v>
      </c>
      <c r="K1081" s="6">
        <v>100</v>
      </c>
      <c r="L1081" s="6">
        <v>0</v>
      </c>
      <c r="M1081" s="6">
        <v>97.17</v>
      </c>
      <c r="N1081">
        <v>-2.83</v>
      </c>
      <c r="O1081" s="6">
        <v>33.299999999999997</v>
      </c>
      <c r="P1081">
        <v>0</v>
      </c>
      <c r="Q1081" s="8">
        <v>730.35</v>
      </c>
      <c r="R1081" s="8">
        <v>730.35</v>
      </c>
      <c r="S1081" s="10" t="s">
        <v>609</v>
      </c>
    </row>
    <row r="1082" spans="1:19" hidden="1" x14ac:dyDescent="0.25">
      <c r="A1082" t="s">
        <v>134</v>
      </c>
      <c r="B1082" t="s">
        <v>79</v>
      </c>
      <c r="C1082" t="s">
        <v>128</v>
      </c>
      <c r="D1082" t="s">
        <v>583</v>
      </c>
      <c r="E1082" t="s">
        <v>94</v>
      </c>
      <c r="F1082" t="s">
        <v>6</v>
      </c>
      <c r="G1082">
        <v>11</v>
      </c>
      <c r="H1082">
        <v>24</v>
      </c>
      <c r="I1082">
        <v>8</v>
      </c>
      <c r="J1082">
        <v>8</v>
      </c>
      <c r="K1082" s="6">
        <v>105.68</v>
      </c>
      <c r="L1082" s="6">
        <v>5.51</v>
      </c>
      <c r="M1082" s="6">
        <v>75.09</v>
      </c>
      <c r="N1082">
        <v>-30.59</v>
      </c>
      <c r="O1082" s="6">
        <v>66.7</v>
      </c>
      <c r="P1082">
        <v>0</v>
      </c>
      <c r="Q1082" s="8">
        <v>534.04999999999995</v>
      </c>
      <c r="R1082" s="8">
        <v>564.41</v>
      </c>
      <c r="S1082" s="9" t="s">
        <v>544</v>
      </c>
    </row>
    <row r="1083" spans="1:19" hidden="1" x14ac:dyDescent="0.25">
      <c r="A1083" t="s">
        <v>134</v>
      </c>
      <c r="B1083" t="s">
        <v>79</v>
      </c>
      <c r="C1083" t="s">
        <v>128</v>
      </c>
      <c r="D1083" t="s">
        <v>585</v>
      </c>
      <c r="E1083" t="s">
        <v>94</v>
      </c>
      <c r="F1083" t="s">
        <v>94</v>
      </c>
      <c r="G1083">
        <v>0</v>
      </c>
      <c r="H1083">
        <v>28</v>
      </c>
      <c r="I1083">
        <v>28</v>
      </c>
      <c r="J1083">
        <v>28</v>
      </c>
      <c r="K1083" s="6">
        <v>100</v>
      </c>
      <c r="L1083" s="6">
        <v>0</v>
      </c>
      <c r="M1083" s="6">
        <v>100</v>
      </c>
      <c r="N1083">
        <v>0</v>
      </c>
      <c r="O1083" s="6">
        <v>0</v>
      </c>
      <c r="P1083">
        <v>0</v>
      </c>
      <c r="Q1083" s="8">
        <v>799.35</v>
      </c>
      <c r="R1083" s="8">
        <v>799.35</v>
      </c>
      <c r="S1083" s="9" t="s">
        <v>556</v>
      </c>
    </row>
    <row r="1084" spans="1:19" hidden="1" x14ac:dyDescent="0.25">
      <c r="A1084" t="s">
        <v>134</v>
      </c>
      <c r="B1084" t="s">
        <v>79</v>
      </c>
      <c r="C1084" t="s">
        <v>128</v>
      </c>
      <c r="D1084" t="s">
        <v>585</v>
      </c>
      <c r="E1084" t="s">
        <v>94</v>
      </c>
      <c r="F1084" t="s">
        <v>96</v>
      </c>
      <c r="G1084">
        <v>4</v>
      </c>
      <c r="H1084">
        <v>28</v>
      </c>
      <c r="I1084">
        <v>18</v>
      </c>
      <c r="J1084">
        <v>18</v>
      </c>
      <c r="K1084" s="6">
        <v>100</v>
      </c>
      <c r="L1084" s="6">
        <v>0</v>
      </c>
      <c r="M1084" s="6">
        <v>98.57</v>
      </c>
      <c r="N1084">
        <v>-1.43</v>
      </c>
      <c r="O1084" s="6">
        <v>35.700000000000003</v>
      </c>
      <c r="P1084">
        <v>0</v>
      </c>
      <c r="Q1084" s="8">
        <v>787.95</v>
      </c>
      <c r="R1084" s="8">
        <v>787.95</v>
      </c>
      <c r="S1084" s="10" t="s">
        <v>488</v>
      </c>
    </row>
    <row r="1085" spans="1:19" hidden="1" x14ac:dyDescent="0.25">
      <c r="A1085" t="s">
        <v>134</v>
      </c>
      <c r="B1085" t="s">
        <v>79</v>
      </c>
      <c r="C1085" t="s">
        <v>128</v>
      </c>
      <c r="D1085" t="s">
        <v>585</v>
      </c>
      <c r="E1085" t="s">
        <v>94</v>
      </c>
      <c r="F1085" t="s">
        <v>6</v>
      </c>
      <c r="G1085">
        <v>11</v>
      </c>
      <c r="H1085">
        <v>28</v>
      </c>
      <c r="I1085">
        <v>8</v>
      </c>
      <c r="J1085">
        <v>8</v>
      </c>
      <c r="K1085" s="6">
        <v>105.92</v>
      </c>
      <c r="L1085" s="6">
        <v>6.08</v>
      </c>
      <c r="M1085" s="6">
        <v>71.92</v>
      </c>
      <c r="N1085">
        <v>-34</v>
      </c>
      <c r="O1085" s="6">
        <v>71.400000000000006</v>
      </c>
      <c r="P1085">
        <v>0</v>
      </c>
      <c r="Q1085" s="8">
        <v>542.71</v>
      </c>
      <c r="R1085" s="8">
        <v>574.86</v>
      </c>
      <c r="S1085" s="9" t="s">
        <v>544</v>
      </c>
    </row>
    <row r="1086" spans="1:19" hidden="1" x14ac:dyDescent="0.25">
      <c r="A1086" t="s">
        <v>134</v>
      </c>
      <c r="B1086" t="s">
        <v>79</v>
      </c>
      <c r="C1086" t="s">
        <v>128</v>
      </c>
      <c r="D1086" t="s">
        <v>588</v>
      </c>
      <c r="E1086" t="s">
        <v>94</v>
      </c>
      <c r="F1086" t="s">
        <v>94</v>
      </c>
      <c r="G1086">
        <v>0</v>
      </c>
      <c r="H1086">
        <v>24</v>
      </c>
      <c r="I1086">
        <v>24</v>
      </c>
      <c r="J1086">
        <v>24</v>
      </c>
      <c r="K1086" s="6">
        <v>100</v>
      </c>
      <c r="L1086" s="6">
        <v>0</v>
      </c>
      <c r="M1086" s="6">
        <v>100</v>
      </c>
      <c r="N1086">
        <v>0</v>
      </c>
      <c r="O1086" s="6">
        <v>0</v>
      </c>
      <c r="P1086">
        <v>0</v>
      </c>
      <c r="Q1086" s="8">
        <v>701.88</v>
      </c>
      <c r="R1086" s="8">
        <v>701.88</v>
      </c>
      <c r="S1086" s="9" t="s">
        <v>601</v>
      </c>
    </row>
    <row r="1087" spans="1:19" hidden="1" x14ac:dyDescent="0.25">
      <c r="A1087" t="s">
        <v>134</v>
      </c>
      <c r="B1087" t="s">
        <v>79</v>
      </c>
      <c r="C1087" t="s">
        <v>128</v>
      </c>
      <c r="D1087" t="s">
        <v>588</v>
      </c>
      <c r="E1087" t="s">
        <v>94</v>
      </c>
      <c r="F1087" t="s">
        <v>96</v>
      </c>
      <c r="G1087">
        <v>4</v>
      </c>
      <c r="H1087">
        <v>24</v>
      </c>
      <c r="I1087">
        <v>18</v>
      </c>
      <c r="J1087">
        <v>18</v>
      </c>
      <c r="K1087" s="6">
        <v>100</v>
      </c>
      <c r="L1087" s="6">
        <v>0</v>
      </c>
      <c r="M1087" s="6">
        <v>97.47</v>
      </c>
      <c r="N1087">
        <v>-2.5299999999999998</v>
      </c>
      <c r="O1087" s="6">
        <v>25</v>
      </c>
      <c r="P1087">
        <v>0</v>
      </c>
      <c r="Q1087" s="8">
        <v>684.14</v>
      </c>
      <c r="R1087" s="8">
        <v>684.14</v>
      </c>
      <c r="S1087" s="10" t="s">
        <v>488</v>
      </c>
    </row>
    <row r="1088" spans="1:19" hidden="1" x14ac:dyDescent="0.25">
      <c r="A1088" t="s">
        <v>134</v>
      </c>
      <c r="B1088" t="s">
        <v>79</v>
      </c>
      <c r="C1088" t="s">
        <v>128</v>
      </c>
      <c r="D1088" t="s">
        <v>588</v>
      </c>
      <c r="E1088" t="s">
        <v>94</v>
      </c>
      <c r="F1088" t="s">
        <v>6</v>
      </c>
      <c r="G1088">
        <v>11</v>
      </c>
      <c r="H1088">
        <v>24</v>
      </c>
      <c r="I1088">
        <v>8</v>
      </c>
      <c r="J1088">
        <v>8</v>
      </c>
      <c r="K1088" s="6">
        <v>105.87</v>
      </c>
      <c r="L1088" s="6">
        <v>6.02</v>
      </c>
      <c r="M1088" s="6">
        <v>77.42</v>
      </c>
      <c r="N1088">
        <v>-28.45</v>
      </c>
      <c r="O1088" s="6">
        <v>66.7</v>
      </c>
      <c r="P1088">
        <v>0</v>
      </c>
      <c r="Q1088" s="8">
        <v>513.25</v>
      </c>
      <c r="R1088" s="8">
        <v>543.38</v>
      </c>
      <c r="S1088" s="9" t="s">
        <v>544</v>
      </c>
    </row>
    <row r="1089" spans="1:19" hidden="1" x14ac:dyDescent="0.25">
      <c r="A1089" t="s">
        <v>134</v>
      </c>
      <c r="B1089" t="s">
        <v>79</v>
      </c>
      <c r="C1089" t="s">
        <v>128</v>
      </c>
      <c r="D1089" t="s">
        <v>589</v>
      </c>
      <c r="E1089" t="s">
        <v>94</v>
      </c>
      <c r="F1089" t="s">
        <v>94</v>
      </c>
      <c r="G1089">
        <v>0</v>
      </c>
      <c r="H1089">
        <v>17</v>
      </c>
      <c r="I1089">
        <v>17</v>
      </c>
      <c r="J1089">
        <v>17</v>
      </c>
      <c r="K1089" s="6">
        <v>100</v>
      </c>
      <c r="L1089" s="6">
        <v>0</v>
      </c>
      <c r="M1089" s="6">
        <v>100</v>
      </c>
      <c r="N1089">
        <v>0</v>
      </c>
      <c r="O1089" s="6">
        <v>0</v>
      </c>
      <c r="P1089">
        <v>0</v>
      </c>
      <c r="Q1089" s="8">
        <v>649.64</v>
      </c>
      <c r="R1089" s="8">
        <v>649.64</v>
      </c>
      <c r="S1089" s="9" t="s">
        <v>615</v>
      </c>
    </row>
    <row r="1090" spans="1:19" hidden="1" x14ac:dyDescent="0.25">
      <c r="A1090" t="s">
        <v>134</v>
      </c>
      <c r="B1090" t="s">
        <v>79</v>
      </c>
      <c r="C1090" t="s">
        <v>128</v>
      </c>
      <c r="D1090" t="s">
        <v>589</v>
      </c>
      <c r="E1090" t="s">
        <v>94</v>
      </c>
      <c r="F1090" t="s">
        <v>96</v>
      </c>
      <c r="G1090">
        <v>4</v>
      </c>
      <c r="H1090">
        <v>17</v>
      </c>
      <c r="I1090">
        <v>15</v>
      </c>
      <c r="J1090">
        <v>15</v>
      </c>
      <c r="K1090" s="6">
        <v>100</v>
      </c>
      <c r="L1090" s="6">
        <v>0</v>
      </c>
      <c r="M1090" s="6">
        <v>99</v>
      </c>
      <c r="N1090">
        <v>-1</v>
      </c>
      <c r="O1090" s="6">
        <v>11.8</v>
      </c>
      <c r="P1090">
        <v>0</v>
      </c>
      <c r="Q1090" s="8">
        <v>643.14</v>
      </c>
      <c r="R1090" s="8">
        <v>643.14</v>
      </c>
      <c r="S1090" s="10" t="s">
        <v>616</v>
      </c>
    </row>
    <row r="1091" spans="1:19" hidden="1" x14ac:dyDescent="0.25">
      <c r="A1091" t="s">
        <v>134</v>
      </c>
      <c r="B1091" t="s">
        <v>79</v>
      </c>
      <c r="C1091" t="s">
        <v>128</v>
      </c>
      <c r="D1091" t="s">
        <v>589</v>
      </c>
      <c r="E1091" t="s">
        <v>94</v>
      </c>
      <c r="F1091" t="s">
        <v>6</v>
      </c>
      <c r="G1091">
        <v>11</v>
      </c>
      <c r="H1091">
        <v>17</v>
      </c>
      <c r="I1091">
        <v>9</v>
      </c>
      <c r="J1091">
        <v>9</v>
      </c>
      <c r="K1091" s="6">
        <v>104.84</v>
      </c>
      <c r="L1091" s="6">
        <v>5.04</v>
      </c>
      <c r="M1091" s="6">
        <v>97.94</v>
      </c>
      <c r="N1091">
        <v>-6.9</v>
      </c>
      <c r="O1091" s="6">
        <v>47.1</v>
      </c>
      <c r="P1091">
        <v>0</v>
      </c>
      <c r="Q1091" s="8">
        <v>606.91</v>
      </c>
      <c r="R1091" s="8">
        <v>636.27</v>
      </c>
      <c r="S1091" s="9" t="s">
        <v>547</v>
      </c>
    </row>
    <row r="1092" spans="1:19" hidden="1" x14ac:dyDescent="0.25">
      <c r="A1092" t="s">
        <v>134</v>
      </c>
      <c r="B1092" t="s">
        <v>79</v>
      </c>
      <c r="C1092" t="s">
        <v>128</v>
      </c>
      <c r="D1092" t="s">
        <v>590</v>
      </c>
      <c r="E1092" t="s">
        <v>94</v>
      </c>
      <c r="F1092" t="s">
        <v>94</v>
      </c>
      <c r="G1092">
        <v>0</v>
      </c>
      <c r="H1092">
        <v>1</v>
      </c>
      <c r="I1092">
        <v>1</v>
      </c>
      <c r="J1092">
        <v>1</v>
      </c>
      <c r="K1092" s="6">
        <v>100</v>
      </c>
      <c r="L1092" s="6">
        <v>0</v>
      </c>
      <c r="M1092" s="6">
        <v>100</v>
      </c>
      <c r="N1092">
        <v>0</v>
      </c>
      <c r="O1092" s="6">
        <v>0</v>
      </c>
      <c r="P1092">
        <v>0</v>
      </c>
      <c r="Q1092" s="8">
        <v>679.86</v>
      </c>
      <c r="R1092" s="8">
        <v>679.86</v>
      </c>
      <c r="S1092" s="9" t="s">
        <v>540</v>
      </c>
    </row>
    <row r="1093" spans="1:19" hidden="1" x14ac:dyDescent="0.25">
      <c r="A1093" t="s">
        <v>134</v>
      </c>
      <c r="B1093" t="s">
        <v>79</v>
      </c>
      <c r="C1093" t="s">
        <v>128</v>
      </c>
      <c r="D1093" t="s">
        <v>590</v>
      </c>
      <c r="E1093" t="s">
        <v>94</v>
      </c>
      <c r="F1093" t="s">
        <v>96</v>
      </c>
      <c r="G1093">
        <v>4</v>
      </c>
      <c r="H1093">
        <v>1</v>
      </c>
      <c r="I1093">
        <v>1</v>
      </c>
      <c r="J1093">
        <v>1</v>
      </c>
      <c r="K1093" s="6">
        <v>100</v>
      </c>
      <c r="L1093" s="6">
        <v>0</v>
      </c>
      <c r="M1093" s="6">
        <v>100</v>
      </c>
      <c r="N1093">
        <v>0</v>
      </c>
      <c r="O1093" s="6">
        <v>0</v>
      </c>
      <c r="P1093">
        <v>0</v>
      </c>
      <c r="Q1093" s="8">
        <v>679.86</v>
      </c>
      <c r="R1093" s="8">
        <v>679.86</v>
      </c>
      <c r="S1093" s="9" t="s">
        <v>541</v>
      </c>
    </row>
    <row r="1094" spans="1:19" hidden="1" x14ac:dyDescent="0.25">
      <c r="A1094" t="s">
        <v>134</v>
      </c>
      <c r="B1094" t="s">
        <v>79</v>
      </c>
      <c r="C1094" t="s">
        <v>128</v>
      </c>
      <c r="D1094" t="s">
        <v>590</v>
      </c>
      <c r="E1094" t="s">
        <v>94</v>
      </c>
      <c r="F1094" t="s">
        <v>6</v>
      </c>
      <c r="G1094">
        <v>11</v>
      </c>
      <c r="H1094">
        <v>1</v>
      </c>
      <c r="I1094">
        <v>1</v>
      </c>
      <c r="J1094">
        <v>1</v>
      </c>
      <c r="K1094" s="6">
        <v>105.25</v>
      </c>
      <c r="L1094" s="6">
        <v>5.25</v>
      </c>
      <c r="M1094" s="6">
        <v>105.25</v>
      </c>
      <c r="N1094">
        <v>0</v>
      </c>
      <c r="O1094" s="6">
        <v>0</v>
      </c>
      <c r="P1094">
        <v>0</v>
      </c>
      <c r="Q1094" s="8">
        <v>679.86</v>
      </c>
      <c r="R1094" s="8">
        <v>715.57</v>
      </c>
      <c r="S1094" s="9" t="s">
        <v>541</v>
      </c>
    </row>
    <row r="1095" spans="1:19" hidden="1" x14ac:dyDescent="0.25">
      <c r="A1095" t="s">
        <v>134</v>
      </c>
      <c r="B1095" t="s">
        <v>78</v>
      </c>
      <c r="C1095" t="s">
        <v>124</v>
      </c>
      <c r="D1095" t="s">
        <v>539</v>
      </c>
      <c r="E1095" t="s">
        <v>91</v>
      </c>
      <c r="F1095" t="s">
        <v>91</v>
      </c>
      <c r="G1095">
        <v>0</v>
      </c>
      <c r="H1095">
        <v>5</v>
      </c>
      <c r="I1095">
        <v>5</v>
      </c>
      <c r="J1095">
        <v>5</v>
      </c>
      <c r="K1095" s="6">
        <v>100</v>
      </c>
      <c r="L1095" s="6">
        <v>0</v>
      </c>
      <c r="M1095" s="6">
        <v>100</v>
      </c>
      <c r="N1095">
        <v>0</v>
      </c>
      <c r="O1095" s="6">
        <v>0</v>
      </c>
      <c r="P1095">
        <v>0</v>
      </c>
      <c r="Q1095" s="8">
        <v>153.66999999999999</v>
      </c>
      <c r="R1095" s="8">
        <v>153.66999999999999</v>
      </c>
      <c r="S1095" s="9" t="s">
        <v>538</v>
      </c>
    </row>
    <row r="1096" spans="1:19" hidden="1" x14ac:dyDescent="0.25">
      <c r="A1096" t="s">
        <v>134</v>
      </c>
      <c r="B1096" t="s">
        <v>78</v>
      </c>
      <c r="C1096" t="s">
        <v>124</v>
      </c>
      <c r="D1096" t="s">
        <v>539</v>
      </c>
      <c r="E1096" t="s">
        <v>91</v>
      </c>
      <c r="F1096" t="s">
        <v>94</v>
      </c>
      <c r="G1096">
        <v>1</v>
      </c>
      <c r="H1096">
        <v>5</v>
      </c>
      <c r="I1096">
        <v>3</v>
      </c>
      <c r="J1096">
        <v>3</v>
      </c>
      <c r="K1096" s="6">
        <v>98.51</v>
      </c>
      <c r="L1096" s="6">
        <v>-2.04</v>
      </c>
      <c r="M1096" s="6">
        <v>82.02</v>
      </c>
      <c r="N1096">
        <v>-16.489999999999998</v>
      </c>
      <c r="O1096" s="6">
        <v>40</v>
      </c>
      <c r="P1096">
        <v>0</v>
      </c>
      <c r="Q1096" s="8">
        <v>127.95</v>
      </c>
      <c r="R1096" s="8">
        <v>126.05</v>
      </c>
      <c r="S1096" s="9" t="s">
        <v>526</v>
      </c>
    </row>
    <row r="1097" spans="1:19" hidden="1" x14ac:dyDescent="0.25">
      <c r="A1097" t="s">
        <v>134</v>
      </c>
      <c r="B1097" t="s">
        <v>78</v>
      </c>
      <c r="C1097" t="s">
        <v>124</v>
      </c>
      <c r="D1097" t="s">
        <v>539</v>
      </c>
      <c r="E1097" t="s">
        <v>91</v>
      </c>
      <c r="F1097" t="s">
        <v>96</v>
      </c>
      <c r="G1097">
        <v>5</v>
      </c>
      <c r="H1097">
        <v>5</v>
      </c>
      <c r="I1097">
        <v>3</v>
      </c>
      <c r="J1097">
        <v>3</v>
      </c>
      <c r="K1097" s="6">
        <v>98.51</v>
      </c>
      <c r="L1097" s="6">
        <v>-2.04</v>
      </c>
      <c r="M1097" s="6">
        <v>82.02</v>
      </c>
      <c r="N1097">
        <v>-16.489999999999998</v>
      </c>
      <c r="O1097" s="6">
        <v>40</v>
      </c>
      <c r="P1097">
        <v>0</v>
      </c>
      <c r="Q1097" s="8">
        <v>127.95</v>
      </c>
      <c r="R1097" s="8">
        <v>126.05</v>
      </c>
      <c r="S1097" s="9" t="s">
        <v>526</v>
      </c>
    </row>
    <row r="1098" spans="1:19" hidden="1" x14ac:dyDescent="0.25">
      <c r="A1098" t="s">
        <v>134</v>
      </c>
      <c r="B1098" t="s">
        <v>78</v>
      </c>
      <c r="C1098" t="s">
        <v>124</v>
      </c>
      <c r="D1098" t="s">
        <v>539</v>
      </c>
      <c r="E1098" t="s">
        <v>91</v>
      </c>
      <c r="F1098" t="s">
        <v>6</v>
      </c>
      <c r="G1098">
        <v>12</v>
      </c>
      <c r="H1098">
        <v>5</v>
      </c>
      <c r="I1098">
        <v>3</v>
      </c>
      <c r="J1098">
        <v>3</v>
      </c>
      <c r="K1098" s="6">
        <v>95.16</v>
      </c>
      <c r="L1098" s="6">
        <v>-5.13</v>
      </c>
      <c r="M1098" s="6">
        <v>79.23</v>
      </c>
      <c r="N1098">
        <v>-15.93</v>
      </c>
      <c r="O1098" s="6">
        <v>40</v>
      </c>
      <c r="P1098">
        <v>0</v>
      </c>
      <c r="Q1098" s="8">
        <v>127.95</v>
      </c>
      <c r="R1098" s="8">
        <v>121.76</v>
      </c>
      <c r="S1098" s="9" t="s">
        <v>526</v>
      </c>
    </row>
    <row r="1099" spans="1:19" hidden="1" x14ac:dyDescent="0.25">
      <c r="A1099" t="s">
        <v>134</v>
      </c>
      <c r="B1099" t="s">
        <v>78</v>
      </c>
      <c r="C1099" t="s">
        <v>124</v>
      </c>
      <c r="D1099" t="s">
        <v>552</v>
      </c>
      <c r="E1099" t="s">
        <v>91</v>
      </c>
      <c r="F1099" t="s">
        <v>91</v>
      </c>
      <c r="G1099">
        <v>0</v>
      </c>
      <c r="H1099">
        <v>6</v>
      </c>
      <c r="I1099">
        <v>6</v>
      </c>
      <c r="J1099">
        <v>6</v>
      </c>
      <c r="K1099" s="6">
        <v>100</v>
      </c>
      <c r="L1099" s="6">
        <v>0</v>
      </c>
      <c r="M1099" s="6">
        <v>100</v>
      </c>
      <c r="N1099">
        <v>0</v>
      </c>
      <c r="O1099" s="6">
        <v>0</v>
      </c>
      <c r="P1099">
        <v>0</v>
      </c>
      <c r="Q1099" s="8">
        <v>195.81</v>
      </c>
      <c r="R1099" s="8">
        <v>195.81</v>
      </c>
      <c r="S1099" s="9" t="s">
        <v>534</v>
      </c>
    </row>
    <row r="1100" spans="1:19" hidden="1" x14ac:dyDescent="0.25">
      <c r="A1100" t="s">
        <v>134</v>
      </c>
      <c r="B1100" t="s">
        <v>78</v>
      </c>
      <c r="C1100" t="s">
        <v>124</v>
      </c>
      <c r="D1100" t="s">
        <v>552</v>
      </c>
      <c r="E1100" t="s">
        <v>91</v>
      </c>
      <c r="F1100" t="s">
        <v>94</v>
      </c>
      <c r="G1100">
        <v>1</v>
      </c>
      <c r="H1100">
        <v>6</v>
      </c>
      <c r="I1100">
        <v>6</v>
      </c>
      <c r="J1100">
        <v>6</v>
      </c>
      <c r="K1100" s="6">
        <v>100.61</v>
      </c>
      <c r="L1100" s="6">
        <v>0</v>
      </c>
      <c r="M1100" s="6">
        <v>100.61</v>
      </c>
      <c r="N1100">
        <v>0</v>
      </c>
      <c r="O1100" s="6">
        <v>0</v>
      </c>
      <c r="P1100">
        <v>0</v>
      </c>
      <c r="Q1100" s="8">
        <v>195.81</v>
      </c>
      <c r="R1100" s="8">
        <v>197</v>
      </c>
      <c r="S1100" s="9" t="s">
        <v>535</v>
      </c>
    </row>
    <row r="1101" spans="1:19" hidden="1" x14ac:dyDescent="0.25">
      <c r="A1101" t="s">
        <v>134</v>
      </c>
      <c r="B1101" t="s">
        <v>78</v>
      </c>
      <c r="C1101" t="s">
        <v>124</v>
      </c>
      <c r="D1101" t="s">
        <v>552</v>
      </c>
      <c r="E1101" t="s">
        <v>91</v>
      </c>
      <c r="F1101" t="s">
        <v>96</v>
      </c>
      <c r="G1101">
        <v>5</v>
      </c>
      <c r="H1101">
        <v>6</v>
      </c>
      <c r="I1101">
        <v>6</v>
      </c>
      <c r="J1101">
        <v>6</v>
      </c>
      <c r="K1101" s="6">
        <v>99.76</v>
      </c>
      <c r="L1101" s="6">
        <v>-1.28</v>
      </c>
      <c r="M1101" s="6">
        <v>99.76</v>
      </c>
      <c r="N1101">
        <v>0</v>
      </c>
      <c r="O1101" s="6">
        <v>0</v>
      </c>
      <c r="P1101">
        <v>0</v>
      </c>
      <c r="Q1101" s="8">
        <v>195.81</v>
      </c>
      <c r="R1101" s="8">
        <v>195.33</v>
      </c>
      <c r="S1101" s="9" t="s">
        <v>535</v>
      </c>
    </row>
    <row r="1102" spans="1:19" hidden="1" x14ac:dyDescent="0.25">
      <c r="A1102" t="s">
        <v>134</v>
      </c>
      <c r="B1102" t="s">
        <v>78</v>
      </c>
      <c r="C1102" t="s">
        <v>124</v>
      </c>
      <c r="D1102" t="s">
        <v>552</v>
      </c>
      <c r="E1102" t="s">
        <v>91</v>
      </c>
      <c r="F1102" t="s">
        <v>6</v>
      </c>
      <c r="G1102">
        <v>12</v>
      </c>
      <c r="H1102">
        <v>6</v>
      </c>
      <c r="I1102">
        <v>6</v>
      </c>
      <c r="J1102">
        <v>6</v>
      </c>
      <c r="K1102" s="6">
        <v>100.73</v>
      </c>
      <c r="L1102" s="6">
        <v>-1.28</v>
      </c>
      <c r="M1102" s="6">
        <v>100.73</v>
      </c>
      <c r="N1102">
        <v>0</v>
      </c>
      <c r="O1102" s="6">
        <v>0</v>
      </c>
      <c r="P1102">
        <v>0</v>
      </c>
      <c r="Q1102" s="8">
        <v>195.81</v>
      </c>
      <c r="R1102" s="8">
        <v>197.24</v>
      </c>
      <c r="S1102" s="9" t="s">
        <v>535</v>
      </c>
    </row>
    <row r="1103" spans="1:19" hidden="1" x14ac:dyDescent="0.25">
      <c r="A1103" t="s">
        <v>134</v>
      </c>
      <c r="B1103" t="s">
        <v>78</v>
      </c>
      <c r="C1103" t="s">
        <v>124</v>
      </c>
      <c r="D1103" t="s">
        <v>554</v>
      </c>
      <c r="E1103" t="s">
        <v>91</v>
      </c>
      <c r="F1103" t="s">
        <v>91</v>
      </c>
      <c r="G1103">
        <v>0</v>
      </c>
      <c r="H1103">
        <v>2</v>
      </c>
      <c r="I1103">
        <v>2</v>
      </c>
      <c r="J1103">
        <v>2</v>
      </c>
      <c r="K1103" s="6">
        <v>100</v>
      </c>
      <c r="L1103" s="6">
        <v>0</v>
      </c>
      <c r="M1103" s="6">
        <v>100</v>
      </c>
      <c r="N1103">
        <v>0</v>
      </c>
      <c r="O1103" s="6">
        <v>0</v>
      </c>
      <c r="P1103">
        <v>0</v>
      </c>
      <c r="Q1103" s="8">
        <v>329.8</v>
      </c>
      <c r="R1103" s="8">
        <v>329.8</v>
      </c>
      <c r="S1103" s="9" t="s">
        <v>536</v>
      </c>
    </row>
    <row r="1104" spans="1:19" hidden="1" x14ac:dyDescent="0.25">
      <c r="A1104" t="s">
        <v>134</v>
      </c>
      <c r="B1104" t="s">
        <v>78</v>
      </c>
      <c r="C1104" t="s">
        <v>124</v>
      </c>
      <c r="D1104" t="s">
        <v>554</v>
      </c>
      <c r="E1104" t="s">
        <v>91</v>
      </c>
      <c r="F1104" t="s">
        <v>94</v>
      </c>
      <c r="G1104">
        <v>1</v>
      </c>
      <c r="H1104">
        <v>2</v>
      </c>
      <c r="I1104">
        <v>2</v>
      </c>
      <c r="J1104">
        <v>2</v>
      </c>
      <c r="K1104" s="6">
        <v>100</v>
      </c>
      <c r="L1104" s="6">
        <v>0</v>
      </c>
      <c r="M1104" s="6">
        <v>100</v>
      </c>
      <c r="N1104">
        <v>0</v>
      </c>
      <c r="O1104" s="6">
        <v>0</v>
      </c>
      <c r="P1104">
        <v>0</v>
      </c>
      <c r="Q1104" s="8">
        <v>329.8</v>
      </c>
      <c r="R1104" s="8">
        <v>329.8</v>
      </c>
      <c r="S1104" s="9" t="s">
        <v>537</v>
      </c>
    </row>
    <row r="1105" spans="1:19" hidden="1" x14ac:dyDescent="0.25">
      <c r="A1105" t="s">
        <v>134</v>
      </c>
      <c r="B1105" t="s">
        <v>78</v>
      </c>
      <c r="C1105" t="s">
        <v>124</v>
      </c>
      <c r="D1105" t="s">
        <v>554</v>
      </c>
      <c r="E1105" t="s">
        <v>91</v>
      </c>
      <c r="F1105" t="s">
        <v>96</v>
      </c>
      <c r="G1105">
        <v>5</v>
      </c>
      <c r="H1105">
        <v>2</v>
      </c>
      <c r="I1105">
        <v>2</v>
      </c>
      <c r="J1105">
        <v>2</v>
      </c>
      <c r="K1105" s="6">
        <v>100</v>
      </c>
      <c r="L1105" s="6">
        <v>0</v>
      </c>
      <c r="M1105" s="6">
        <v>100</v>
      </c>
      <c r="N1105">
        <v>0</v>
      </c>
      <c r="O1105" s="6">
        <v>0</v>
      </c>
      <c r="P1105">
        <v>0</v>
      </c>
      <c r="Q1105" s="8">
        <v>329.8</v>
      </c>
      <c r="R1105" s="8">
        <v>329.8</v>
      </c>
      <c r="S1105" s="9" t="s">
        <v>537</v>
      </c>
    </row>
    <row r="1106" spans="1:19" hidden="1" x14ac:dyDescent="0.25">
      <c r="A1106" t="s">
        <v>134</v>
      </c>
      <c r="B1106" t="s">
        <v>78</v>
      </c>
      <c r="C1106" t="s">
        <v>124</v>
      </c>
      <c r="D1106" t="s">
        <v>554</v>
      </c>
      <c r="E1106" t="s">
        <v>91</v>
      </c>
      <c r="F1106" t="s">
        <v>6</v>
      </c>
      <c r="G1106">
        <v>12</v>
      </c>
      <c r="H1106">
        <v>2</v>
      </c>
      <c r="I1106">
        <v>2</v>
      </c>
      <c r="J1106">
        <v>2</v>
      </c>
      <c r="K1106" s="6">
        <v>96.97</v>
      </c>
      <c r="L1106" s="6">
        <v>-3.03</v>
      </c>
      <c r="M1106" s="6">
        <v>96.97</v>
      </c>
      <c r="N1106">
        <v>0</v>
      </c>
      <c r="O1106" s="6">
        <v>0</v>
      </c>
      <c r="P1106">
        <v>0</v>
      </c>
      <c r="Q1106" s="8">
        <v>329.8</v>
      </c>
      <c r="R1106" s="8">
        <v>319.8</v>
      </c>
      <c r="S1106" s="9" t="s">
        <v>537</v>
      </c>
    </row>
    <row r="1107" spans="1:19" hidden="1" x14ac:dyDescent="0.25">
      <c r="A1107" t="s">
        <v>134</v>
      </c>
      <c r="B1107" t="s">
        <v>78</v>
      </c>
      <c r="C1107" t="s">
        <v>124</v>
      </c>
      <c r="D1107" t="s">
        <v>560</v>
      </c>
      <c r="E1107" t="s">
        <v>90</v>
      </c>
      <c r="F1107" t="s">
        <v>90</v>
      </c>
      <c r="G1107">
        <v>0</v>
      </c>
      <c r="H1107">
        <v>4</v>
      </c>
      <c r="I1107">
        <v>4</v>
      </c>
      <c r="J1107">
        <v>4</v>
      </c>
      <c r="K1107" s="6">
        <v>100</v>
      </c>
      <c r="L1107" s="6">
        <v>0</v>
      </c>
      <c r="M1107" s="6">
        <v>100</v>
      </c>
      <c r="N1107">
        <v>0</v>
      </c>
      <c r="O1107" s="6">
        <v>0</v>
      </c>
      <c r="P1107">
        <v>0</v>
      </c>
      <c r="Q1107" s="8">
        <v>194.86</v>
      </c>
      <c r="R1107" s="8">
        <v>194.86</v>
      </c>
      <c r="S1107" s="9" t="s">
        <v>605</v>
      </c>
    </row>
    <row r="1108" spans="1:19" hidden="1" x14ac:dyDescent="0.25">
      <c r="A1108" t="s">
        <v>134</v>
      </c>
      <c r="B1108" t="s">
        <v>78</v>
      </c>
      <c r="C1108" t="s">
        <v>124</v>
      </c>
      <c r="D1108" t="s">
        <v>560</v>
      </c>
      <c r="E1108" t="s">
        <v>90</v>
      </c>
      <c r="F1108" t="s">
        <v>91</v>
      </c>
      <c r="G1108">
        <v>1</v>
      </c>
      <c r="H1108">
        <v>4</v>
      </c>
      <c r="I1108">
        <v>4</v>
      </c>
      <c r="J1108">
        <v>4</v>
      </c>
      <c r="K1108" s="6">
        <v>100</v>
      </c>
      <c r="L1108" s="6">
        <v>0</v>
      </c>
      <c r="M1108" s="6">
        <v>100</v>
      </c>
      <c r="N1108">
        <v>0</v>
      </c>
      <c r="O1108" s="6">
        <v>0</v>
      </c>
      <c r="P1108">
        <v>0</v>
      </c>
      <c r="Q1108" s="8">
        <v>194.86</v>
      </c>
      <c r="R1108" s="8">
        <v>194.86</v>
      </c>
      <c r="S1108" s="9" t="s">
        <v>548</v>
      </c>
    </row>
    <row r="1109" spans="1:19" hidden="1" x14ac:dyDescent="0.25">
      <c r="A1109" t="s">
        <v>134</v>
      </c>
      <c r="B1109" t="s">
        <v>78</v>
      </c>
      <c r="C1109" t="s">
        <v>124</v>
      </c>
      <c r="D1109" t="s">
        <v>560</v>
      </c>
      <c r="E1109" t="s">
        <v>90</v>
      </c>
      <c r="F1109" t="s">
        <v>94</v>
      </c>
      <c r="G1109">
        <v>2</v>
      </c>
      <c r="H1109">
        <v>4</v>
      </c>
      <c r="I1109">
        <v>4</v>
      </c>
      <c r="J1109">
        <v>4</v>
      </c>
      <c r="K1109" s="6">
        <v>99.63</v>
      </c>
      <c r="L1109" s="6">
        <v>0</v>
      </c>
      <c r="M1109" s="6">
        <v>99.63</v>
      </c>
      <c r="N1109">
        <v>0</v>
      </c>
      <c r="O1109" s="6">
        <v>0</v>
      </c>
      <c r="P1109">
        <v>0</v>
      </c>
      <c r="Q1109" s="8">
        <v>194.86</v>
      </c>
      <c r="R1109" s="8">
        <v>194.14</v>
      </c>
      <c r="S1109" s="9" t="s">
        <v>548</v>
      </c>
    </row>
    <row r="1110" spans="1:19" hidden="1" x14ac:dyDescent="0.25">
      <c r="A1110" t="s">
        <v>134</v>
      </c>
      <c r="B1110" t="s">
        <v>78</v>
      </c>
      <c r="C1110" t="s">
        <v>124</v>
      </c>
      <c r="D1110" t="s">
        <v>560</v>
      </c>
      <c r="E1110" t="s">
        <v>90</v>
      </c>
      <c r="F1110" t="s">
        <v>96</v>
      </c>
      <c r="G1110">
        <v>6</v>
      </c>
      <c r="H1110">
        <v>4</v>
      </c>
      <c r="I1110">
        <v>4</v>
      </c>
      <c r="J1110">
        <v>4</v>
      </c>
      <c r="K1110" s="6">
        <v>99.63</v>
      </c>
      <c r="L1110" s="6">
        <v>0</v>
      </c>
      <c r="M1110" s="6">
        <v>99.63</v>
      </c>
      <c r="N1110">
        <v>0</v>
      </c>
      <c r="O1110" s="6">
        <v>0</v>
      </c>
      <c r="P1110">
        <v>0</v>
      </c>
      <c r="Q1110" s="8">
        <v>194.86</v>
      </c>
      <c r="R1110" s="8">
        <v>194.14</v>
      </c>
      <c r="S1110" s="9" t="s">
        <v>548</v>
      </c>
    </row>
    <row r="1111" spans="1:19" hidden="1" x14ac:dyDescent="0.25">
      <c r="A1111" t="s">
        <v>134</v>
      </c>
      <c r="B1111" t="s">
        <v>78</v>
      </c>
      <c r="C1111" t="s">
        <v>124</v>
      </c>
      <c r="D1111" t="s">
        <v>560</v>
      </c>
      <c r="E1111" t="s">
        <v>90</v>
      </c>
      <c r="F1111" t="s">
        <v>6</v>
      </c>
      <c r="G1111">
        <v>13</v>
      </c>
      <c r="H1111">
        <v>4</v>
      </c>
      <c r="I1111">
        <v>4</v>
      </c>
      <c r="J1111">
        <v>4</v>
      </c>
      <c r="K1111" s="6">
        <v>98.53</v>
      </c>
      <c r="L1111" s="6">
        <v>-1.06</v>
      </c>
      <c r="M1111" s="6">
        <v>98.53</v>
      </c>
      <c r="N1111">
        <v>0</v>
      </c>
      <c r="O1111" s="6">
        <v>0</v>
      </c>
      <c r="P1111">
        <v>0</v>
      </c>
      <c r="Q1111" s="8">
        <v>194.86</v>
      </c>
      <c r="R1111" s="8">
        <v>192</v>
      </c>
      <c r="S1111" s="9" t="s">
        <v>548</v>
      </c>
    </row>
    <row r="1112" spans="1:19" hidden="1" x14ac:dyDescent="0.25">
      <c r="A1112" t="s">
        <v>134</v>
      </c>
      <c r="B1112" t="s">
        <v>78</v>
      </c>
      <c r="C1112" t="s">
        <v>124</v>
      </c>
      <c r="D1112" t="s">
        <v>524</v>
      </c>
      <c r="E1112" t="s">
        <v>90</v>
      </c>
      <c r="F1112" t="s">
        <v>90</v>
      </c>
      <c r="G1112">
        <v>0</v>
      </c>
      <c r="H1112">
        <v>22</v>
      </c>
      <c r="I1112">
        <v>22</v>
      </c>
      <c r="J1112">
        <v>22</v>
      </c>
      <c r="K1112" s="6">
        <v>100</v>
      </c>
      <c r="L1112" s="6">
        <v>0</v>
      </c>
      <c r="M1112" s="6">
        <v>100</v>
      </c>
      <c r="N1112">
        <v>0</v>
      </c>
      <c r="O1112" s="6">
        <v>0</v>
      </c>
      <c r="P1112">
        <v>0</v>
      </c>
      <c r="Q1112" s="8">
        <v>240.49</v>
      </c>
      <c r="R1112" s="8">
        <v>240.49</v>
      </c>
      <c r="S1112" s="9" t="s">
        <v>614</v>
      </c>
    </row>
    <row r="1113" spans="1:19" hidden="1" x14ac:dyDescent="0.25">
      <c r="A1113" t="s">
        <v>134</v>
      </c>
      <c r="B1113" t="s">
        <v>78</v>
      </c>
      <c r="C1113" t="s">
        <v>124</v>
      </c>
      <c r="D1113" t="s">
        <v>524</v>
      </c>
      <c r="E1113" t="s">
        <v>90</v>
      </c>
      <c r="F1113" t="s">
        <v>91</v>
      </c>
      <c r="G1113">
        <v>1</v>
      </c>
      <c r="H1113">
        <v>22</v>
      </c>
      <c r="I1113">
        <v>22</v>
      </c>
      <c r="J1113">
        <v>22</v>
      </c>
      <c r="K1113" s="6">
        <v>100</v>
      </c>
      <c r="L1113" s="6">
        <v>0</v>
      </c>
      <c r="M1113" s="6">
        <v>100</v>
      </c>
      <c r="N1113">
        <v>0</v>
      </c>
      <c r="O1113" s="6">
        <v>0</v>
      </c>
      <c r="P1113">
        <v>0</v>
      </c>
      <c r="Q1113" s="8">
        <v>240.49</v>
      </c>
      <c r="R1113" s="8">
        <v>240.49</v>
      </c>
      <c r="S1113" s="10" t="s">
        <v>485</v>
      </c>
    </row>
    <row r="1114" spans="1:19" hidden="1" x14ac:dyDescent="0.25">
      <c r="A1114" t="s">
        <v>134</v>
      </c>
      <c r="B1114" t="s">
        <v>78</v>
      </c>
      <c r="C1114" t="s">
        <v>124</v>
      </c>
      <c r="D1114" t="s">
        <v>524</v>
      </c>
      <c r="E1114" t="s">
        <v>90</v>
      </c>
      <c r="F1114" t="s">
        <v>94</v>
      </c>
      <c r="G1114">
        <v>2</v>
      </c>
      <c r="H1114">
        <v>22</v>
      </c>
      <c r="I1114">
        <v>22</v>
      </c>
      <c r="J1114">
        <v>22</v>
      </c>
      <c r="K1114" s="6">
        <v>98.35</v>
      </c>
      <c r="L1114" s="6">
        <v>-0.69</v>
      </c>
      <c r="M1114" s="6">
        <v>98.35</v>
      </c>
      <c r="N1114">
        <v>0</v>
      </c>
      <c r="O1114" s="6">
        <v>0</v>
      </c>
      <c r="P1114">
        <v>0</v>
      </c>
      <c r="Q1114" s="8">
        <v>240.49</v>
      </c>
      <c r="R1114" s="8">
        <v>236.52</v>
      </c>
      <c r="S1114" s="10" t="s">
        <v>485</v>
      </c>
    </row>
    <row r="1115" spans="1:19" hidden="1" x14ac:dyDescent="0.25">
      <c r="A1115" t="s">
        <v>134</v>
      </c>
      <c r="B1115" t="s">
        <v>78</v>
      </c>
      <c r="C1115" t="s">
        <v>124</v>
      </c>
      <c r="D1115" t="s">
        <v>524</v>
      </c>
      <c r="E1115" t="s">
        <v>90</v>
      </c>
      <c r="F1115" t="s">
        <v>96</v>
      </c>
      <c r="G1115">
        <v>6</v>
      </c>
      <c r="H1115">
        <v>22</v>
      </c>
      <c r="I1115">
        <v>22</v>
      </c>
      <c r="J1115">
        <v>22</v>
      </c>
      <c r="K1115" s="6">
        <v>98.27</v>
      </c>
      <c r="L1115" s="6">
        <v>-1.37</v>
      </c>
      <c r="M1115" s="6">
        <v>98.27</v>
      </c>
      <c r="N1115">
        <v>0</v>
      </c>
      <c r="O1115" s="6">
        <v>0</v>
      </c>
      <c r="P1115">
        <v>0</v>
      </c>
      <c r="Q1115" s="8">
        <v>240.49</v>
      </c>
      <c r="R1115" s="8">
        <v>236.32</v>
      </c>
      <c r="S1115" s="10" t="s">
        <v>485</v>
      </c>
    </row>
    <row r="1116" spans="1:19" hidden="1" x14ac:dyDescent="0.25">
      <c r="A1116" t="s">
        <v>134</v>
      </c>
      <c r="B1116" t="s">
        <v>78</v>
      </c>
      <c r="C1116" t="s">
        <v>124</v>
      </c>
      <c r="D1116" t="s">
        <v>524</v>
      </c>
      <c r="E1116" t="s">
        <v>90</v>
      </c>
      <c r="F1116" t="s">
        <v>6</v>
      </c>
      <c r="G1116">
        <v>13</v>
      </c>
      <c r="H1116">
        <v>22</v>
      </c>
      <c r="I1116">
        <v>22</v>
      </c>
      <c r="J1116">
        <v>22</v>
      </c>
      <c r="K1116" s="6">
        <v>97.74</v>
      </c>
      <c r="L1116" s="6">
        <v>-1.77</v>
      </c>
      <c r="M1116" s="6">
        <v>97.74</v>
      </c>
      <c r="N1116">
        <v>0</v>
      </c>
      <c r="O1116" s="6">
        <v>0</v>
      </c>
      <c r="P1116">
        <v>0</v>
      </c>
      <c r="Q1116" s="8">
        <v>240.49</v>
      </c>
      <c r="R1116" s="8">
        <v>235.05</v>
      </c>
      <c r="S1116" s="10" t="s">
        <v>485</v>
      </c>
    </row>
    <row r="1117" spans="1:19" hidden="1" x14ac:dyDescent="0.25">
      <c r="A1117" t="s">
        <v>134</v>
      </c>
      <c r="B1117" t="s">
        <v>78</v>
      </c>
      <c r="C1117" t="s">
        <v>124</v>
      </c>
      <c r="D1117" t="s">
        <v>527</v>
      </c>
      <c r="E1117" t="s">
        <v>90</v>
      </c>
      <c r="F1117" t="s">
        <v>90</v>
      </c>
      <c r="G1117">
        <v>0</v>
      </c>
      <c r="H1117">
        <v>28</v>
      </c>
      <c r="I1117">
        <v>28</v>
      </c>
      <c r="J1117">
        <v>28</v>
      </c>
      <c r="K1117" s="6">
        <v>100</v>
      </c>
      <c r="L1117" s="6">
        <v>0</v>
      </c>
      <c r="M1117" s="6">
        <v>100</v>
      </c>
      <c r="N1117">
        <v>0</v>
      </c>
      <c r="O1117" s="6">
        <v>0</v>
      </c>
      <c r="P1117">
        <v>0</v>
      </c>
      <c r="Q1117" s="8">
        <v>254.7</v>
      </c>
      <c r="R1117" s="8">
        <v>254.7</v>
      </c>
      <c r="S1117" s="9" t="s">
        <v>556</v>
      </c>
    </row>
    <row r="1118" spans="1:19" hidden="1" x14ac:dyDescent="0.25">
      <c r="A1118" t="s">
        <v>134</v>
      </c>
      <c r="B1118" t="s">
        <v>78</v>
      </c>
      <c r="C1118" t="s">
        <v>124</v>
      </c>
      <c r="D1118" t="s">
        <v>527</v>
      </c>
      <c r="E1118" t="s">
        <v>90</v>
      </c>
      <c r="F1118" t="s">
        <v>91</v>
      </c>
      <c r="G1118">
        <v>1</v>
      </c>
      <c r="H1118">
        <v>28</v>
      </c>
      <c r="I1118">
        <v>28</v>
      </c>
      <c r="J1118">
        <v>28</v>
      </c>
      <c r="K1118" s="6">
        <v>100</v>
      </c>
      <c r="L1118" s="6">
        <v>0</v>
      </c>
      <c r="M1118" s="6">
        <v>100</v>
      </c>
      <c r="N1118">
        <v>0</v>
      </c>
      <c r="O1118" s="6">
        <v>0</v>
      </c>
      <c r="P1118">
        <v>0</v>
      </c>
      <c r="Q1118" s="8">
        <v>254.7</v>
      </c>
      <c r="R1118" s="8">
        <v>254.7</v>
      </c>
      <c r="S1118" s="10" t="s">
        <v>483</v>
      </c>
    </row>
    <row r="1119" spans="1:19" hidden="1" x14ac:dyDescent="0.25">
      <c r="A1119" t="s">
        <v>134</v>
      </c>
      <c r="B1119" t="s">
        <v>78</v>
      </c>
      <c r="C1119" t="s">
        <v>124</v>
      </c>
      <c r="D1119" t="s">
        <v>527</v>
      </c>
      <c r="E1119" t="s">
        <v>90</v>
      </c>
      <c r="F1119" t="s">
        <v>94</v>
      </c>
      <c r="G1119">
        <v>2</v>
      </c>
      <c r="H1119">
        <v>28</v>
      </c>
      <c r="I1119">
        <v>28</v>
      </c>
      <c r="J1119">
        <v>28</v>
      </c>
      <c r="K1119" s="6">
        <v>99.7</v>
      </c>
      <c r="L1119" s="6">
        <v>0</v>
      </c>
      <c r="M1119" s="6">
        <v>99.7</v>
      </c>
      <c r="N1119">
        <v>0</v>
      </c>
      <c r="O1119" s="6">
        <v>0</v>
      </c>
      <c r="P1119">
        <v>0</v>
      </c>
      <c r="Q1119" s="8">
        <v>254.7</v>
      </c>
      <c r="R1119" s="8">
        <v>253.94</v>
      </c>
      <c r="S1119" s="10" t="s">
        <v>483</v>
      </c>
    </row>
    <row r="1120" spans="1:19" hidden="1" x14ac:dyDescent="0.25">
      <c r="A1120" t="s">
        <v>134</v>
      </c>
      <c r="B1120" t="s">
        <v>78</v>
      </c>
      <c r="C1120" t="s">
        <v>124</v>
      </c>
      <c r="D1120" t="s">
        <v>527</v>
      </c>
      <c r="E1120" t="s">
        <v>90</v>
      </c>
      <c r="F1120" t="s">
        <v>96</v>
      </c>
      <c r="G1120">
        <v>6</v>
      </c>
      <c r="H1120">
        <v>28</v>
      </c>
      <c r="I1120">
        <v>28</v>
      </c>
      <c r="J1120">
        <v>28</v>
      </c>
      <c r="K1120" s="6">
        <v>99.66</v>
      </c>
      <c r="L1120" s="6">
        <v>0</v>
      </c>
      <c r="M1120" s="6">
        <v>99.66</v>
      </c>
      <c r="N1120">
        <v>0</v>
      </c>
      <c r="O1120" s="6">
        <v>0</v>
      </c>
      <c r="P1120">
        <v>0</v>
      </c>
      <c r="Q1120" s="8">
        <v>254.7</v>
      </c>
      <c r="R1120" s="8">
        <v>253.84</v>
      </c>
      <c r="S1120" s="10" t="s">
        <v>483</v>
      </c>
    </row>
    <row r="1121" spans="1:19" hidden="1" x14ac:dyDescent="0.25">
      <c r="A1121" t="s">
        <v>134</v>
      </c>
      <c r="B1121" t="s">
        <v>78</v>
      </c>
      <c r="C1121" t="s">
        <v>124</v>
      </c>
      <c r="D1121" t="s">
        <v>527</v>
      </c>
      <c r="E1121" t="s">
        <v>90</v>
      </c>
      <c r="F1121" t="s">
        <v>6</v>
      </c>
      <c r="G1121">
        <v>13</v>
      </c>
      <c r="H1121">
        <v>28</v>
      </c>
      <c r="I1121">
        <v>28</v>
      </c>
      <c r="J1121">
        <v>28</v>
      </c>
      <c r="K1121" s="6">
        <v>98.94</v>
      </c>
      <c r="L1121" s="6">
        <v>-1.18</v>
      </c>
      <c r="M1121" s="6">
        <v>98.94</v>
      </c>
      <c r="N1121">
        <v>0</v>
      </c>
      <c r="O1121" s="6">
        <v>0</v>
      </c>
      <c r="P1121">
        <v>0</v>
      </c>
      <c r="Q1121" s="8">
        <v>254.7</v>
      </c>
      <c r="R1121" s="8">
        <v>252</v>
      </c>
      <c r="S1121" s="10" t="s">
        <v>483</v>
      </c>
    </row>
    <row r="1122" spans="1:19" hidden="1" x14ac:dyDescent="0.25">
      <c r="A1122" t="s">
        <v>134</v>
      </c>
      <c r="B1122" t="s">
        <v>78</v>
      </c>
      <c r="C1122" t="s">
        <v>124</v>
      </c>
      <c r="D1122" t="s">
        <v>530</v>
      </c>
      <c r="E1122" t="s">
        <v>90</v>
      </c>
      <c r="F1122" t="s">
        <v>90</v>
      </c>
      <c r="G1122">
        <v>0</v>
      </c>
      <c r="H1122">
        <v>24</v>
      </c>
      <c r="I1122">
        <v>24</v>
      </c>
      <c r="J1122">
        <v>24</v>
      </c>
      <c r="K1122" s="6">
        <v>100</v>
      </c>
      <c r="L1122" s="6">
        <v>0</v>
      </c>
      <c r="M1122" s="6">
        <v>100</v>
      </c>
      <c r="N1122">
        <v>0</v>
      </c>
      <c r="O1122" s="6">
        <v>0</v>
      </c>
      <c r="P1122">
        <v>0</v>
      </c>
      <c r="Q1122" s="8">
        <v>295.14999999999998</v>
      </c>
      <c r="R1122" s="8">
        <v>295.14999999999998</v>
      </c>
      <c r="S1122" s="9" t="s">
        <v>601</v>
      </c>
    </row>
    <row r="1123" spans="1:19" hidden="1" x14ac:dyDescent="0.25">
      <c r="A1123" t="s">
        <v>134</v>
      </c>
      <c r="B1123" t="s">
        <v>78</v>
      </c>
      <c r="C1123" t="s">
        <v>124</v>
      </c>
      <c r="D1123" t="s">
        <v>530</v>
      </c>
      <c r="E1123" t="s">
        <v>90</v>
      </c>
      <c r="F1123" t="s">
        <v>91</v>
      </c>
      <c r="G1123">
        <v>1</v>
      </c>
      <c r="H1123">
        <v>24</v>
      </c>
      <c r="I1123">
        <v>24</v>
      </c>
      <c r="J1123">
        <v>24</v>
      </c>
      <c r="K1123" s="6">
        <v>100</v>
      </c>
      <c r="L1123" s="6">
        <v>0</v>
      </c>
      <c r="M1123" s="6">
        <v>100</v>
      </c>
      <c r="N1123">
        <v>0</v>
      </c>
      <c r="O1123" s="6">
        <v>0</v>
      </c>
      <c r="P1123">
        <v>0</v>
      </c>
      <c r="Q1123" s="8">
        <v>295.14999999999998</v>
      </c>
      <c r="R1123" s="8">
        <v>295.14999999999998</v>
      </c>
      <c r="S1123" s="10" t="s">
        <v>602</v>
      </c>
    </row>
    <row r="1124" spans="1:19" hidden="1" x14ac:dyDescent="0.25">
      <c r="A1124" t="s">
        <v>134</v>
      </c>
      <c r="B1124" t="s">
        <v>78</v>
      </c>
      <c r="C1124" t="s">
        <v>124</v>
      </c>
      <c r="D1124" t="s">
        <v>530</v>
      </c>
      <c r="E1124" t="s">
        <v>90</v>
      </c>
      <c r="F1124" t="s">
        <v>94</v>
      </c>
      <c r="G1124">
        <v>2</v>
      </c>
      <c r="H1124">
        <v>24</v>
      </c>
      <c r="I1124">
        <v>24</v>
      </c>
      <c r="J1124">
        <v>24</v>
      </c>
      <c r="K1124" s="6">
        <v>99.66</v>
      </c>
      <c r="L1124" s="6">
        <v>0</v>
      </c>
      <c r="M1124" s="6">
        <v>99.66</v>
      </c>
      <c r="N1124">
        <v>0</v>
      </c>
      <c r="O1124" s="6">
        <v>0</v>
      </c>
      <c r="P1124">
        <v>0</v>
      </c>
      <c r="Q1124" s="8">
        <v>295.14999999999998</v>
      </c>
      <c r="R1124" s="8">
        <v>294.14</v>
      </c>
      <c r="S1124" s="10" t="s">
        <v>602</v>
      </c>
    </row>
    <row r="1125" spans="1:19" hidden="1" x14ac:dyDescent="0.25">
      <c r="A1125" t="s">
        <v>134</v>
      </c>
      <c r="B1125" t="s">
        <v>78</v>
      </c>
      <c r="C1125" t="s">
        <v>124</v>
      </c>
      <c r="D1125" t="s">
        <v>530</v>
      </c>
      <c r="E1125" t="s">
        <v>90</v>
      </c>
      <c r="F1125" t="s">
        <v>96</v>
      </c>
      <c r="G1125">
        <v>6</v>
      </c>
      <c r="H1125">
        <v>24</v>
      </c>
      <c r="I1125">
        <v>24</v>
      </c>
      <c r="J1125">
        <v>24</v>
      </c>
      <c r="K1125" s="6">
        <v>99.66</v>
      </c>
      <c r="L1125" s="6">
        <v>0</v>
      </c>
      <c r="M1125" s="6">
        <v>99.66</v>
      </c>
      <c r="N1125">
        <v>0</v>
      </c>
      <c r="O1125" s="6">
        <v>0</v>
      </c>
      <c r="P1125">
        <v>0</v>
      </c>
      <c r="Q1125" s="8">
        <v>295.14999999999998</v>
      </c>
      <c r="R1125" s="8">
        <v>294.14</v>
      </c>
      <c r="S1125" s="10" t="s">
        <v>602</v>
      </c>
    </row>
    <row r="1126" spans="1:19" hidden="1" x14ac:dyDescent="0.25">
      <c r="A1126" t="s">
        <v>134</v>
      </c>
      <c r="B1126" t="s">
        <v>78</v>
      </c>
      <c r="C1126" t="s">
        <v>124</v>
      </c>
      <c r="D1126" t="s">
        <v>530</v>
      </c>
      <c r="E1126" t="s">
        <v>90</v>
      </c>
      <c r="F1126" t="s">
        <v>6</v>
      </c>
      <c r="G1126">
        <v>13</v>
      </c>
      <c r="H1126">
        <v>24</v>
      </c>
      <c r="I1126">
        <v>24</v>
      </c>
      <c r="J1126">
        <v>24</v>
      </c>
      <c r="K1126" s="6">
        <v>98.79</v>
      </c>
      <c r="L1126" s="6">
        <v>0</v>
      </c>
      <c r="M1126" s="6">
        <v>98.79</v>
      </c>
      <c r="N1126">
        <v>0</v>
      </c>
      <c r="O1126" s="6">
        <v>0</v>
      </c>
      <c r="P1126">
        <v>0</v>
      </c>
      <c r="Q1126" s="8">
        <v>295.14999999999998</v>
      </c>
      <c r="R1126" s="8">
        <v>291.58</v>
      </c>
      <c r="S1126" s="10" t="s">
        <v>602</v>
      </c>
    </row>
    <row r="1127" spans="1:19" hidden="1" x14ac:dyDescent="0.25">
      <c r="A1127" t="s">
        <v>134</v>
      </c>
      <c r="B1127" t="s">
        <v>78</v>
      </c>
      <c r="C1127" t="s">
        <v>124</v>
      </c>
      <c r="D1127" t="s">
        <v>531</v>
      </c>
      <c r="E1127" t="s">
        <v>90</v>
      </c>
      <c r="F1127" t="s">
        <v>90</v>
      </c>
      <c r="G1127">
        <v>0</v>
      </c>
      <c r="H1127">
        <v>28</v>
      </c>
      <c r="I1127">
        <v>28</v>
      </c>
      <c r="J1127">
        <v>28</v>
      </c>
      <c r="K1127" s="6">
        <v>100</v>
      </c>
      <c r="L1127" s="6">
        <v>0</v>
      </c>
      <c r="M1127" s="6">
        <v>100</v>
      </c>
      <c r="N1127">
        <v>0</v>
      </c>
      <c r="O1127" s="6">
        <v>0</v>
      </c>
      <c r="P1127">
        <v>0</v>
      </c>
      <c r="Q1127" s="8">
        <v>306.8</v>
      </c>
      <c r="R1127" s="8">
        <v>306.8</v>
      </c>
      <c r="S1127" s="9" t="s">
        <v>556</v>
      </c>
    </row>
    <row r="1128" spans="1:19" hidden="1" x14ac:dyDescent="0.25">
      <c r="A1128" t="s">
        <v>134</v>
      </c>
      <c r="B1128" t="s">
        <v>78</v>
      </c>
      <c r="C1128" t="s">
        <v>124</v>
      </c>
      <c r="D1128" t="s">
        <v>531</v>
      </c>
      <c r="E1128" t="s">
        <v>90</v>
      </c>
      <c r="F1128" t="s">
        <v>91</v>
      </c>
      <c r="G1128">
        <v>1</v>
      </c>
      <c r="H1128">
        <v>28</v>
      </c>
      <c r="I1128">
        <v>28</v>
      </c>
      <c r="J1128">
        <v>28</v>
      </c>
      <c r="K1128" s="6">
        <v>100</v>
      </c>
      <c r="L1128" s="6">
        <v>0</v>
      </c>
      <c r="M1128" s="6">
        <v>100</v>
      </c>
      <c r="N1128">
        <v>0</v>
      </c>
      <c r="O1128" s="6">
        <v>0</v>
      </c>
      <c r="P1128">
        <v>0</v>
      </c>
      <c r="Q1128" s="8">
        <v>306.8</v>
      </c>
      <c r="R1128" s="8">
        <v>306.8</v>
      </c>
      <c r="S1128" s="10" t="s">
        <v>483</v>
      </c>
    </row>
    <row r="1129" spans="1:19" hidden="1" x14ac:dyDescent="0.25">
      <c r="A1129" t="s">
        <v>134</v>
      </c>
      <c r="B1129" t="s">
        <v>78</v>
      </c>
      <c r="C1129" t="s">
        <v>124</v>
      </c>
      <c r="D1129" t="s">
        <v>531</v>
      </c>
      <c r="E1129" t="s">
        <v>90</v>
      </c>
      <c r="F1129" t="s">
        <v>94</v>
      </c>
      <c r="G1129">
        <v>2</v>
      </c>
      <c r="H1129">
        <v>28</v>
      </c>
      <c r="I1129">
        <v>28</v>
      </c>
      <c r="J1129">
        <v>28</v>
      </c>
      <c r="K1129" s="6">
        <v>99.35</v>
      </c>
      <c r="L1129" s="6">
        <v>0</v>
      </c>
      <c r="M1129" s="6">
        <v>99.35</v>
      </c>
      <c r="N1129">
        <v>0</v>
      </c>
      <c r="O1129" s="6">
        <v>0</v>
      </c>
      <c r="P1129">
        <v>0</v>
      </c>
      <c r="Q1129" s="8">
        <v>306.8</v>
      </c>
      <c r="R1129" s="8">
        <v>304.81</v>
      </c>
      <c r="S1129" s="10" t="s">
        <v>483</v>
      </c>
    </row>
    <row r="1130" spans="1:19" hidden="1" x14ac:dyDescent="0.25">
      <c r="A1130" t="s">
        <v>134</v>
      </c>
      <c r="B1130" t="s">
        <v>78</v>
      </c>
      <c r="C1130" t="s">
        <v>124</v>
      </c>
      <c r="D1130" t="s">
        <v>531</v>
      </c>
      <c r="E1130" t="s">
        <v>90</v>
      </c>
      <c r="F1130" t="s">
        <v>96</v>
      </c>
      <c r="G1130">
        <v>6</v>
      </c>
      <c r="H1130">
        <v>28</v>
      </c>
      <c r="I1130">
        <v>28</v>
      </c>
      <c r="J1130">
        <v>28</v>
      </c>
      <c r="K1130" s="6">
        <v>99.35</v>
      </c>
      <c r="L1130" s="6">
        <v>0</v>
      </c>
      <c r="M1130" s="6">
        <v>99.35</v>
      </c>
      <c r="N1130">
        <v>0</v>
      </c>
      <c r="O1130" s="6">
        <v>0</v>
      </c>
      <c r="P1130">
        <v>0</v>
      </c>
      <c r="Q1130" s="8">
        <v>306.8</v>
      </c>
      <c r="R1130" s="8">
        <v>304.81</v>
      </c>
      <c r="S1130" s="10" t="s">
        <v>483</v>
      </c>
    </row>
    <row r="1131" spans="1:19" hidden="1" x14ac:dyDescent="0.25">
      <c r="A1131" t="s">
        <v>134</v>
      </c>
      <c r="B1131" t="s">
        <v>78</v>
      </c>
      <c r="C1131" t="s">
        <v>124</v>
      </c>
      <c r="D1131" t="s">
        <v>531</v>
      </c>
      <c r="E1131" t="s">
        <v>90</v>
      </c>
      <c r="F1131" t="s">
        <v>6</v>
      </c>
      <c r="G1131">
        <v>13</v>
      </c>
      <c r="H1131">
        <v>28</v>
      </c>
      <c r="I1131">
        <v>28</v>
      </c>
      <c r="J1131">
        <v>28</v>
      </c>
      <c r="K1131" s="6">
        <v>98.89</v>
      </c>
      <c r="L1131" s="6">
        <v>-1.48</v>
      </c>
      <c r="M1131" s="6">
        <v>98.89</v>
      </c>
      <c r="N1131">
        <v>0</v>
      </c>
      <c r="O1131" s="6">
        <v>0</v>
      </c>
      <c r="P1131">
        <v>0</v>
      </c>
      <c r="Q1131" s="8">
        <v>306.8</v>
      </c>
      <c r="R1131" s="8">
        <v>303.38</v>
      </c>
      <c r="S1131" s="10" t="s">
        <v>483</v>
      </c>
    </row>
    <row r="1132" spans="1:19" hidden="1" x14ac:dyDescent="0.25">
      <c r="A1132" t="s">
        <v>134</v>
      </c>
      <c r="B1132" t="s">
        <v>78</v>
      </c>
      <c r="C1132" t="s">
        <v>124</v>
      </c>
      <c r="D1132" t="s">
        <v>532</v>
      </c>
      <c r="E1132" t="s">
        <v>90</v>
      </c>
      <c r="F1132" t="s">
        <v>90</v>
      </c>
      <c r="G1132">
        <v>0</v>
      </c>
      <c r="H1132">
        <v>24</v>
      </c>
      <c r="I1132">
        <v>24</v>
      </c>
      <c r="J1132">
        <v>24</v>
      </c>
      <c r="K1132" s="6">
        <v>100</v>
      </c>
      <c r="L1132" s="6">
        <v>0</v>
      </c>
      <c r="M1132" s="6">
        <v>100</v>
      </c>
      <c r="N1132">
        <v>0</v>
      </c>
      <c r="O1132" s="6">
        <v>0</v>
      </c>
      <c r="P1132">
        <v>0</v>
      </c>
      <c r="Q1132" s="8">
        <v>287.41000000000003</v>
      </c>
      <c r="R1132" s="8">
        <v>287.41000000000003</v>
      </c>
      <c r="S1132" s="9" t="s">
        <v>601</v>
      </c>
    </row>
    <row r="1133" spans="1:19" hidden="1" x14ac:dyDescent="0.25">
      <c r="A1133" t="s">
        <v>134</v>
      </c>
      <c r="B1133" t="s">
        <v>78</v>
      </c>
      <c r="C1133" t="s">
        <v>124</v>
      </c>
      <c r="D1133" t="s">
        <v>532</v>
      </c>
      <c r="E1133" t="s">
        <v>90</v>
      </c>
      <c r="F1133" t="s">
        <v>91</v>
      </c>
      <c r="G1133">
        <v>1</v>
      </c>
      <c r="H1133">
        <v>24</v>
      </c>
      <c r="I1133">
        <v>24</v>
      </c>
      <c r="J1133">
        <v>24</v>
      </c>
      <c r="K1133" s="6">
        <v>100</v>
      </c>
      <c r="L1133" s="6">
        <v>0</v>
      </c>
      <c r="M1133" s="6">
        <v>100</v>
      </c>
      <c r="N1133">
        <v>0</v>
      </c>
      <c r="O1133" s="6">
        <v>0</v>
      </c>
      <c r="P1133">
        <v>0</v>
      </c>
      <c r="Q1133" s="8">
        <v>287.41000000000003</v>
      </c>
      <c r="R1133" s="8">
        <v>287.41000000000003</v>
      </c>
      <c r="S1133" s="10" t="s">
        <v>602</v>
      </c>
    </row>
    <row r="1134" spans="1:19" hidden="1" x14ac:dyDescent="0.25">
      <c r="A1134" t="s">
        <v>134</v>
      </c>
      <c r="B1134" t="s">
        <v>78</v>
      </c>
      <c r="C1134" t="s">
        <v>124</v>
      </c>
      <c r="D1134" t="s">
        <v>532</v>
      </c>
      <c r="E1134" t="s">
        <v>90</v>
      </c>
      <c r="F1134" t="s">
        <v>94</v>
      </c>
      <c r="G1134">
        <v>2</v>
      </c>
      <c r="H1134">
        <v>24</v>
      </c>
      <c r="I1134">
        <v>24</v>
      </c>
      <c r="J1134">
        <v>24</v>
      </c>
      <c r="K1134" s="6">
        <v>99.65</v>
      </c>
      <c r="L1134" s="6">
        <v>0</v>
      </c>
      <c r="M1134" s="6">
        <v>99.65</v>
      </c>
      <c r="N1134">
        <v>0</v>
      </c>
      <c r="O1134" s="6">
        <v>0</v>
      </c>
      <c r="P1134">
        <v>0</v>
      </c>
      <c r="Q1134" s="8">
        <v>287.41000000000003</v>
      </c>
      <c r="R1134" s="8">
        <v>286.39999999999998</v>
      </c>
      <c r="S1134" s="10" t="s">
        <v>602</v>
      </c>
    </row>
    <row r="1135" spans="1:19" hidden="1" x14ac:dyDescent="0.25">
      <c r="A1135" t="s">
        <v>134</v>
      </c>
      <c r="B1135" t="s">
        <v>78</v>
      </c>
      <c r="C1135" t="s">
        <v>124</v>
      </c>
      <c r="D1135" t="s">
        <v>532</v>
      </c>
      <c r="E1135" t="s">
        <v>90</v>
      </c>
      <c r="F1135" t="s">
        <v>96</v>
      </c>
      <c r="G1135">
        <v>6</v>
      </c>
      <c r="H1135">
        <v>24</v>
      </c>
      <c r="I1135">
        <v>24</v>
      </c>
      <c r="J1135">
        <v>24</v>
      </c>
      <c r="K1135" s="6">
        <v>99.44</v>
      </c>
      <c r="L1135" s="6">
        <v>0</v>
      </c>
      <c r="M1135" s="6">
        <v>99.44</v>
      </c>
      <c r="N1135">
        <v>0</v>
      </c>
      <c r="O1135" s="6">
        <v>0</v>
      </c>
      <c r="P1135">
        <v>0</v>
      </c>
      <c r="Q1135" s="8">
        <v>287.41000000000003</v>
      </c>
      <c r="R1135" s="8">
        <v>285.8</v>
      </c>
      <c r="S1135" s="10" t="s">
        <v>602</v>
      </c>
    </row>
    <row r="1136" spans="1:19" hidden="1" x14ac:dyDescent="0.25">
      <c r="A1136" t="s">
        <v>134</v>
      </c>
      <c r="B1136" t="s">
        <v>78</v>
      </c>
      <c r="C1136" t="s">
        <v>124</v>
      </c>
      <c r="D1136" t="s">
        <v>532</v>
      </c>
      <c r="E1136" t="s">
        <v>90</v>
      </c>
      <c r="F1136" t="s">
        <v>6</v>
      </c>
      <c r="G1136">
        <v>13</v>
      </c>
      <c r="H1136">
        <v>24</v>
      </c>
      <c r="I1136">
        <v>24</v>
      </c>
      <c r="J1136">
        <v>24</v>
      </c>
      <c r="K1136" s="6">
        <v>99.13</v>
      </c>
      <c r="L1136" s="6">
        <v>-0.76</v>
      </c>
      <c r="M1136" s="6">
        <v>99.13</v>
      </c>
      <c r="N1136">
        <v>0</v>
      </c>
      <c r="O1136" s="6">
        <v>0</v>
      </c>
      <c r="P1136">
        <v>0</v>
      </c>
      <c r="Q1136" s="8">
        <v>287.41000000000003</v>
      </c>
      <c r="R1136" s="8">
        <v>284.91000000000003</v>
      </c>
      <c r="S1136" s="10" t="s">
        <v>602</v>
      </c>
    </row>
    <row r="1137" spans="1:19" hidden="1" x14ac:dyDescent="0.25">
      <c r="A1137" t="s">
        <v>134</v>
      </c>
      <c r="B1137" t="s">
        <v>78</v>
      </c>
      <c r="C1137" t="s">
        <v>124</v>
      </c>
      <c r="D1137" t="s">
        <v>533</v>
      </c>
      <c r="E1137" t="s">
        <v>94</v>
      </c>
      <c r="F1137" t="s">
        <v>94</v>
      </c>
      <c r="G1137">
        <v>0</v>
      </c>
      <c r="H1137">
        <v>14</v>
      </c>
      <c r="I1137">
        <v>14</v>
      </c>
      <c r="J1137">
        <v>14</v>
      </c>
      <c r="K1137" s="6">
        <v>100</v>
      </c>
      <c r="L1137" s="6">
        <v>0</v>
      </c>
      <c r="M1137" s="6">
        <v>100</v>
      </c>
      <c r="N1137">
        <v>0</v>
      </c>
      <c r="O1137" s="6">
        <v>0</v>
      </c>
      <c r="P1137">
        <v>0</v>
      </c>
      <c r="Q1137" s="8">
        <v>286.37</v>
      </c>
      <c r="R1137" s="8">
        <v>286.37</v>
      </c>
      <c r="S1137" s="9" t="s">
        <v>617</v>
      </c>
    </row>
    <row r="1138" spans="1:19" hidden="1" x14ac:dyDescent="0.25">
      <c r="A1138" t="s">
        <v>134</v>
      </c>
      <c r="B1138" t="s">
        <v>78</v>
      </c>
      <c r="C1138" t="s">
        <v>124</v>
      </c>
      <c r="D1138" t="s">
        <v>533</v>
      </c>
      <c r="E1138" t="s">
        <v>94</v>
      </c>
      <c r="F1138" t="s">
        <v>96</v>
      </c>
      <c r="G1138">
        <v>4</v>
      </c>
      <c r="H1138">
        <v>14</v>
      </c>
      <c r="I1138">
        <v>14</v>
      </c>
      <c r="J1138">
        <v>14</v>
      </c>
      <c r="K1138" s="6">
        <v>100</v>
      </c>
      <c r="L1138" s="6">
        <v>0</v>
      </c>
      <c r="M1138" s="6">
        <v>100</v>
      </c>
      <c r="N1138">
        <v>0</v>
      </c>
      <c r="O1138" s="6">
        <v>0</v>
      </c>
      <c r="P1138">
        <v>0</v>
      </c>
      <c r="Q1138" s="8">
        <v>286.37</v>
      </c>
      <c r="R1138" s="8">
        <v>286.37</v>
      </c>
      <c r="S1138" s="10" t="s">
        <v>607</v>
      </c>
    </row>
    <row r="1139" spans="1:19" hidden="1" x14ac:dyDescent="0.25">
      <c r="A1139" t="s">
        <v>134</v>
      </c>
      <c r="B1139" t="s">
        <v>78</v>
      </c>
      <c r="C1139" t="s">
        <v>124</v>
      </c>
      <c r="D1139" t="s">
        <v>533</v>
      </c>
      <c r="E1139" t="s">
        <v>94</v>
      </c>
      <c r="F1139" t="s">
        <v>6</v>
      </c>
      <c r="G1139">
        <v>11</v>
      </c>
      <c r="H1139">
        <v>14</v>
      </c>
      <c r="I1139">
        <v>14</v>
      </c>
      <c r="J1139">
        <v>14</v>
      </c>
      <c r="K1139" s="6">
        <v>98.4</v>
      </c>
      <c r="L1139" s="6">
        <v>-1.73</v>
      </c>
      <c r="M1139" s="6">
        <v>98.4</v>
      </c>
      <c r="N1139">
        <v>0</v>
      </c>
      <c r="O1139" s="6">
        <v>0</v>
      </c>
      <c r="P1139">
        <v>0</v>
      </c>
      <c r="Q1139" s="8">
        <v>286.37</v>
      </c>
      <c r="R1139" s="8">
        <v>281.8</v>
      </c>
      <c r="S1139" s="10" t="s">
        <v>607</v>
      </c>
    </row>
    <row r="1140" spans="1:19" hidden="1" x14ac:dyDescent="0.25">
      <c r="A1140" t="s">
        <v>134</v>
      </c>
      <c r="B1140" t="s">
        <v>78</v>
      </c>
      <c r="C1140" t="s">
        <v>124</v>
      </c>
      <c r="D1140" t="s">
        <v>545</v>
      </c>
      <c r="E1140" t="s">
        <v>94</v>
      </c>
      <c r="F1140" t="s">
        <v>94</v>
      </c>
      <c r="G1140">
        <v>0</v>
      </c>
      <c r="H1140">
        <v>6</v>
      </c>
      <c r="I1140">
        <v>6</v>
      </c>
      <c r="J1140">
        <v>6</v>
      </c>
      <c r="K1140" s="6">
        <v>100</v>
      </c>
      <c r="L1140" s="6">
        <v>0</v>
      </c>
      <c r="M1140" s="6">
        <v>100</v>
      </c>
      <c r="N1140">
        <v>0</v>
      </c>
      <c r="O1140" s="6">
        <v>0</v>
      </c>
      <c r="P1140">
        <v>0</v>
      </c>
      <c r="Q1140" s="8">
        <v>264.95999999999998</v>
      </c>
      <c r="R1140" s="8">
        <v>264.95999999999998</v>
      </c>
      <c r="S1140" s="9" t="s">
        <v>534</v>
      </c>
    </row>
    <row r="1141" spans="1:19" hidden="1" x14ac:dyDescent="0.25">
      <c r="A1141" t="s">
        <v>134</v>
      </c>
      <c r="B1141" t="s">
        <v>78</v>
      </c>
      <c r="C1141" t="s">
        <v>124</v>
      </c>
      <c r="D1141" t="s">
        <v>545</v>
      </c>
      <c r="E1141" t="s">
        <v>94</v>
      </c>
      <c r="F1141" t="s">
        <v>96</v>
      </c>
      <c r="G1141">
        <v>4</v>
      </c>
      <c r="H1141">
        <v>6</v>
      </c>
      <c r="I1141">
        <v>6</v>
      </c>
      <c r="J1141">
        <v>6</v>
      </c>
      <c r="K1141" s="6">
        <v>100</v>
      </c>
      <c r="L1141" s="6">
        <v>0</v>
      </c>
      <c r="M1141" s="6">
        <v>100</v>
      </c>
      <c r="N1141">
        <v>0</v>
      </c>
      <c r="O1141" s="6">
        <v>0</v>
      </c>
      <c r="P1141">
        <v>0</v>
      </c>
      <c r="Q1141" s="8">
        <v>264.95999999999998</v>
      </c>
      <c r="R1141" s="8">
        <v>264.95999999999998</v>
      </c>
      <c r="S1141" s="9" t="s">
        <v>535</v>
      </c>
    </row>
    <row r="1142" spans="1:19" hidden="1" x14ac:dyDescent="0.25">
      <c r="A1142" t="s">
        <v>134</v>
      </c>
      <c r="B1142" t="s">
        <v>78</v>
      </c>
      <c r="C1142" t="s">
        <v>124</v>
      </c>
      <c r="D1142" t="s">
        <v>545</v>
      </c>
      <c r="E1142" t="s">
        <v>94</v>
      </c>
      <c r="F1142" t="s">
        <v>6</v>
      </c>
      <c r="G1142">
        <v>11</v>
      </c>
      <c r="H1142">
        <v>6</v>
      </c>
      <c r="I1142">
        <v>6</v>
      </c>
      <c r="J1142">
        <v>6</v>
      </c>
      <c r="K1142" s="6">
        <v>100</v>
      </c>
      <c r="L1142" s="6">
        <v>0</v>
      </c>
      <c r="M1142" s="6">
        <v>100</v>
      </c>
      <c r="N1142">
        <v>0</v>
      </c>
      <c r="O1142" s="6">
        <v>0</v>
      </c>
      <c r="P1142">
        <v>0</v>
      </c>
      <c r="Q1142" s="8">
        <v>264.95999999999998</v>
      </c>
      <c r="R1142" s="8">
        <v>264.95999999999998</v>
      </c>
      <c r="S1142" s="9" t="s">
        <v>535</v>
      </c>
    </row>
    <row r="1143" spans="1:19" hidden="1" x14ac:dyDescent="0.25">
      <c r="A1143" t="s">
        <v>134</v>
      </c>
      <c r="B1143" t="s">
        <v>78</v>
      </c>
      <c r="C1143" t="s">
        <v>124</v>
      </c>
      <c r="D1143" t="s">
        <v>570</v>
      </c>
      <c r="E1143" t="s">
        <v>94</v>
      </c>
      <c r="F1143" t="s">
        <v>94</v>
      </c>
      <c r="G1143">
        <v>0</v>
      </c>
      <c r="H1143">
        <v>6</v>
      </c>
      <c r="I1143">
        <v>6</v>
      </c>
      <c r="J1143">
        <v>6</v>
      </c>
      <c r="K1143" s="6">
        <v>100</v>
      </c>
      <c r="L1143" s="6">
        <v>0</v>
      </c>
      <c r="M1143" s="6">
        <v>100</v>
      </c>
      <c r="N1143">
        <v>0</v>
      </c>
      <c r="O1143" s="6">
        <v>0</v>
      </c>
      <c r="P1143">
        <v>0</v>
      </c>
      <c r="Q1143" s="8">
        <v>211.76</v>
      </c>
      <c r="R1143" s="8">
        <v>211.76</v>
      </c>
      <c r="S1143" s="9" t="s">
        <v>534</v>
      </c>
    </row>
    <row r="1144" spans="1:19" hidden="1" x14ac:dyDescent="0.25">
      <c r="A1144" t="s">
        <v>134</v>
      </c>
      <c r="B1144" t="s">
        <v>78</v>
      </c>
      <c r="C1144" t="s">
        <v>124</v>
      </c>
      <c r="D1144" t="s">
        <v>570</v>
      </c>
      <c r="E1144" t="s">
        <v>94</v>
      </c>
      <c r="F1144" t="s">
        <v>96</v>
      </c>
      <c r="G1144">
        <v>4</v>
      </c>
      <c r="H1144">
        <v>6</v>
      </c>
      <c r="I1144">
        <v>6</v>
      </c>
      <c r="J1144">
        <v>6</v>
      </c>
      <c r="K1144" s="6">
        <v>100</v>
      </c>
      <c r="L1144" s="6">
        <v>0</v>
      </c>
      <c r="M1144" s="6">
        <v>100</v>
      </c>
      <c r="N1144">
        <v>0</v>
      </c>
      <c r="O1144" s="6">
        <v>0</v>
      </c>
      <c r="P1144">
        <v>0</v>
      </c>
      <c r="Q1144" s="8">
        <v>211.76</v>
      </c>
      <c r="R1144" s="8">
        <v>211.76</v>
      </c>
      <c r="S1144" s="9" t="s">
        <v>535</v>
      </c>
    </row>
    <row r="1145" spans="1:19" hidden="1" x14ac:dyDescent="0.25">
      <c r="A1145" t="s">
        <v>134</v>
      </c>
      <c r="B1145" t="s">
        <v>78</v>
      </c>
      <c r="C1145" t="s">
        <v>124</v>
      </c>
      <c r="D1145" t="s">
        <v>570</v>
      </c>
      <c r="E1145" t="s">
        <v>94</v>
      </c>
      <c r="F1145" t="s">
        <v>6</v>
      </c>
      <c r="G1145">
        <v>11</v>
      </c>
      <c r="H1145">
        <v>6</v>
      </c>
      <c r="I1145">
        <v>6</v>
      </c>
      <c r="J1145">
        <v>6</v>
      </c>
      <c r="K1145" s="6">
        <v>100</v>
      </c>
      <c r="L1145" s="6">
        <v>0</v>
      </c>
      <c r="M1145" s="6">
        <v>100</v>
      </c>
      <c r="N1145">
        <v>0</v>
      </c>
      <c r="O1145" s="6">
        <v>0</v>
      </c>
      <c r="P1145">
        <v>0</v>
      </c>
      <c r="Q1145" s="8">
        <v>211.76</v>
      </c>
      <c r="R1145" s="8">
        <v>211.76</v>
      </c>
      <c r="S1145" s="9" t="s">
        <v>535</v>
      </c>
    </row>
    <row r="1146" spans="1:19" hidden="1" x14ac:dyDescent="0.25">
      <c r="A1146" t="s">
        <v>134</v>
      </c>
      <c r="B1146" t="s">
        <v>78</v>
      </c>
      <c r="C1146" t="s">
        <v>124</v>
      </c>
      <c r="D1146" t="s">
        <v>572</v>
      </c>
      <c r="E1146" t="s">
        <v>94</v>
      </c>
      <c r="F1146" t="s">
        <v>94</v>
      </c>
      <c r="G1146">
        <v>0</v>
      </c>
      <c r="H1146">
        <v>2</v>
      </c>
      <c r="I1146">
        <v>2</v>
      </c>
      <c r="J1146">
        <v>2</v>
      </c>
      <c r="K1146" s="6">
        <v>100</v>
      </c>
      <c r="L1146" s="6">
        <v>0</v>
      </c>
      <c r="M1146" s="6">
        <v>100</v>
      </c>
      <c r="N1146">
        <v>0</v>
      </c>
      <c r="O1146" s="6">
        <v>0</v>
      </c>
      <c r="P1146">
        <v>0</v>
      </c>
      <c r="Q1146" s="8">
        <v>218.8</v>
      </c>
      <c r="R1146" s="8">
        <v>218.8</v>
      </c>
      <c r="S1146" s="9" t="s">
        <v>536</v>
      </c>
    </row>
    <row r="1147" spans="1:19" hidden="1" x14ac:dyDescent="0.25">
      <c r="A1147" t="s">
        <v>134</v>
      </c>
      <c r="B1147" t="s">
        <v>78</v>
      </c>
      <c r="C1147" t="s">
        <v>124</v>
      </c>
      <c r="D1147" t="s">
        <v>572</v>
      </c>
      <c r="E1147" t="s">
        <v>94</v>
      </c>
      <c r="F1147" t="s">
        <v>96</v>
      </c>
      <c r="G1147">
        <v>4</v>
      </c>
      <c r="H1147">
        <v>2</v>
      </c>
      <c r="I1147">
        <v>2</v>
      </c>
      <c r="J1147">
        <v>2</v>
      </c>
      <c r="K1147" s="6">
        <v>100</v>
      </c>
      <c r="L1147" s="6">
        <v>0</v>
      </c>
      <c r="M1147" s="6">
        <v>100</v>
      </c>
      <c r="N1147">
        <v>0</v>
      </c>
      <c r="O1147" s="6">
        <v>0</v>
      </c>
      <c r="P1147">
        <v>0</v>
      </c>
      <c r="Q1147" s="8">
        <v>218.8</v>
      </c>
      <c r="R1147" s="8">
        <v>218.8</v>
      </c>
      <c r="S1147" s="9" t="s">
        <v>537</v>
      </c>
    </row>
    <row r="1148" spans="1:19" hidden="1" x14ac:dyDescent="0.25">
      <c r="A1148" t="s">
        <v>134</v>
      </c>
      <c r="B1148" t="s">
        <v>78</v>
      </c>
      <c r="C1148" t="s">
        <v>124</v>
      </c>
      <c r="D1148" t="s">
        <v>572</v>
      </c>
      <c r="E1148" t="s">
        <v>94</v>
      </c>
      <c r="F1148" t="s">
        <v>6</v>
      </c>
      <c r="G1148">
        <v>11</v>
      </c>
      <c r="H1148">
        <v>2</v>
      </c>
      <c r="I1148">
        <v>2</v>
      </c>
      <c r="J1148">
        <v>2</v>
      </c>
      <c r="K1148" s="6">
        <v>101.37</v>
      </c>
      <c r="L1148" s="6">
        <v>1.33</v>
      </c>
      <c r="M1148" s="6">
        <v>101.37</v>
      </c>
      <c r="N1148">
        <v>0</v>
      </c>
      <c r="O1148" s="6">
        <v>0</v>
      </c>
      <c r="P1148">
        <v>0</v>
      </c>
      <c r="Q1148" s="8">
        <v>218.8</v>
      </c>
      <c r="R1148" s="8">
        <v>221.8</v>
      </c>
      <c r="S1148" s="9" t="s">
        <v>537</v>
      </c>
    </row>
    <row r="1149" spans="1:19" hidden="1" x14ac:dyDescent="0.25">
      <c r="A1149" t="s">
        <v>134</v>
      </c>
      <c r="B1149" t="s">
        <v>78</v>
      </c>
      <c r="C1149" t="s">
        <v>124</v>
      </c>
      <c r="D1149" t="s">
        <v>578</v>
      </c>
      <c r="E1149" t="s">
        <v>94</v>
      </c>
      <c r="F1149" t="s">
        <v>94</v>
      </c>
      <c r="G1149">
        <v>0</v>
      </c>
      <c r="H1149">
        <v>2</v>
      </c>
      <c r="I1149">
        <v>2</v>
      </c>
      <c r="J1149">
        <v>2</v>
      </c>
      <c r="K1149" s="6">
        <v>100</v>
      </c>
      <c r="L1149" s="6">
        <v>0</v>
      </c>
      <c r="M1149" s="6">
        <v>100</v>
      </c>
      <c r="N1149">
        <v>0</v>
      </c>
      <c r="O1149" s="6">
        <v>0</v>
      </c>
      <c r="P1149">
        <v>0</v>
      </c>
      <c r="Q1149" s="8">
        <v>192</v>
      </c>
      <c r="R1149" s="8">
        <v>192</v>
      </c>
      <c r="S1149" s="9" t="s">
        <v>536</v>
      </c>
    </row>
    <row r="1150" spans="1:19" hidden="1" x14ac:dyDescent="0.25">
      <c r="A1150" t="s">
        <v>134</v>
      </c>
      <c r="B1150" t="s">
        <v>78</v>
      </c>
      <c r="C1150" t="s">
        <v>124</v>
      </c>
      <c r="D1150" t="s">
        <v>578</v>
      </c>
      <c r="E1150" t="s">
        <v>94</v>
      </c>
      <c r="F1150" t="s">
        <v>96</v>
      </c>
      <c r="G1150">
        <v>4</v>
      </c>
      <c r="H1150">
        <v>2</v>
      </c>
      <c r="I1150">
        <v>2</v>
      </c>
      <c r="J1150">
        <v>2</v>
      </c>
      <c r="K1150" s="6">
        <v>100</v>
      </c>
      <c r="L1150" s="6">
        <v>0</v>
      </c>
      <c r="M1150" s="6">
        <v>100</v>
      </c>
      <c r="N1150">
        <v>0</v>
      </c>
      <c r="O1150" s="6">
        <v>0</v>
      </c>
      <c r="P1150">
        <v>0</v>
      </c>
      <c r="Q1150" s="8">
        <v>192</v>
      </c>
      <c r="R1150" s="8">
        <v>192</v>
      </c>
      <c r="S1150" s="9" t="s">
        <v>537</v>
      </c>
    </row>
    <row r="1151" spans="1:19" hidden="1" x14ac:dyDescent="0.25">
      <c r="A1151" t="s">
        <v>134</v>
      </c>
      <c r="B1151" t="s">
        <v>78</v>
      </c>
      <c r="C1151" t="s">
        <v>124</v>
      </c>
      <c r="D1151" t="s">
        <v>578</v>
      </c>
      <c r="E1151" t="s">
        <v>94</v>
      </c>
      <c r="F1151" t="s">
        <v>6</v>
      </c>
      <c r="G1151">
        <v>11</v>
      </c>
      <c r="H1151">
        <v>2</v>
      </c>
      <c r="I1151">
        <v>2</v>
      </c>
      <c r="J1151">
        <v>2</v>
      </c>
      <c r="K1151" s="6">
        <v>100</v>
      </c>
      <c r="L1151" s="6">
        <v>0</v>
      </c>
      <c r="M1151" s="6">
        <v>100</v>
      </c>
      <c r="N1151">
        <v>0</v>
      </c>
      <c r="O1151" s="6">
        <v>0</v>
      </c>
      <c r="P1151">
        <v>0</v>
      </c>
      <c r="Q1151" s="8">
        <v>192</v>
      </c>
      <c r="R1151" s="8">
        <v>192</v>
      </c>
      <c r="S1151" s="9" t="s">
        <v>537</v>
      </c>
    </row>
    <row r="1152" spans="1:19" hidden="1" x14ac:dyDescent="0.25">
      <c r="A1152" t="s">
        <v>134</v>
      </c>
      <c r="B1152" t="s">
        <v>78</v>
      </c>
      <c r="C1152" t="s">
        <v>124</v>
      </c>
      <c r="D1152" t="s">
        <v>580</v>
      </c>
      <c r="E1152" t="s">
        <v>94</v>
      </c>
      <c r="F1152" t="s">
        <v>94</v>
      </c>
      <c r="G1152">
        <v>0</v>
      </c>
      <c r="H1152">
        <v>22</v>
      </c>
      <c r="I1152">
        <v>22</v>
      </c>
      <c r="J1152">
        <v>22</v>
      </c>
      <c r="K1152" s="6">
        <v>100</v>
      </c>
      <c r="L1152" s="6">
        <v>0</v>
      </c>
      <c r="M1152" s="6">
        <v>100</v>
      </c>
      <c r="N1152">
        <v>0</v>
      </c>
      <c r="O1152" s="6">
        <v>0</v>
      </c>
      <c r="P1152">
        <v>0</v>
      </c>
      <c r="Q1152" s="8">
        <v>235.23</v>
      </c>
      <c r="R1152" s="8">
        <v>235.23</v>
      </c>
      <c r="S1152" s="9" t="s">
        <v>614</v>
      </c>
    </row>
    <row r="1153" spans="1:19" hidden="1" x14ac:dyDescent="0.25">
      <c r="A1153" t="s">
        <v>134</v>
      </c>
      <c r="B1153" t="s">
        <v>78</v>
      </c>
      <c r="C1153" t="s">
        <v>124</v>
      </c>
      <c r="D1153" t="s">
        <v>580</v>
      </c>
      <c r="E1153" t="s">
        <v>94</v>
      </c>
      <c r="F1153" t="s">
        <v>96</v>
      </c>
      <c r="G1153">
        <v>4</v>
      </c>
      <c r="H1153">
        <v>22</v>
      </c>
      <c r="I1153">
        <v>22</v>
      </c>
      <c r="J1153">
        <v>22</v>
      </c>
      <c r="K1153" s="6">
        <v>100</v>
      </c>
      <c r="L1153" s="6">
        <v>0</v>
      </c>
      <c r="M1153" s="6">
        <v>100</v>
      </c>
      <c r="N1153">
        <v>0</v>
      </c>
      <c r="O1153" s="6">
        <v>0</v>
      </c>
      <c r="P1153">
        <v>0</v>
      </c>
      <c r="Q1153" s="8">
        <v>235.23</v>
      </c>
      <c r="R1153" s="8">
        <v>235.23</v>
      </c>
      <c r="S1153" s="10" t="s">
        <v>485</v>
      </c>
    </row>
    <row r="1154" spans="1:19" hidden="1" x14ac:dyDescent="0.25">
      <c r="A1154" t="s">
        <v>134</v>
      </c>
      <c r="B1154" t="s">
        <v>78</v>
      </c>
      <c r="C1154" t="s">
        <v>124</v>
      </c>
      <c r="D1154" t="s">
        <v>580</v>
      </c>
      <c r="E1154" t="s">
        <v>94</v>
      </c>
      <c r="F1154" t="s">
        <v>6</v>
      </c>
      <c r="G1154">
        <v>11</v>
      </c>
      <c r="H1154">
        <v>22</v>
      </c>
      <c r="I1154">
        <v>22</v>
      </c>
      <c r="J1154">
        <v>22</v>
      </c>
      <c r="K1154" s="6">
        <v>102.76</v>
      </c>
      <c r="L1154" s="6">
        <v>3.3</v>
      </c>
      <c r="M1154" s="6">
        <v>102.76</v>
      </c>
      <c r="N1154">
        <v>0</v>
      </c>
      <c r="O1154" s="6">
        <v>0</v>
      </c>
      <c r="P1154">
        <v>0</v>
      </c>
      <c r="Q1154" s="8">
        <v>235.23</v>
      </c>
      <c r="R1154" s="8">
        <v>241.72</v>
      </c>
      <c r="S1154" s="10" t="s">
        <v>485</v>
      </c>
    </row>
    <row r="1155" spans="1:19" hidden="1" x14ac:dyDescent="0.25">
      <c r="A1155" t="s">
        <v>134</v>
      </c>
      <c r="B1155" t="s">
        <v>78</v>
      </c>
      <c r="C1155" t="s">
        <v>124</v>
      </c>
      <c r="D1155" t="s">
        <v>582</v>
      </c>
      <c r="E1155" t="s">
        <v>94</v>
      </c>
      <c r="F1155" t="s">
        <v>94</v>
      </c>
      <c r="G1155">
        <v>0</v>
      </c>
      <c r="H1155">
        <v>24</v>
      </c>
      <c r="I1155">
        <v>24</v>
      </c>
      <c r="J1155">
        <v>24</v>
      </c>
      <c r="K1155" s="6">
        <v>100</v>
      </c>
      <c r="L1155" s="6">
        <v>0</v>
      </c>
      <c r="M1155" s="6">
        <v>100</v>
      </c>
      <c r="N1155">
        <v>0</v>
      </c>
      <c r="O1155" s="6">
        <v>0</v>
      </c>
      <c r="P1155">
        <v>0</v>
      </c>
      <c r="Q1155" s="8">
        <v>256.39999999999998</v>
      </c>
      <c r="R1155" s="8">
        <v>256.39999999999998</v>
      </c>
      <c r="S1155" s="9" t="s">
        <v>601</v>
      </c>
    </row>
    <row r="1156" spans="1:19" hidden="1" x14ac:dyDescent="0.25">
      <c r="A1156" t="s">
        <v>134</v>
      </c>
      <c r="B1156" t="s">
        <v>78</v>
      </c>
      <c r="C1156" t="s">
        <v>124</v>
      </c>
      <c r="D1156" t="s">
        <v>582</v>
      </c>
      <c r="E1156" t="s">
        <v>94</v>
      </c>
      <c r="F1156" t="s">
        <v>96</v>
      </c>
      <c r="G1156">
        <v>4</v>
      </c>
      <c r="H1156">
        <v>24</v>
      </c>
      <c r="I1156">
        <v>24</v>
      </c>
      <c r="J1156">
        <v>24</v>
      </c>
      <c r="K1156" s="6">
        <v>100</v>
      </c>
      <c r="L1156" s="6">
        <v>0</v>
      </c>
      <c r="M1156" s="6">
        <v>100</v>
      </c>
      <c r="N1156">
        <v>0</v>
      </c>
      <c r="O1156" s="6">
        <v>0</v>
      </c>
      <c r="P1156">
        <v>0</v>
      </c>
      <c r="Q1156" s="8">
        <v>256.39999999999998</v>
      </c>
      <c r="R1156" s="8">
        <v>256.39999999999998</v>
      </c>
      <c r="S1156" s="10" t="s">
        <v>602</v>
      </c>
    </row>
    <row r="1157" spans="1:19" hidden="1" x14ac:dyDescent="0.25">
      <c r="A1157" t="s">
        <v>134</v>
      </c>
      <c r="B1157" t="s">
        <v>78</v>
      </c>
      <c r="C1157" t="s">
        <v>124</v>
      </c>
      <c r="D1157" t="s">
        <v>582</v>
      </c>
      <c r="E1157" t="s">
        <v>94</v>
      </c>
      <c r="F1157" t="s">
        <v>6</v>
      </c>
      <c r="G1157">
        <v>11</v>
      </c>
      <c r="H1157">
        <v>24</v>
      </c>
      <c r="I1157">
        <v>24</v>
      </c>
      <c r="J1157">
        <v>24</v>
      </c>
      <c r="K1157" s="6">
        <v>103.48</v>
      </c>
      <c r="L1157" s="6">
        <v>3.32</v>
      </c>
      <c r="M1157" s="6">
        <v>103.48</v>
      </c>
      <c r="N1157">
        <v>0</v>
      </c>
      <c r="O1157" s="6">
        <v>0</v>
      </c>
      <c r="P1157">
        <v>0</v>
      </c>
      <c r="Q1157" s="8">
        <v>256.39999999999998</v>
      </c>
      <c r="R1157" s="8">
        <v>265.33</v>
      </c>
      <c r="S1157" s="10" t="s">
        <v>602</v>
      </c>
    </row>
    <row r="1158" spans="1:19" hidden="1" x14ac:dyDescent="0.25">
      <c r="A1158" t="s">
        <v>134</v>
      </c>
      <c r="B1158" t="s">
        <v>78</v>
      </c>
      <c r="C1158" t="s">
        <v>124</v>
      </c>
      <c r="D1158" t="s">
        <v>583</v>
      </c>
      <c r="E1158" t="s">
        <v>94</v>
      </c>
      <c r="F1158" t="s">
        <v>94</v>
      </c>
      <c r="G1158">
        <v>0</v>
      </c>
      <c r="H1158">
        <v>26</v>
      </c>
      <c r="I1158">
        <v>26</v>
      </c>
      <c r="J1158">
        <v>26</v>
      </c>
      <c r="K1158" s="6">
        <v>100</v>
      </c>
      <c r="L1158" s="6">
        <v>0</v>
      </c>
      <c r="M1158" s="6">
        <v>100</v>
      </c>
      <c r="N1158">
        <v>0</v>
      </c>
      <c r="O1158" s="6">
        <v>0</v>
      </c>
      <c r="P1158">
        <v>0</v>
      </c>
      <c r="Q1158" s="8">
        <v>296.37</v>
      </c>
      <c r="R1158" s="8">
        <v>296.37</v>
      </c>
      <c r="S1158" s="9" t="s">
        <v>618</v>
      </c>
    </row>
    <row r="1159" spans="1:19" hidden="1" x14ac:dyDescent="0.25">
      <c r="A1159" t="s">
        <v>134</v>
      </c>
      <c r="B1159" t="s">
        <v>78</v>
      </c>
      <c r="C1159" t="s">
        <v>124</v>
      </c>
      <c r="D1159" t="s">
        <v>583</v>
      </c>
      <c r="E1159" t="s">
        <v>94</v>
      </c>
      <c r="F1159" t="s">
        <v>96</v>
      </c>
      <c r="G1159">
        <v>4</v>
      </c>
      <c r="H1159">
        <v>26</v>
      </c>
      <c r="I1159">
        <v>26</v>
      </c>
      <c r="J1159">
        <v>26</v>
      </c>
      <c r="K1159" s="6">
        <v>100</v>
      </c>
      <c r="L1159" s="6">
        <v>0</v>
      </c>
      <c r="M1159" s="6">
        <v>100</v>
      </c>
      <c r="N1159">
        <v>0</v>
      </c>
      <c r="O1159" s="6">
        <v>0</v>
      </c>
      <c r="P1159">
        <v>0</v>
      </c>
      <c r="Q1159" s="8">
        <v>296.37</v>
      </c>
      <c r="R1159" s="8">
        <v>296.37</v>
      </c>
      <c r="S1159" s="10" t="s">
        <v>608</v>
      </c>
    </row>
    <row r="1160" spans="1:19" hidden="1" x14ac:dyDescent="0.25">
      <c r="A1160" t="s">
        <v>134</v>
      </c>
      <c r="B1160" t="s">
        <v>78</v>
      </c>
      <c r="C1160" t="s">
        <v>124</v>
      </c>
      <c r="D1160" t="s">
        <v>583</v>
      </c>
      <c r="E1160" t="s">
        <v>94</v>
      </c>
      <c r="F1160" t="s">
        <v>6</v>
      </c>
      <c r="G1160">
        <v>11</v>
      </c>
      <c r="H1160">
        <v>26</v>
      </c>
      <c r="I1160">
        <v>26</v>
      </c>
      <c r="J1160">
        <v>26</v>
      </c>
      <c r="K1160" s="6">
        <v>103.01</v>
      </c>
      <c r="L1160" s="6">
        <v>2.76</v>
      </c>
      <c r="M1160" s="6">
        <v>103.01</v>
      </c>
      <c r="N1160">
        <v>0</v>
      </c>
      <c r="O1160" s="6">
        <v>0</v>
      </c>
      <c r="P1160">
        <v>0</v>
      </c>
      <c r="Q1160" s="8">
        <v>296.37</v>
      </c>
      <c r="R1160" s="8">
        <v>305.3</v>
      </c>
      <c r="S1160" s="10" t="s">
        <v>608</v>
      </c>
    </row>
    <row r="1161" spans="1:19" hidden="1" x14ac:dyDescent="0.25">
      <c r="A1161" t="s">
        <v>134</v>
      </c>
      <c r="B1161" t="s">
        <v>78</v>
      </c>
      <c r="C1161" t="s">
        <v>124</v>
      </c>
      <c r="D1161" t="s">
        <v>585</v>
      </c>
      <c r="E1161" t="s">
        <v>94</v>
      </c>
      <c r="F1161" t="s">
        <v>94</v>
      </c>
      <c r="G1161">
        <v>0</v>
      </c>
      <c r="H1161">
        <v>28</v>
      </c>
      <c r="I1161">
        <v>28</v>
      </c>
      <c r="J1161">
        <v>28</v>
      </c>
      <c r="K1161" s="6">
        <v>100</v>
      </c>
      <c r="L1161" s="6">
        <v>0</v>
      </c>
      <c r="M1161" s="6">
        <v>100</v>
      </c>
      <c r="N1161">
        <v>0</v>
      </c>
      <c r="O1161" s="6">
        <v>0</v>
      </c>
      <c r="P1161">
        <v>0</v>
      </c>
      <c r="Q1161" s="8">
        <v>303.48</v>
      </c>
      <c r="R1161" s="8">
        <v>303.48</v>
      </c>
      <c r="S1161" s="9" t="s">
        <v>556</v>
      </c>
    </row>
    <row r="1162" spans="1:19" hidden="1" x14ac:dyDescent="0.25">
      <c r="A1162" t="s">
        <v>134</v>
      </c>
      <c r="B1162" t="s">
        <v>78</v>
      </c>
      <c r="C1162" t="s">
        <v>124</v>
      </c>
      <c r="D1162" t="s">
        <v>585</v>
      </c>
      <c r="E1162" t="s">
        <v>94</v>
      </c>
      <c r="F1162" t="s">
        <v>96</v>
      </c>
      <c r="G1162">
        <v>4</v>
      </c>
      <c r="H1162">
        <v>28</v>
      </c>
      <c r="I1162">
        <v>28</v>
      </c>
      <c r="J1162">
        <v>28</v>
      </c>
      <c r="K1162" s="6">
        <v>100</v>
      </c>
      <c r="L1162" s="6">
        <v>0</v>
      </c>
      <c r="M1162" s="6">
        <v>100</v>
      </c>
      <c r="N1162">
        <v>0</v>
      </c>
      <c r="O1162" s="6">
        <v>0</v>
      </c>
      <c r="P1162">
        <v>0</v>
      </c>
      <c r="Q1162" s="8">
        <v>303.48</v>
      </c>
      <c r="R1162" s="8">
        <v>303.48</v>
      </c>
      <c r="S1162" s="10" t="s">
        <v>483</v>
      </c>
    </row>
    <row r="1163" spans="1:19" hidden="1" x14ac:dyDescent="0.25">
      <c r="A1163" t="s">
        <v>134</v>
      </c>
      <c r="B1163" t="s">
        <v>78</v>
      </c>
      <c r="C1163" t="s">
        <v>124</v>
      </c>
      <c r="D1163" t="s">
        <v>585</v>
      </c>
      <c r="E1163" t="s">
        <v>94</v>
      </c>
      <c r="F1163" t="s">
        <v>6</v>
      </c>
      <c r="G1163">
        <v>11</v>
      </c>
      <c r="H1163">
        <v>28</v>
      </c>
      <c r="I1163">
        <v>28</v>
      </c>
      <c r="J1163">
        <v>28</v>
      </c>
      <c r="K1163" s="6">
        <v>102.94</v>
      </c>
      <c r="L1163" s="6">
        <v>2.71</v>
      </c>
      <c r="M1163" s="6">
        <v>102.94</v>
      </c>
      <c r="N1163">
        <v>0</v>
      </c>
      <c r="O1163" s="6">
        <v>0</v>
      </c>
      <c r="P1163">
        <v>0</v>
      </c>
      <c r="Q1163" s="8">
        <v>303.48</v>
      </c>
      <c r="R1163" s="8">
        <v>312.41000000000003</v>
      </c>
      <c r="S1163" s="10" t="s">
        <v>483</v>
      </c>
    </row>
    <row r="1164" spans="1:19" hidden="1" x14ac:dyDescent="0.25">
      <c r="A1164" t="s">
        <v>134</v>
      </c>
      <c r="B1164" t="s">
        <v>78</v>
      </c>
      <c r="C1164" t="s">
        <v>124</v>
      </c>
      <c r="D1164" t="s">
        <v>588</v>
      </c>
      <c r="E1164" t="s">
        <v>94</v>
      </c>
      <c r="F1164" t="s">
        <v>94</v>
      </c>
      <c r="G1164">
        <v>0</v>
      </c>
      <c r="H1164">
        <v>24</v>
      </c>
      <c r="I1164">
        <v>24</v>
      </c>
      <c r="J1164">
        <v>24</v>
      </c>
      <c r="K1164" s="6">
        <v>100</v>
      </c>
      <c r="L1164" s="6">
        <v>0</v>
      </c>
      <c r="M1164" s="6">
        <v>100</v>
      </c>
      <c r="N1164">
        <v>0</v>
      </c>
      <c r="O1164" s="6">
        <v>0</v>
      </c>
      <c r="P1164">
        <v>0</v>
      </c>
      <c r="Q1164" s="8">
        <v>290.2</v>
      </c>
      <c r="R1164" s="8">
        <v>290.2</v>
      </c>
      <c r="S1164" s="9" t="s">
        <v>601</v>
      </c>
    </row>
    <row r="1165" spans="1:19" hidden="1" x14ac:dyDescent="0.25">
      <c r="A1165" t="s">
        <v>134</v>
      </c>
      <c r="B1165" t="s">
        <v>78</v>
      </c>
      <c r="C1165" t="s">
        <v>124</v>
      </c>
      <c r="D1165" t="s">
        <v>588</v>
      </c>
      <c r="E1165" t="s">
        <v>94</v>
      </c>
      <c r="F1165" t="s">
        <v>96</v>
      </c>
      <c r="G1165">
        <v>4</v>
      </c>
      <c r="H1165">
        <v>24</v>
      </c>
      <c r="I1165">
        <v>24</v>
      </c>
      <c r="J1165">
        <v>24</v>
      </c>
      <c r="K1165" s="6">
        <v>100</v>
      </c>
      <c r="L1165" s="6">
        <v>0</v>
      </c>
      <c r="M1165" s="6">
        <v>100</v>
      </c>
      <c r="N1165">
        <v>0</v>
      </c>
      <c r="O1165" s="6">
        <v>0</v>
      </c>
      <c r="P1165">
        <v>0</v>
      </c>
      <c r="Q1165" s="8">
        <v>290.2</v>
      </c>
      <c r="R1165" s="8">
        <v>290.2</v>
      </c>
      <c r="S1165" s="10" t="s">
        <v>602</v>
      </c>
    </row>
    <row r="1166" spans="1:19" hidden="1" x14ac:dyDescent="0.25">
      <c r="A1166" t="s">
        <v>134</v>
      </c>
      <c r="B1166" t="s">
        <v>78</v>
      </c>
      <c r="C1166" t="s">
        <v>124</v>
      </c>
      <c r="D1166" t="s">
        <v>588</v>
      </c>
      <c r="E1166" t="s">
        <v>94</v>
      </c>
      <c r="F1166" t="s">
        <v>6</v>
      </c>
      <c r="G1166">
        <v>11</v>
      </c>
      <c r="H1166">
        <v>24</v>
      </c>
      <c r="I1166">
        <v>24</v>
      </c>
      <c r="J1166">
        <v>24</v>
      </c>
      <c r="K1166" s="6">
        <v>102.92</v>
      </c>
      <c r="L1166" s="6">
        <v>2.78</v>
      </c>
      <c r="M1166" s="6">
        <v>102.92</v>
      </c>
      <c r="N1166">
        <v>0</v>
      </c>
      <c r="O1166" s="6">
        <v>0</v>
      </c>
      <c r="P1166">
        <v>0</v>
      </c>
      <c r="Q1166" s="8">
        <v>290.2</v>
      </c>
      <c r="R1166" s="8">
        <v>298.67</v>
      </c>
      <c r="S1166" s="10" t="s">
        <v>602</v>
      </c>
    </row>
    <row r="1167" spans="1:19" hidden="1" x14ac:dyDescent="0.25">
      <c r="A1167" t="s">
        <v>134</v>
      </c>
      <c r="B1167" t="s">
        <v>78</v>
      </c>
      <c r="C1167" t="s">
        <v>124</v>
      </c>
      <c r="D1167" t="s">
        <v>589</v>
      </c>
      <c r="E1167" t="s">
        <v>94</v>
      </c>
      <c r="F1167" t="s">
        <v>94</v>
      </c>
      <c r="G1167">
        <v>0</v>
      </c>
      <c r="H1167">
        <v>12</v>
      </c>
      <c r="I1167">
        <v>12</v>
      </c>
      <c r="J1167">
        <v>12</v>
      </c>
      <c r="K1167" s="6">
        <v>100</v>
      </c>
      <c r="L1167" s="6">
        <v>0</v>
      </c>
      <c r="M1167" s="6">
        <v>100</v>
      </c>
      <c r="N1167">
        <v>0</v>
      </c>
      <c r="O1167" s="6">
        <v>0</v>
      </c>
      <c r="P1167">
        <v>0</v>
      </c>
      <c r="Q1167" s="8">
        <v>277.60000000000002</v>
      </c>
      <c r="R1167" s="8">
        <v>277.60000000000002</v>
      </c>
      <c r="S1167" s="9" t="s">
        <v>586</v>
      </c>
    </row>
    <row r="1168" spans="1:19" hidden="1" x14ac:dyDescent="0.25">
      <c r="A1168" t="s">
        <v>134</v>
      </c>
      <c r="B1168" t="s">
        <v>78</v>
      </c>
      <c r="C1168" t="s">
        <v>124</v>
      </c>
      <c r="D1168" t="s">
        <v>589</v>
      </c>
      <c r="E1168" t="s">
        <v>94</v>
      </c>
      <c r="F1168" t="s">
        <v>96</v>
      </c>
      <c r="G1168">
        <v>4</v>
      </c>
      <c r="H1168">
        <v>12</v>
      </c>
      <c r="I1168">
        <v>12</v>
      </c>
      <c r="J1168">
        <v>12</v>
      </c>
      <c r="K1168" s="6">
        <v>100</v>
      </c>
      <c r="L1168" s="6">
        <v>0</v>
      </c>
      <c r="M1168" s="6">
        <v>100</v>
      </c>
      <c r="N1168">
        <v>0</v>
      </c>
      <c r="O1168" s="6">
        <v>0</v>
      </c>
      <c r="P1168">
        <v>0</v>
      </c>
      <c r="Q1168" s="8">
        <v>277.60000000000002</v>
      </c>
      <c r="R1168" s="8">
        <v>277.60000000000002</v>
      </c>
      <c r="S1168" s="10" t="s">
        <v>587</v>
      </c>
    </row>
    <row r="1169" spans="1:19" hidden="1" x14ac:dyDescent="0.25">
      <c r="A1169" t="s">
        <v>134</v>
      </c>
      <c r="B1169" t="s">
        <v>78</v>
      </c>
      <c r="C1169" t="s">
        <v>124</v>
      </c>
      <c r="D1169" t="s">
        <v>589</v>
      </c>
      <c r="E1169" t="s">
        <v>94</v>
      </c>
      <c r="F1169" t="s">
        <v>6</v>
      </c>
      <c r="G1169">
        <v>11</v>
      </c>
      <c r="H1169">
        <v>12</v>
      </c>
      <c r="I1169">
        <v>12</v>
      </c>
      <c r="J1169">
        <v>12</v>
      </c>
      <c r="K1169" s="6">
        <v>102.23</v>
      </c>
      <c r="L1169" s="6">
        <v>2.2200000000000002</v>
      </c>
      <c r="M1169" s="6">
        <v>102.23</v>
      </c>
      <c r="N1169">
        <v>0</v>
      </c>
      <c r="O1169" s="6">
        <v>0</v>
      </c>
      <c r="P1169">
        <v>0</v>
      </c>
      <c r="Q1169" s="8">
        <v>277.60000000000002</v>
      </c>
      <c r="R1169" s="8">
        <v>283.8</v>
      </c>
      <c r="S1169" s="10" t="s">
        <v>587</v>
      </c>
    </row>
    <row r="1170" spans="1:19" hidden="1" x14ac:dyDescent="0.25">
      <c r="A1170" t="s">
        <v>134</v>
      </c>
      <c r="B1170" t="s">
        <v>78</v>
      </c>
      <c r="C1170" t="s">
        <v>124</v>
      </c>
      <c r="D1170" t="s">
        <v>590</v>
      </c>
      <c r="E1170" t="s">
        <v>94</v>
      </c>
      <c r="F1170" t="s">
        <v>94</v>
      </c>
      <c r="G1170">
        <v>0</v>
      </c>
      <c r="H1170">
        <v>2</v>
      </c>
      <c r="I1170">
        <v>2</v>
      </c>
      <c r="J1170">
        <v>2</v>
      </c>
      <c r="K1170" s="6">
        <v>100</v>
      </c>
      <c r="L1170" s="6">
        <v>0</v>
      </c>
      <c r="M1170" s="6">
        <v>100</v>
      </c>
      <c r="N1170">
        <v>0</v>
      </c>
      <c r="O1170" s="6">
        <v>0</v>
      </c>
      <c r="P1170">
        <v>0</v>
      </c>
      <c r="Q1170" s="8">
        <v>310.60000000000002</v>
      </c>
      <c r="R1170" s="8">
        <v>310.60000000000002</v>
      </c>
      <c r="S1170" s="9" t="s">
        <v>536</v>
      </c>
    </row>
    <row r="1171" spans="1:19" hidden="1" x14ac:dyDescent="0.25">
      <c r="A1171" t="s">
        <v>134</v>
      </c>
      <c r="B1171" t="s">
        <v>78</v>
      </c>
      <c r="C1171" t="s">
        <v>124</v>
      </c>
      <c r="D1171" t="s">
        <v>590</v>
      </c>
      <c r="E1171" t="s">
        <v>94</v>
      </c>
      <c r="F1171" t="s">
        <v>96</v>
      </c>
      <c r="G1171">
        <v>4</v>
      </c>
      <c r="H1171">
        <v>2</v>
      </c>
      <c r="I1171">
        <v>2</v>
      </c>
      <c r="J1171">
        <v>2</v>
      </c>
      <c r="K1171" s="6">
        <v>100</v>
      </c>
      <c r="L1171" s="6">
        <v>0</v>
      </c>
      <c r="M1171" s="6">
        <v>100</v>
      </c>
      <c r="N1171">
        <v>0</v>
      </c>
      <c r="O1171" s="6">
        <v>0</v>
      </c>
      <c r="P1171">
        <v>0</v>
      </c>
      <c r="Q1171" s="8">
        <v>310.60000000000002</v>
      </c>
      <c r="R1171" s="8">
        <v>310.60000000000002</v>
      </c>
      <c r="S1171" s="9" t="s">
        <v>537</v>
      </c>
    </row>
    <row r="1172" spans="1:19" hidden="1" x14ac:dyDescent="0.25">
      <c r="A1172" t="s">
        <v>134</v>
      </c>
      <c r="B1172" t="s">
        <v>78</v>
      </c>
      <c r="C1172" t="s">
        <v>124</v>
      </c>
      <c r="D1172" t="s">
        <v>590</v>
      </c>
      <c r="E1172" t="s">
        <v>94</v>
      </c>
      <c r="F1172" t="s">
        <v>6</v>
      </c>
      <c r="G1172">
        <v>11</v>
      </c>
      <c r="H1172">
        <v>2</v>
      </c>
      <c r="I1172">
        <v>2</v>
      </c>
      <c r="J1172">
        <v>2</v>
      </c>
      <c r="K1172" s="6">
        <v>102</v>
      </c>
      <c r="L1172" s="6">
        <v>1.98</v>
      </c>
      <c r="M1172" s="6">
        <v>102</v>
      </c>
      <c r="N1172">
        <v>0</v>
      </c>
      <c r="O1172" s="6">
        <v>0</v>
      </c>
      <c r="P1172">
        <v>0</v>
      </c>
      <c r="Q1172" s="8">
        <v>310.60000000000002</v>
      </c>
      <c r="R1172" s="8">
        <v>316.8</v>
      </c>
      <c r="S1172" s="9" t="s">
        <v>537</v>
      </c>
    </row>
    <row r="1173" spans="1:19" hidden="1" x14ac:dyDescent="0.25">
      <c r="A1173" t="s">
        <v>134</v>
      </c>
      <c r="B1173" t="s">
        <v>78</v>
      </c>
      <c r="C1173" t="s">
        <v>126</v>
      </c>
      <c r="D1173" t="s">
        <v>539</v>
      </c>
      <c r="E1173" t="s">
        <v>91</v>
      </c>
      <c r="F1173" t="s">
        <v>91</v>
      </c>
      <c r="G1173">
        <v>0</v>
      </c>
      <c r="H1173">
        <v>2</v>
      </c>
      <c r="I1173">
        <v>2</v>
      </c>
      <c r="J1173">
        <v>2</v>
      </c>
      <c r="K1173" s="6">
        <v>100</v>
      </c>
      <c r="L1173" s="6">
        <v>0</v>
      </c>
      <c r="M1173" s="6">
        <v>100</v>
      </c>
      <c r="N1173">
        <v>0</v>
      </c>
      <c r="O1173" s="6">
        <v>0</v>
      </c>
      <c r="P1173">
        <v>0</v>
      </c>
      <c r="Q1173" s="8">
        <v>100.57</v>
      </c>
      <c r="R1173" s="8">
        <v>100.57</v>
      </c>
      <c r="S1173" s="9" t="s">
        <v>536</v>
      </c>
    </row>
    <row r="1174" spans="1:19" hidden="1" x14ac:dyDescent="0.25">
      <c r="A1174" t="s">
        <v>134</v>
      </c>
      <c r="B1174" t="s">
        <v>78</v>
      </c>
      <c r="C1174" t="s">
        <v>126</v>
      </c>
      <c r="D1174" t="s">
        <v>539</v>
      </c>
      <c r="E1174" t="s">
        <v>91</v>
      </c>
      <c r="F1174" t="s">
        <v>94</v>
      </c>
      <c r="G1174">
        <v>1</v>
      </c>
      <c r="H1174">
        <v>2</v>
      </c>
      <c r="I1174">
        <v>2</v>
      </c>
      <c r="J1174">
        <v>2</v>
      </c>
      <c r="K1174" s="6">
        <v>97.16</v>
      </c>
      <c r="L1174" s="6">
        <v>-2.99</v>
      </c>
      <c r="M1174" s="6">
        <v>97.16</v>
      </c>
      <c r="N1174">
        <v>0</v>
      </c>
      <c r="O1174" s="6">
        <v>0</v>
      </c>
      <c r="P1174">
        <v>0</v>
      </c>
      <c r="Q1174" s="8">
        <v>100.57</v>
      </c>
      <c r="R1174" s="8">
        <v>97.71</v>
      </c>
      <c r="S1174" s="9" t="s">
        <v>537</v>
      </c>
    </row>
    <row r="1175" spans="1:19" hidden="1" x14ac:dyDescent="0.25">
      <c r="A1175" t="s">
        <v>134</v>
      </c>
      <c r="B1175" t="s">
        <v>78</v>
      </c>
      <c r="C1175" t="s">
        <v>126</v>
      </c>
      <c r="D1175" t="s">
        <v>539</v>
      </c>
      <c r="E1175" t="s">
        <v>91</v>
      </c>
      <c r="F1175" t="s">
        <v>96</v>
      </c>
      <c r="G1175">
        <v>5</v>
      </c>
      <c r="H1175">
        <v>2</v>
      </c>
      <c r="I1175">
        <v>2</v>
      </c>
      <c r="J1175">
        <v>2</v>
      </c>
      <c r="K1175" s="6">
        <v>97.16</v>
      </c>
      <c r="L1175" s="6">
        <v>-2.99</v>
      </c>
      <c r="M1175" s="6">
        <v>97.16</v>
      </c>
      <c r="N1175">
        <v>0</v>
      </c>
      <c r="O1175" s="6">
        <v>0</v>
      </c>
      <c r="P1175">
        <v>0</v>
      </c>
      <c r="Q1175" s="8">
        <v>100.57</v>
      </c>
      <c r="R1175" s="8">
        <v>97.71</v>
      </c>
      <c r="S1175" s="9" t="s">
        <v>537</v>
      </c>
    </row>
    <row r="1176" spans="1:19" hidden="1" x14ac:dyDescent="0.25">
      <c r="A1176" t="s">
        <v>134</v>
      </c>
      <c r="B1176" t="s">
        <v>78</v>
      </c>
      <c r="C1176" t="s">
        <v>126</v>
      </c>
      <c r="D1176" t="s">
        <v>539</v>
      </c>
      <c r="E1176" t="s">
        <v>91</v>
      </c>
      <c r="F1176" t="s">
        <v>6</v>
      </c>
      <c r="G1176">
        <v>12</v>
      </c>
      <c r="H1176">
        <v>2</v>
      </c>
      <c r="I1176">
        <v>2</v>
      </c>
      <c r="J1176">
        <v>2</v>
      </c>
      <c r="K1176" s="6">
        <v>90.77</v>
      </c>
      <c r="L1176" s="6">
        <v>-9.2899999999999991</v>
      </c>
      <c r="M1176" s="6">
        <v>90.77</v>
      </c>
      <c r="N1176">
        <v>0</v>
      </c>
      <c r="O1176" s="6">
        <v>0</v>
      </c>
      <c r="P1176">
        <v>0</v>
      </c>
      <c r="Q1176" s="8">
        <v>100.57</v>
      </c>
      <c r="R1176" s="8">
        <v>91.29</v>
      </c>
      <c r="S1176" s="9" t="s">
        <v>537</v>
      </c>
    </row>
    <row r="1177" spans="1:19" hidden="1" x14ac:dyDescent="0.25">
      <c r="A1177" t="s">
        <v>134</v>
      </c>
      <c r="B1177" t="s">
        <v>78</v>
      </c>
      <c r="C1177" t="s">
        <v>126</v>
      </c>
      <c r="D1177" t="s">
        <v>552</v>
      </c>
      <c r="E1177" t="s">
        <v>91</v>
      </c>
      <c r="F1177" t="s">
        <v>91</v>
      </c>
      <c r="G1177">
        <v>0</v>
      </c>
      <c r="H1177">
        <v>3</v>
      </c>
      <c r="I1177">
        <v>3</v>
      </c>
      <c r="J1177">
        <v>3</v>
      </c>
      <c r="K1177" s="6">
        <v>100</v>
      </c>
      <c r="L1177" s="6">
        <v>0</v>
      </c>
      <c r="M1177" s="6">
        <v>100</v>
      </c>
      <c r="N1177">
        <v>0</v>
      </c>
      <c r="O1177" s="6">
        <v>0</v>
      </c>
      <c r="P1177">
        <v>0</v>
      </c>
      <c r="Q1177" s="8">
        <v>96.52</v>
      </c>
      <c r="R1177" s="8">
        <v>96.52</v>
      </c>
      <c r="S1177" s="9" t="s">
        <v>525</v>
      </c>
    </row>
    <row r="1178" spans="1:19" hidden="1" x14ac:dyDescent="0.25">
      <c r="A1178" t="s">
        <v>134</v>
      </c>
      <c r="B1178" t="s">
        <v>78</v>
      </c>
      <c r="C1178" t="s">
        <v>126</v>
      </c>
      <c r="D1178" t="s">
        <v>552</v>
      </c>
      <c r="E1178" t="s">
        <v>91</v>
      </c>
      <c r="F1178" t="s">
        <v>94</v>
      </c>
      <c r="G1178">
        <v>1</v>
      </c>
      <c r="H1178">
        <v>3</v>
      </c>
      <c r="I1178">
        <v>3</v>
      </c>
      <c r="J1178">
        <v>3</v>
      </c>
      <c r="K1178" s="6">
        <v>96.55</v>
      </c>
      <c r="L1178" s="6">
        <v>-2.86</v>
      </c>
      <c r="M1178" s="6">
        <v>96.55</v>
      </c>
      <c r="N1178">
        <v>0</v>
      </c>
      <c r="O1178" s="6">
        <v>0</v>
      </c>
      <c r="P1178">
        <v>0</v>
      </c>
      <c r="Q1178" s="8">
        <v>96.52</v>
      </c>
      <c r="R1178" s="8">
        <v>93.19</v>
      </c>
      <c r="S1178" s="9" t="s">
        <v>526</v>
      </c>
    </row>
    <row r="1179" spans="1:19" hidden="1" x14ac:dyDescent="0.25">
      <c r="A1179" t="s">
        <v>134</v>
      </c>
      <c r="B1179" t="s">
        <v>78</v>
      </c>
      <c r="C1179" t="s">
        <v>126</v>
      </c>
      <c r="D1179" t="s">
        <v>552</v>
      </c>
      <c r="E1179" t="s">
        <v>91</v>
      </c>
      <c r="F1179" t="s">
        <v>96</v>
      </c>
      <c r="G1179">
        <v>5</v>
      </c>
      <c r="H1179">
        <v>3</v>
      </c>
      <c r="I1179">
        <v>3</v>
      </c>
      <c r="J1179">
        <v>3</v>
      </c>
      <c r="K1179" s="6">
        <v>96.55</v>
      </c>
      <c r="L1179" s="6">
        <v>-2.86</v>
      </c>
      <c r="M1179" s="6">
        <v>96.55</v>
      </c>
      <c r="N1179">
        <v>0</v>
      </c>
      <c r="O1179" s="6">
        <v>0</v>
      </c>
      <c r="P1179">
        <v>0</v>
      </c>
      <c r="Q1179" s="8">
        <v>96.52</v>
      </c>
      <c r="R1179" s="8">
        <v>93.19</v>
      </c>
      <c r="S1179" s="9" t="s">
        <v>526</v>
      </c>
    </row>
    <row r="1180" spans="1:19" hidden="1" x14ac:dyDescent="0.25">
      <c r="A1180" t="s">
        <v>134</v>
      </c>
      <c r="B1180" t="s">
        <v>78</v>
      </c>
      <c r="C1180" t="s">
        <v>126</v>
      </c>
      <c r="D1180" t="s">
        <v>552</v>
      </c>
      <c r="E1180" t="s">
        <v>91</v>
      </c>
      <c r="F1180" t="s">
        <v>6</v>
      </c>
      <c r="G1180">
        <v>12</v>
      </c>
      <c r="H1180">
        <v>3</v>
      </c>
      <c r="I1180">
        <v>3</v>
      </c>
      <c r="J1180">
        <v>3</v>
      </c>
      <c r="K1180" s="6">
        <v>95.07</v>
      </c>
      <c r="L1180" s="6">
        <v>-4.7699999999999996</v>
      </c>
      <c r="M1180" s="6">
        <v>95.07</v>
      </c>
      <c r="N1180">
        <v>0</v>
      </c>
      <c r="O1180" s="6">
        <v>0</v>
      </c>
      <c r="P1180">
        <v>0</v>
      </c>
      <c r="Q1180" s="8">
        <v>96.52</v>
      </c>
      <c r="R1180" s="8">
        <v>91.76</v>
      </c>
      <c r="S1180" s="9" t="s">
        <v>526</v>
      </c>
    </row>
    <row r="1181" spans="1:19" hidden="1" x14ac:dyDescent="0.25">
      <c r="A1181" t="s">
        <v>134</v>
      </c>
      <c r="B1181" t="s">
        <v>78</v>
      </c>
      <c r="C1181" t="s">
        <v>126</v>
      </c>
      <c r="D1181" t="s">
        <v>554</v>
      </c>
      <c r="E1181" t="s">
        <v>91</v>
      </c>
      <c r="F1181" t="s">
        <v>91</v>
      </c>
      <c r="G1181">
        <v>0</v>
      </c>
      <c r="H1181">
        <v>1</v>
      </c>
      <c r="I1181">
        <v>1</v>
      </c>
      <c r="J1181">
        <v>1</v>
      </c>
      <c r="K1181" s="6">
        <v>100</v>
      </c>
      <c r="L1181" s="6">
        <v>0</v>
      </c>
      <c r="M1181" s="6">
        <v>100</v>
      </c>
      <c r="N1181">
        <v>0</v>
      </c>
      <c r="O1181" s="6">
        <v>0</v>
      </c>
      <c r="P1181">
        <v>0</v>
      </c>
      <c r="Q1181" s="8">
        <v>179.8</v>
      </c>
      <c r="R1181" s="8">
        <v>179.8</v>
      </c>
      <c r="S1181" s="9" t="s">
        <v>540</v>
      </c>
    </row>
    <row r="1182" spans="1:19" hidden="1" x14ac:dyDescent="0.25">
      <c r="A1182" t="s">
        <v>134</v>
      </c>
      <c r="B1182" t="s">
        <v>78</v>
      </c>
      <c r="C1182" t="s">
        <v>126</v>
      </c>
      <c r="D1182" t="s">
        <v>554</v>
      </c>
      <c r="E1182" t="s">
        <v>91</v>
      </c>
      <c r="F1182" t="s">
        <v>94</v>
      </c>
      <c r="G1182">
        <v>1</v>
      </c>
      <c r="H1182">
        <v>1</v>
      </c>
      <c r="I1182">
        <v>1</v>
      </c>
      <c r="J1182">
        <v>1</v>
      </c>
      <c r="K1182" s="6">
        <v>100</v>
      </c>
      <c r="L1182" s="6">
        <v>0</v>
      </c>
      <c r="M1182" s="6">
        <v>100</v>
      </c>
      <c r="N1182">
        <v>0</v>
      </c>
      <c r="O1182" s="6">
        <v>0</v>
      </c>
      <c r="P1182">
        <v>0</v>
      </c>
      <c r="Q1182" s="8">
        <v>179.8</v>
      </c>
      <c r="R1182" s="8">
        <v>179.8</v>
      </c>
      <c r="S1182" s="9" t="s">
        <v>541</v>
      </c>
    </row>
    <row r="1183" spans="1:19" hidden="1" x14ac:dyDescent="0.25">
      <c r="A1183" t="s">
        <v>134</v>
      </c>
      <c r="B1183" t="s">
        <v>78</v>
      </c>
      <c r="C1183" t="s">
        <v>126</v>
      </c>
      <c r="D1183" t="s">
        <v>554</v>
      </c>
      <c r="E1183" t="s">
        <v>91</v>
      </c>
      <c r="F1183" t="s">
        <v>96</v>
      </c>
      <c r="G1183">
        <v>5</v>
      </c>
      <c r="H1183">
        <v>1</v>
      </c>
      <c r="I1183">
        <v>1</v>
      </c>
      <c r="J1183">
        <v>1</v>
      </c>
      <c r="K1183" s="6">
        <v>100</v>
      </c>
      <c r="L1183" s="6">
        <v>0</v>
      </c>
      <c r="M1183" s="6">
        <v>100</v>
      </c>
      <c r="N1183">
        <v>0</v>
      </c>
      <c r="O1183" s="6">
        <v>0</v>
      </c>
      <c r="P1183">
        <v>0</v>
      </c>
      <c r="Q1183" s="8">
        <v>179.8</v>
      </c>
      <c r="R1183" s="8">
        <v>179.8</v>
      </c>
      <c r="S1183" s="9" t="s">
        <v>541</v>
      </c>
    </row>
    <row r="1184" spans="1:19" hidden="1" x14ac:dyDescent="0.25">
      <c r="A1184" t="s">
        <v>134</v>
      </c>
      <c r="B1184" t="s">
        <v>78</v>
      </c>
      <c r="C1184" t="s">
        <v>126</v>
      </c>
      <c r="D1184" t="s">
        <v>554</v>
      </c>
      <c r="E1184" t="s">
        <v>91</v>
      </c>
      <c r="F1184" t="s">
        <v>6</v>
      </c>
      <c r="G1184">
        <v>12</v>
      </c>
      <c r="H1184">
        <v>1</v>
      </c>
      <c r="I1184">
        <v>1</v>
      </c>
      <c r="J1184">
        <v>1</v>
      </c>
      <c r="K1184" s="6">
        <v>96.66</v>
      </c>
      <c r="L1184" s="6">
        <v>-3.34</v>
      </c>
      <c r="M1184" s="6">
        <v>96.66</v>
      </c>
      <c r="N1184">
        <v>0</v>
      </c>
      <c r="O1184" s="6">
        <v>0</v>
      </c>
      <c r="P1184">
        <v>0</v>
      </c>
      <c r="Q1184" s="8">
        <v>179.8</v>
      </c>
      <c r="R1184" s="8">
        <v>173.8</v>
      </c>
      <c r="S1184" s="9" t="s">
        <v>541</v>
      </c>
    </row>
    <row r="1185" spans="1:19" hidden="1" x14ac:dyDescent="0.25">
      <c r="A1185" t="s">
        <v>134</v>
      </c>
      <c r="B1185" t="s">
        <v>78</v>
      </c>
      <c r="C1185" t="s">
        <v>126</v>
      </c>
      <c r="D1185" t="s">
        <v>560</v>
      </c>
      <c r="E1185" t="s">
        <v>90</v>
      </c>
      <c r="F1185" t="s">
        <v>90</v>
      </c>
      <c r="G1185">
        <v>0</v>
      </c>
      <c r="H1185">
        <v>2</v>
      </c>
      <c r="I1185">
        <v>2</v>
      </c>
      <c r="J1185">
        <v>2</v>
      </c>
      <c r="K1185" s="6">
        <v>100</v>
      </c>
      <c r="L1185" s="6">
        <v>0</v>
      </c>
      <c r="M1185" s="6">
        <v>100</v>
      </c>
      <c r="N1185">
        <v>0</v>
      </c>
      <c r="O1185" s="6">
        <v>0</v>
      </c>
      <c r="P1185">
        <v>0</v>
      </c>
      <c r="Q1185" s="8">
        <v>156.29</v>
      </c>
      <c r="R1185" s="8">
        <v>156.29</v>
      </c>
      <c r="S1185" s="9" t="s">
        <v>536</v>
      </c>
    </row>
    <row r="1186" spans="1:19" hidden="1" x14ac:dyDescent="0.25">
      <c r="A1186" t="s">
        <v>134</v>
      </c>
      <c r="B1186" t="s">
        <v>78</v>
      </c>
      <c r="C1186" t="s">
        <v>126</v>
      </c>
      <c r="D1186" t="s">
        <v>560</v>
      </c>
      <c r="E1186" t="s">
        <v>90</v>
      </c>
      <c r="F1186" t="s">
        <v>91</v>
      </c>
      <c r="G1186">
        <v>1</v>
      </c>
      <c r="H1186">
        <v>2</v>
      </c>
      <c r="I1186">
        <v>2</v>
      </c>
      <c r="J1186">
        <v>2</v>
      </c>
      <c r="K1186" s="6">
        <v>100</v>
      </c>
      <c r="L1186" s="6">
        <v>0</v>
      </c>
      <c r="M1186" s="6">
        <v>100</v>
      </c>
      <c r="N1186">
        <v>0</v>
      </c>
      <c r="O1186" s="6">
        <v>0</v>
      </c>
      <c r="P1186">
        <v>0</v>
      </c>
      <c r="Q1186" s="8">
        <v>156.29</v>
      </c>
      <c r="R1186" s="8">
        <v>156.29</v>
      </c>
      <c r="S1186" s="9" t="s">
        <v>537</v>
      </c>
    </row>
    <row r="1187" spans="1:19" hidden="1" x14ac:dyDescent="0.25">
      <c r="A1187" t="s">
        <v>134</v>
      </c>
      <c r="B1187" t="s">
        <v>78</v>
      </c>
      <c r="C1187" t="s">
        <v>126</v>
      </c>
      <c r="D1187" t="s">
        <v>560</v>
      </c>
      <c r="E1187" t="s">
        <v>90</v>
      </c>
      <c r="F1187" t="s">
        <v>94</v>
      </c>
      <c r="G1187">
        <v>2</v>
      </c>
      <c r="H1187">
        <v>2</v>
      </c>
      <c r="I1187">
        <v>2</v>
      </c>
      <c r="J1187">
        <v>2</v>
      </c>
      <c r="K1187" s="6">
        <v>100</v>
      </c>
      <c r="L1187" s="6">
        <v>0</v>
      </c>
      <c r="M1187" s="6">
        <v>100</v>
      </c>
      <c r="N1187">
        <v>0</v>
      </c>
      <c r="O1187" s="6">
        <v>0</v>
      </c>
      <c r="P1187">
        <v>0</v>
      </c>
      <c r="Q1187" s="8">
        <v>156.29</v>
      </c>
      <c r="R1187" s="8">
        <v>156.29</v>
      </c>
      <c r="S1187" s="9" t="s">
        <v>537</v>
      </c>
    </row>
    <row r="1188" spans="1:19" hidden="1" x14ac:dyDescent="0.25">
      <c r="A1188" t="s">
        <v>134</v>
      </c>
      <c r="B1188" t="s">
        <v>78</v>
      </c>
      <c r="C1188" t="s">
        <v>126</v>
      </c>
      <c r="D1188" t="s">
        <v>560</v>
      </c>
      <c r="E1188" t="s">
        <v>90</v>
      </c>
      <c r="F1188" t="s">
        <v>96</v>
      </c>
      <c r="G1188">
        <v>6</v>
      </c>
      <c r="H1188">
        <v>2</v>
      </c>
      <c r="I1188">
        <v>2</v>
      </c>
      <c r="J1188">
        <v>2</v>
      </c>
      <c r="K1188" s="6">
        <v>100</v>
      </c>
      <c r="L1188" s="6">
        <v>0</v>
      </c>
      <c r="M1188" s="6">
        <v>100</v>
      </c>
      <c r="N1188">
        <v>0</v>
      </c>
      <c r="O1188" s="6">
        <v>0</v>
      </c>
      <c r="P1188">
        <v>0</v>
      </c>
      <c r="Q1188" s="8">
        <v>156.29</v>
      </c>
      <c r="R1188" s="8">
        <v>156.29</v>
      </c>
      <c r="S1188" s="9" t="s">
        <v>537</v>
      </c>
    </row>
    <row r="1189" spans="1:19" hidden="1" x14ac:dyDescent="0.25">
      <c r="A1189" t="s">
        <v>134</v>
      </c>
      <c r="B1189" t="s">
        <v>78</v>
      </c>
      <c r="C1189" t="s">
        <v>126</v>
      </c>
      <c r="D1189" t="s">
        <v>560</v>
      </c>
      <c r="E1189" t="s">
        <v>90</v>
      </c>
      <c r="F1189" t="s">
        <v>6</v>
      </c>
      <c r="G1189">
        <v>13</v>
      </c>
      <c r="H1189">
        <v>2</v>
      </c>
      <c r="I1189">
        <v>2</v>
      </c>
      <c r="J1189">
        <v>2</v>
      </c>
      <c r="K1189" s="6">
        <v>100</v>
      </c>
      <c r="L1189" s="6">
        <v>0</v>
      </c>
      <c r="M1189" s="6">
        <v>100</v>
      </c>
      <c r="N1189">
        <v>0</v>
      </c>
      <c r="O1189" s="6">
        <v>0</v>
      </c>
      <c r="P1189">
        <v>0</v>
      </c>
      <c r="Q1189" s="8">
        <v>156.29</v>
      </c>
      <c r="R1189" s="8">
        <v>156.29</v>
      </c>
      <c r="S1189" s="9" t="s">
        <v>537</v>
      </c>
    </row>
    <row r="1190" spans="1:19" hidden="1" x14ac:dyDescent="0.25">
      <c r="A1190" t="s">
        <v>134</v>
      </c>
      <c r="B1190" t="s">
        <v>78</v>
      </c>
      <c r="C1190" t="s">
        <v>126</v>
      </c>
      <c r="D1190" t="s">
        <v>524</v>
      </c>
      <c r="E1190" t="s">
        <v>90</v>
      </c>
      <c r="F1190" t="s">
        <v>90</v>
      </c>
      <c r="G1190">
        <v>0</v>
      </c>
      <c r="H1190">
        <v>11</v>
      </c>
      <c r="I1190">
        <v>11</v>
      </c>
      <c r="J1190">
        <v>11</v>
      </c>
      <c r="K1190" s="6">
        <v>100</v>
      </c>
      <c r="L1190" s="6">
        <v>0</v>
      </c>
      <c r="M1190" s="6">
        <v>100</v>
      </c>
      <c r="N1190">
        <v>0</v>
      </c>
      <c r="O1190" s="6">
        <v>0</v>
      </c>
      <c r="P1190">
        <v>0</v>
      </c>
      <c r="Q1190" s="8">
        <v>161</v>
      </c>
      <c r="R1190" s="8">
        <v>161</v>
      </c>
      <c r="S1190" s="9" t="s">
        <v>528</v>
      </c>
    </row>
    <row r="1191" spans="1:19" hidden="1" x14ac:dyDescent="0.25">
      <c r="A1191" t="s">
        <v>134</v>
      </c>
      <c r="B1191" t="s">
        <v>78</v>
      </c>
      <c r="C1191" t="s">
        <v>126</v>
      </c>
      <c r="D1191" t="s">
        <v>524</v>
      </c>
      <c r="E1191" t="s">
        <v>90</v>
      </c>
      <c r="F1191" t="s">
        <v>91</v>
      </c>
      <c r="G1191">
        <v>1</v>
      </c>
      <c r="H1191">
        <v>11</v>
      </c>
      <c r="I1191">
        <v>11</v>
      </c>
      <c r="J1191">
        <v>11</v>
      </c>
      <c r="K1191" s="6">
        <v>100</v>
      </c>
      <c r="L1191" s="6">
        <v>0</v>
      </c>
      <c r="M1191" s="6">
        <v>100</v>
      </c>
      <c r="N1191">
        <v>0</v>
      </c>
      <c r="O1191" s="6">
        <v>0</v>
      </c>
      <c r="P1191">
        <v>0</v>
      </c>
      <c r="Q1191" s="8">
        <v>161</v>
      </c>
      <c r="R1191" s="8">
        <v>161</v>
      </c>
      <c r="S1191" s="10" t="s">
        <v>529</v>
      </c>
    </row>
    <row r="1192" spans="1:19" hidden="1" x14ac:dyDescent="0.25">
      <c r="A1192" t="s">
        <v>134</v>
      </c>
      <c r="B1192" t="s">
        <v>78</v>
      </c>
      <c r="C1192" t="s">
        <v>126</v>
      </c>
      <c r="D1192" t="s">
        <v>524</v>
      </c>
      <c r="E1192" t="s">
        <v>90</v>
      </c>
      <c r="F1192" t="s">
        <v>94</v>
      </c>
      <c r="G1192">
        <v>2</v>
      </c>
      <c r="H1192">
        <v>11</v>
      </c>
      <c r="I1192">
        <v>11</v>
      </c>
      <c r="J1192">
        <v>11</v>
      </c>
      <c r="K1192" s="6">
        <v>99.21</v>
      </c>
      <c r="L1192" s="6">
        <v>0</v>
      </c>
      <c r="M1192" s="6">
        <v>99.21</v>
      </c>
      <c r="N1192">
        <v>0</v>
      </c>
      <c r="O1192" s="6">
        <v>0</v>
      </c>
      <c r="P1192">
        <v>0</v>
      </c>
      <c r="Q1192" s="8">
        <v>161</v>
      </c>
      <c r="R1192" s="8">
        <v>159.72999999999999</v>
      </c>
      <c r="S1192" s="10" t="s">
        <v>529</v>
      </c>
    </row>
    <row r="1193" spans="1:19" hidden="1" x14ac:dyDescent="0.25">
      <c r="A1193" t="s">
        <v>134</v>
      </c>
      <c r="B1193" t="s">
        <v>78</v>
      </c>
      <c r="C1193" t="s">
        <v>126</v>
      </c>
      <c r="D1193" t="s">
        <v>524</v>
      </c>
      <c r="E1193" t="s">
        <v>90</v>
      </c>
      <c r="F1193" t="s">
        <v>96</v>
      </c>
      <c r="G1193">
        <v>6</v>
      </c>
      <c r="H1193">
        <v>11</v>
      </c>
      <c r="I1193">
        <v>11</v>
      </c>
      <c r="J1193">
        <v>11</v>
      </c>
      <c r="K1193" s="6">
        <v>99.05</v>
      </c>
      <c r="L1193" s="6">
        <v>-1.1000000000000001</v>
      </c>
      <c r="M1193" s="6">
        <v>99.05</v>
      </c>
      <c r="N1193">
        <v>0</v>
      </c>
      <c r="O1193" s="6">
        <v>0</v>
      </c>
      <c r="P1193">
        <v>0</v>
      </c>
      <c r="Q1193" s="8">
        <v>161</v>
      </c>
      <c r="R1193" s="8">
        <v>159.47</v>
      </c>
      <c r="S1193" s="10" t="s">
        <v>529</v>
      </c>
    </row>
    <row r="1194" spans="1:19" hidden="1" x14ac:dyDescent="0.25">
      <c r="A1194" t="s">
        <v>134</v>
      </c>
      <c r="B1194" t="s">
        <v>78</v>
      </c>
      <c r="C1194" t="s">
        <v>126</v>
      </c>
      <c r="D1194" t="s">
        <v>524</v>
      </c>
      <c r="E1194" t="s">
        <v>90</v>
      </c>
      <c r="F1194" t="s">
        <v>6</v>
      </c>
      <c r="G1194">
        <v>13</v>
      </c>
      <c r="H1194">
        <v>11</v>
      </c>
      <c r="I1194">
        <v>11</v>
      </c>
      <c r="J1194">
        <v>11</v>
      </c>
      <c r="K1194" s="6">
        <v>98.47</v>
      </c>
      <c r="L1194" s="6">
        <v>-1.1000000000000001</v>
      </c>
      <c r="M1194" s="6">
        <v>98.47</v>
      </c>
      <c r="N1194">
        <v>0</v>
      </c>
      <c r="O1194" s="6">
        <v>0</v>
      </c>
      <c r="P1194">
        <v>0</v>
      </c>
      <c r="Q1194" s="8">
        <v>161</v>
      </c>
      <c r="R1194" s="8">
        <v>158.53</v>
      </c>
      <c r="S1194" s="10" t="s">
        <v>529</v>
      </c>
    </row>
    <row r="1195" spans="1:19" hidden="1" x14ac:dyDescent="0.25">
      <c r="A1195" t="s">
        <v>134</v>
      </c>
      <c r="B1195" t="s">
        <v>78</v>
      </c>
      <c r="C1195" t="s">
        <v>126</v>
      </c>
      <c r="D1195" t="s">
        <v>527</v>
      </c>
      <c r="E1195" t="s">
        <v>90</v>
      </c>
      <c r="F1195" t="s">
        <v>90</v>
      </c>
      <c r="G1195">
        <v>0</v>
      </c>
      <c r="H1195">
        <v>14</v>
      </c>
      <c r="I1195">
        <v>14</v>
      </c>
      <c r="J1195">
        <v>14</v>
      </c>
      <c r="K1195" s="6">
        <v>100</v>
      </c>
      <c r="L1195" s="6">
        <v>0</v>
      </c>
      <c r="M1195" s="6">
        <v>100</v>
      </c>
      <c r="N1195">
        <v>0</v>
      </c>
      <c r="O1195" s="6">
        <v>0</v>
      </c>
      <c r="P1195">
        <v>0</v>
      </c>
      <c r="Q1195" s="8">
        <v>154.24</v>
      </c>
      <c r="R1195" s="8">
        <v>154.24</v>
      </c>
      <c r="S1195" s="9" t="s">
        <v>617</v>
      </c>
    </row>
    <row r="1196" spans="1:19" hidden="1" x14ac:dyDescent="0.25">
      <c r="A1196" t="s">
        <v>134</v>
      </c>
      <c r="B1196" t="s">
        <v>78</v>
      </c>
      <c r="C1196" t="s">
        <v>126</v>
      </c>
      <c r="D1196" t="s">
        <v>527</v>
      </c>
      <c r="E1196" t="s">
        <v>90</v>
      </c>
      <c r="F1196" t="s">
        <v>91</v>
      </c>
      <c r="G1196">
        <v>1</v>
      </c>
      <c r="H1196">
        <v>14</v>
      </c>
      <c r="I1196">
        <v>14</v>
      </c>
      <c r="J1196">
        <v>14</v>
      </c>
      <c r="K1196" s="6">
        <v>100</v>
      </c>
      <c r="L1196" s="6">
        <v>0</v>
      </c>
      <c r="M1196" s="6">
        <v>100</v>
      </c>
      <c r="N1196">
        <v>0</v>
      </c>
      <c r="O1196" s="6">
        <v>0</v>
      </c>
      <c r="P1196">
        <v>0</v>
      </c>
      <c r="Q1196" s="8">
        <v>154.24</v>
      </c>
      <c r="R1196" s="8">
        <v>154.24</v>
      </c>
      <c r="S1196" s="10" t="s">
        <v>607</v>
      </c>
    </row>
    <row r="1197" spans="1:19" hidden="1" x14ac:dyDescent="0.25">
      <c r="A1197" t="s">
        <v>134</v>
      </c>
      <c r="B1197" t="s">
        <v>78</v>
      </c>
      <c r="C1197" t="s">
        <v>126</v>
      </c>
      <c r="D1197" t="s">
        <v>527</v>
      </c>
      <c r="E1197" t="s">
        <v>90</v>
      </c>
      <c r="F1197" t="s">
        <v>94</v>
      </c>
      <c r="G1197">
        <v>2</v>
      </c>
      <c r="H1197">
        <v>14</v>
      </c>
      <c r="I1197">
        <v>14</v>
      </c>
      <c r="J1197">
        <v>14</v>
      </c>
      <c r="K1197" s="6">
        <v>99.74</v>
      </c>
      <c r="L1197" s="6">
        <v>0</v>
      </c>
      <c r="M1197" s="6">
        <v>99.74</v>
      </c>
      <c r="N1197">
        <v>0</v>
      </c>
      <c r="O1197" s="6">
        <v>0</v>
      </c>
      <c r="P1197">
        <v>0</v>
      </c>
      <c r="Q1197" s="8">
        <v>154.24</v>
      </c>
      <c r="R1197" s="8">
        <v>153.84</v>
      </c>
      <c r="S1197" s="10" t="s">
        <v>607</v>
      </c>
    </row>
    <row r="1198" spans="1:19" hidden="1" x14ac:dyDescent="0.25">
      <c r="A1198" t="s">
        <v>134</v>
      </c>
      <c r="B1198" t="s">
        <v>78</v>
      </c>
      <c r="C1198" t="s">
        <v>126</v>
      </c>
      <c r="D1198" t="s">
        <v>527</v>
      </c>
      <c r="E1198" t="s">
        <v>90</v>
      </c>
      <c r="F1198" t="s">
        <v>96</v>
      </c>
      <c r="G1198">
        <v>6</v>
      </c>
      <c r="H1198">
        <v>14</v>
      </c>
      <c r="I1198">
        <v>14</v>
      </c>
      <c r="J1198">
        <v>14</v>
      </c>
      <c r="K1198" s="6">
        <v>99.67</v>
      </c>
      <c r="L1198" s="6">
        <v>0</v>
      </c>
      <c r="M1198" s="6">
        <v>99.67</v>
      </c>
      <c r="N1198">
        <v>0</v>
      </c>
      <c r="O1198" s="6">
        <v>0</v>
      </c>
      <c r="P1198">
        <v>0</v>
      </c>
      <c r="Q1198" s="8">
        <v>154.24</v>
      </c>
      <c r="R1198" s="8">
        <v>153.72999999999999</v>
      </c>
      <c r="S1198" s="10" t="s">
        <v>607</v>
      </c>
    </row>
    <row r="1199" spans="1:19" hidden="1" x14ac:dyDescent="0.25">
      <c r="A1199" t="s">
        <v>134</v>
      </c>
      <c r="B1199" t="s">
        <v>78</v>
      </c>
      <c r="C1199" t="s">
        <v>126</v>
      </c>
      <c r="D1199" t="s">
        <v>527</v>
      </c>
      <c r="E1199" t="s">
        <v>90</v>
      </c>
      <c r="F1199" t="s">
        <v>6</v>
      </c>
      <c r="G1199">
        <v>13</v>
      </c>
      <c r="H1199">
        <v>14</v>
      </c>
      <c r="I1199">
        <v>14</v>
      </c>
      <c r="J1199">
        <v>14</v>
      </c>
      <c r="K1199" s="6">
        <v>99.54</v>
      </c>
      <c r="L1199" s="6">
        <v>0</v>
      </c>
      <c r="M1199" s="6">
        <v>99.54</v>
      </c>
      <c r="N1199">
        <v>0</v>
      </c>
      <c r="O1199" s="6">
        <v>0</v>
      </c>
      <c r="P1199">
        <v>0</v>
      </c>
      <c r="Q1199" s="8">
        <v>154.24</v>
      </c>
      <c r="R1199" s="8">
        <v>153.53</v>
      </c>
      <c r="S1199" s="10" t="s">
        <v>607</v>
      </c>
    </row>
    <row r="1200" spans="1:19" hidden="1" x14ac:dyDescent="0.25">
      <c r="A1200" t="s">
        <v>134</v>
      </c>
      <c r="B1200" t="s">
        <v>78</v>
      </c>
      <c r="C1200" t="s">
        <v>126</v>
      </c>
      <c r="D1200" t="s">
        <v>530</v>
      </c>
      <c r="E1200" t="s">
        <v>90</v>
      </c>
      <c r="F1200" t="s">
        <v>90</v>
      </c>
      <c r="G1200">
        <v>0</v>
      </c>
      <c r="H1200">
        <v>12</v>
      </c>
      <c r="I1200">
        <v>12</v>
      </c>
      <c r="J1200">
        <v>12</v>
      </c>
      <c r="K1200" s="6">
        <v>100</v>
      </c>
      <c r="L1200" s="6">
        <v>0</v>
      </c>
      <c r="M1200" s="6">
        <v>100</v>
      </c>
      <c r="N1200">
        <v>0</v>
      </c>
      <c r="O1200" s="6">
        <v>0</v>
      </c>
      <c r="P1200">
        <v>0</v>
      </c>
      <c r="Q1200" s="8">
        <v>182.95</v>
      </c>
      <c r="R1200" s="8">
        <v>182.95</v>
      </c>
      <c r="S1200" s="9" t="s">
        <v>586</v>
      </c>
    </row>
    <row r="1201" spans="1:19" hidden="1" x14ac:dyDescent="0.25">
      <c r="A1201" t="s">
        <v>134</v>
      </c>
      <c r="B1201" t="s">
        <v>78</v>
      </c>
      <c r="C1201" t="s">
        <v>126</v>
      </c>
      <c r="D1201" t="s">
        <v>530</v>
      </c>
      <c r="E1201" t="s">
        <v>90</v>
      </c>
      <c r="F1201" t="s">
        <v>91</v>
      </c>
      <c r="G1201">
        <v>1</v>
      </c>
      <c r="H1201">
        <v>12</v>
      </c>
      <c r="I1201">
        <v>12</v>
      </c>
      <c r="J1201">
        <v>12</v>
      </c>
      <c r="K1201" s="6">
        <v>100</v>
      </c>
      <c r="L1201" s="6">
        <v>0</v>
      </c>
      <c r="M1201" s="6">
        <v>100</v>
      </c>
      <c r="N1201">
        <v>0</v>
      </c>
      <c r="O1201" s="6">
        <v>0</v>
      </c>
      <c r="P1201">
        <v>0</v>
      </c>
      <c r="Q1201" s="8">
        <v>182.95</v>
      </c>
      <c r="R1201" s="8">
        <v>182.95</v>
      </c>
      <c r="S1201" s="10" t="s">
        <v>587</v>
      </c>
    </row>
    <row r="1202" spans="1:19" hidden="1" x14ac:dyDescent="0.25">
      <c r="A1202" t="s">
        <v>134</v>
      </c>
      <c r="B1202" t="s">
        <v>78</v>
      </c>
      <c r="C1202" t="s">
        <v>126</v>
      </c>
      <c r="D1202" t="s">
        <v>530</v>
      </c>
      <c r="E1202" t="s">
        <v>90</v>
      </c>
      <c r="F1202" t="s">
        <v>94</v>
      </c>
      <c r="G1202">
        <v>2</v>
      </c>
      <c r="H1202">
        <v>12</v>
      </c>
      <c r="I1202">
        <v>12</v>
      </c>
      <c r="J1202">
        <v>12</v>
      </c>
      <c r="K1202" s="6">
        <v>99.8</v>
      </c>
      <c r="L1202" s="6">
        <v>0</v>
      </c>
      <c r="M1202" s="6">
        <v>99.8</v>
      </c>
      <c r="N1202">
        <v>0</v>
      </c>
      <c r="O1202" s="6">
        <v>0</v>
      </c>
      <c r="P1202">
        <v>0</v>
      </c>
      <c r="Q1202" s="8">
        <v>182.95</v>
      </c>
      <c r="R1202" s="8">
        <v>182.6</v>
      </c>
      <c r="S1202" s="10" t="s">
        <v>587</v>
      </c>
    </row>
    <row r="1203" spans="1:19" hidden="1" x14ac:dyDescent="0.25">
      <c r="A1203" t="s">
        <v>134</v>
      </c>
      <c r="B1203" t="s">
        <v>78</v>
      </c>
      <c r="C1203" t="s">
        <v>126</v>
      </c>
      <c r="D1203" t="s">
        <v>530</v>
      </c>
      <c r="E1203" t="s">
        <v>90</v>
      </c>
      <c r="F1203" t="s">
        <v>96</v>
      </c>
      <c r="G1203">
        <v>6</v>
      </c>
      <c r="H1203">
        <v>12</v>
      </c>
      <c r="I1203">
        <v>12</v>
      </c>
      <c r="J1203">
        <v>12</v>
      </c>
      <c r="K1203" s="6">
        <v>99.8</v>
      </c>
      <c r="L1203" s="6">
        <v>0</v>
      </c>
      <c r="M1203" s="6">
        <v>99.8</v>
      </c>
      <c r="N1203">
        <v>0</v>
      </c>
      <c r="O1203" s="6">
        <v>0</v>
      </c>
      <c r="P1203">
        <v>0</v>
      </c>
      <c r="Q1203" s="8">
        <v>182.95</v>
      </c>
      <c r="R1203" s="8">
        <v>182.6</v>
      </c>
      <c r="S1203" s="10" t="s">
        <v>587</v>
      </c>
    </row>
    <row r="1204" spans="1:19" hidden="1" x14ac:dyDescent="0.25">
      <c r="A1204" t="s">
        <v>134</v>
      </c>
      <c r="B1204" t="s">
        <v>78</v>
      </c>
      <c r="C1204" t="s">
        <v>126</v>
      </c>
      <c r="D1204" t="s">
        <v>530</v>
      </c>
      <c r="E1204" t="s">
        <v>90</v>
      </c>
      <c r="F1204" t="s">
        <v>6</v>
      </c>
      <c r="G1204">
        <v>13</v>
      </c>
      <c r="H1204">
        <v>12</v>
      </c>
      <c r="I1204">
        <v>12</v>
      </c>
      <c r="J1204">
        <v>12</v>
      </c>
      <c r="K1204" s="6">
        <v>99.54</v>
      </c>
      <c r="L1204" s="6">
        <v>0</v>
      </c>
      <c r="M1204" s="6">
        <v>99.54</v>
      </c>
      <c r="N1204">
        <v>0</v>
      </c>
      <c r="O1204" s="6">
        <v>0</v>
      </c>
      <c r="P1204">
        <v>0</v>
      </c>
      <c r="Q1204" s="8">
        <v>182.95</v>
      </c>
      <c r="R1204" s="8">
        <v>182.12</v>
      </c>
      <c r="S1204" s="10" t="s">
        <v>587</v>
      </c>
    </row>
    <row r="1205" spans="1:19" hidden="1" x14ac:dyDescent="0.25">
      <c r="A1205" t="s">
        <v>134</v>
      </c>
      <c r="B1205" t="s">
        <v>78</v>
      </c>
      <c r="C1205" t="s">
        <v>126</v>
      </c>
      <c r="D1205" t="s">
        <v>531</v>
      </c>
      <c r="E1205" t="s">
        <v>90</v>
      </c>
      <c r="F1205" t="s">
        <v>90</v>
      </c>
      <c r="G1205">
        <v>0</v>
      </c>
      <c r="H1205">
        <v>14</v>
      </c>
      <c r="I1205">
        <v>14</v>
      </c>
      <c r="J1205">
        <v>14</v>
      </c>
      <c r="K1205" s="6">
        <v>100</v>
      </c>
      <c r="L1205" s="6">
        <v>0</v>
      </c>
      <c r="M1205" s="6">
        <v>100</v>
      </c>
      <c r="N1205">
        <v>0</v>
      </c>
      <c r="O1205" s="6">
        <v>0</v>
      </c>
      <c r="P1205">
        <v>0</v>
      </c>
      <c r="Q1205" s="8">
        <v>194.14</v>
      </c>
      <c r="R1205" s="8">
        <v>194.14</v>
      </c>
      <c r="S1205" s="9" t="s">
        <v>617</v>
      </c>
    </row>
    <row r="1206" spans="1:19" hidden="1" x14ac:dyDescent="0.25">
      <c r="A1206" t="s">
        <v>134</v>
      </c>
      <c r="B1206" t="s">
        <v>78</v>
      </c>
      <c r="C1206" t="s">
        <v>126</v>
      </c>
      <c r="D1206" t="s">
        <v>531</v>
      </c>
      <c r="E1206" t="s">
        <v>90</v>
      </c>
      <c r="F1206" t="s">
        <v>91</v>
      </c>
      <c r="G1206">
        <v>1</v>
      </c>
      <c r="H1206">
        <v>14</v>
      </c>
      <c r="I1206">
        <v>14</v>
      </c>
      <c r="J1206">
        <v>14</v>
      </c>
      <c r="K1206" s="6">
        <v>100</v>
      </c>
      <c r="L1206" s="6">
        <v>0</v>
      </c>
      <c r="M1206" s="6">
        <v>100</v>
      </c>
      <c r="N1206">
        <v>0</v>
      </c>
      <c r="O1206" s="6">
        <v>0</v>
      </c>
      <c r="P1206">
        <v>0</v>
      </c>
      <c r="Q1206" s="8">
        <v>194.14</v>
      </c>
      <c r="R1206" s="8">
        <v>194.14</v>
      </c>
      <c r="S1206" s="10" t="s">
        <v>607</v>
      </c>
    </row>
    <row r="1207" spans="1:19" hidden="1" x14ac:dyDescent="0.25">
      <c r="A1207" t="s">
        <v>134</v>
      </c>
      <c r="B1207" t="s">
        <v>78</v>
      </c>
      <c r="C1207" t="s">
        <v>126</v>
      </c>
      <c r="D1207" t="s">
        <v>531</v>
      </c>
      <c r="E1207" t="s">
        <v>90</v>
      </c>
      <c r="F1207" t="s">
        <v>94</v>
      </c>
      <c r="G1207">
        <v>2</v>
      </c>
      <c r="H1207">
        <v>14</v>
      </c>
      <c r="I1207">
        <v>14</v>
      </c>
      <c r="J1207">
        <v>14</v>
      </c>
      <c r="K1207" s="6">
        <v>100</v>
      </c>
      <c r="L1207" s="6">
        <v>0</v>
      </c>
      <c r="M1207" s="6">
        <v>100</v>
      </c>
      <c r="N1207">
        <v>0</v>
      </c>
      <c r="O1207" s="6">
        <v>0</v>
      </c>
      <c r="P1207">
        <v>0</v>
      </c>
      <c r="Q1207" s="8">
        <v>194.14</v>
      </c>
      <c r="R1207" s="8">
        <v>194.14</v>
      </c>
      <c r="S1207" s="10" t="s">
        <v>607</v>
      </c>
    </row>
    <row r="1208" spans="1:19" hidden="1" x14ac:dyDescent="0.25">
      <c r="A1208" t="s">
        <v>134</v>
      </c>
      <c r="B1208" t="s">
        <v>78</v>
      </c>
      <c r="C1208" t="s">
        <v>126</v>
      </c>
      <c r="D1208" t="s">
        <v>531</v>
      </c>
      <c r="E1208" t="s">
        <v>90</v>
      </c>
      <c r="F1208" t="s">
        <v>96</v>
      </c>
      <c r="G1208">
        <v>6</v>
      </c>
      <c r="H1208">
        <v>14</v>
      </c>
      <c r="I1208">
        <v>14</v>
      </c>
      <c r="J1208">
        <v>14</v>
      </c>
      <c r="K1208" s="6">
        <v>100</v>
      </c>
      <c r="L1208" s="6">
        <v>0</v>
      </c>
      <c r="M1208" s="6">
        <v>100</v>
      </c>
      <c r="N1208">
        <v>0</v>
      </c>
      <c r="O1208" s="6">
        <v>0</v>
      </c>
      <c r="P1208">
        <v>0</v>
      </c>
      <c r="Q1208" s="8">
        <v>194.14</v>
      </c>
      <c r="R1208" s="8">
        <v>194.14</v>
      </c>
      <c r="S1208" s="10" t="s">
        <v>607</v>
      </c>
    </row>
    <row r="1209" spans="1:19" hidden="1" x14ac:dyDescent="0.25">
      <c r="A1209" t="s">
        <v>134</v>
      </c>
      <c r="B1209" t="s">
        <v>78</v>
      </c>
      <c r="C1209" t="s">
        <v>126</v>
      </c>
      <c r="D1209" t="s">
        <v>531</v>
      </c>
      <c r="E1209" t="s">
        <v>90</v>
      </c>
      <c r="F1209" t="s">
        <v>6</v>
      </c>
      <c r="G1209">
        <v>13</v>
      </c>
      <c r="H1209">
        <v>14</v>
      </c>
      <c r="I1209">
        <v>14</v>
      </c>
      <c r="J1209">
        <v>14</v>
      </c>
      <c r="K1209" s="6">
        <v>99.11</v>
      </c>
      <c r="L1209" s="6">
        <v>0</v>
      </c>
      <c r="M1209" s="6">
        <v>99.11</v>
      </c>
      <c r="N1209">
        <v>0</v>
      </c>
      <c r="O1209" s="6">
        <v>0</v>
      </c>
      <c r="P1209">
        <v>0</v>
      </c>
      <c r="Q1209" s="8">
        <v>194.14</v>
      </c>
      <c r="R1209" s="8">
        <v>192.41</v>
      </c>
      <c r="S1209" s="10" t="s">
        <v>607</v>
      </c>
    </row>
    <row r="1210" spans="1:19" hidden="1" x14ac:dyDescent="0.25">
      <c r="A1210" t="s">
        <v>134</v>
      </c>
      <c r="B1210" t="s">
        <v>78</v>
      </c>
      <c r="C1210" t="s">
        <v>126</v>
      </c>
      <c r="D1210" t="s">
        <v>532</v>
      </c>
      <c r="E1210" t="s">
        <v>90</v>
      </c>
      <c r="F1210" t="s">
        <v>90</v>
      </c>
      <c r="G1210">
        <v>0</v>
      </c>
      <c r="H1210">
        <v>12</v>
      </c>
      <c r="I1210">
        <v>12</v>
      </c>
      <c r="J1210">
        <v>12</v>
      </c>
      <c r="K1210" s="6">
        <v>100</v>
      </c>
      <c r="L1210" s="6">
        <v>0</v>
      </c>
      <c r="M1210" s="6">
        <v>100</v>
      </c>
      <c r="N1210">
        <v>0</v>
      </c>
      <c r="O1210" s="6">
        <v>0</v>
      </c>
      <c r="P1210">
        <v>0</v>
      </c>
      <c r="Q1210" s="8">
        <v>179.23</v>
      </c>
      <c r="R1210" s="8">
        <v>179.23</v>
      </c>
      <c r="S1210" s="9" t="s">
        <v>586</v>
      </c>
    </row>
    <row r="1211" spans="1:19" hidden="1" x14ac:dyDescent="0.25">
      <c r="A1211" t="s">
        <v>134</v>
      </c>
      <c r="B1211" t="s">
        <v>78</v>
      </c>
      <c r="C1211" t="s">
        <v>126</v>
      </c>
      <c r="D1211" t="s">
        <v>532</v>
      </c>
      <c r="E1211" t="s">
        <v>90</v>
      </c>
      <c r="F1211" t="s">
        <v>91</v>
      </c>
      <c r="G1211">
        <v>1</v>
      </c>
      <c r="H1211">
        <v>12</v>
      </c>
      <c r="I1211">
        <v>12</v>
      </c>
      <c r="J1211">
        <v>12</v>
      </c>
      <c r="K1211" s="6">
        <v>100</v>
      </c>
      <c r="L1211" s="6">
        <v>0</v>
      </c>
      <c r="M1211" s="6">
        <v>100</v>
      </c>
      <c r="N1211">
        <v>0</v>
      </c>
      <c r="O1211" s="6">
        <v>0</v>
      </c>
      <c r="P1211">
        <v>0</v>
      </c>
      <c r="Q1211" s="8">
        <v>179.23</v>
      </c>
      <c r="R1211" s="8">
        <v>179.23</v>
      </c>
      <c r="S1211" s="10" t="s">
        <v>587</v>
      </c>
    </row>
    <row r="1212" spans="1:19" hidden="1" x14ac:dyDescent="0.25">
      <c r="A1212" t="s">
        <v>134</v>
      </c>
      <c r="B1212" t="s">
        <v>78</v>
      </c>
      <c r="C1212" t="s">
        <v>126</v>
      </c>
      <c r="D1212" t="s">
        <v>532</v>
      </c>
      <c r="E1212" t="s">
        <v>90</v>
      </c>
      <c r="F1212" t="s">
        <v>94</v>
      </c>
      <c r="G1212">
        <v>2</v>
      </c>
      <c r="H1212">
        <v>12</v>
      </c>
      <c r="I1212">
        <v>12</v>
      </c>
      <c r="J1212">
        <v>12</v>
      </c>
      <c r="K1212" s="6">
        <v>99.87</v>
      </c>
      <c r="L1212" s="6">
        <v>0</v>
      </c>
      <c r="M1212" s="6">
        <v>99.87</v>
      </c>
      <c r="N1212">
        <v>0</v>
      </c>
      <c r="O1212" s="6">
        <v>0</v>
      </c>
      <c r="P1212">
        <v>0</v>
      </c>
      <c r="Q1212" s="8">
        <v>179.23</v>
      </c>
      <c r="R1212" s="8">
        <v>179</v>
      </c>
      <c r="S1212" s="10" t="s">
        <v>587</v>
      </c>
    </row>
    <row r="1213" spans="1:19" hidden="1" x14ac:dyDescent="0.25">
      <c r="A1213" t="s">
        <v>134</v>
      </c>
      <c r="B1213" t="s">
        <v>78</v>
      </c>
      <c r="C1213" t="s">
        <v>126</v>
      </c>
      <c r="D1213" t="s">
        <v>532</v>
      </c>
      <c r="E1213" t="s">
        <v>90</v>
      </c>
      <c r="F1213" t="s">
        <v>96</v>
      </c>
      <c r="G1213">
        <v>6</v>
      </c>
      <c r="H1213">
        <v>12</v>
      </c>
      <c r="I1213">
        <v>12</v>
      </c>
      <c r="J1213">
        <v>12</v>
      </c>
      <c r="K1213" s="6">
        <v>99.87</v>
      </c>
      <c r="L1213" s="6">
        <v>0</v>
      </c>
      <c r="M1213" s="6">
        <v>99.87</v>
      </c>
      <c r="N1213">
        <v>0</v>
      </c>
      <c r="O1213" s="6">
        <v>0</v>
      </c>
      <c r="P1213">
        <v>0</v>
      </c>
      <c r="Q1213" s="8">
        <v>179.23</v>
      </c>
      <c r="R1213" s="8">
        <v>179</v>
      </c>
      <c r="S1213" s="10" t="s">
        <v>587</v>
      </c>
    </row>
    <row r="1214" spans="1:19" hidden="1" x14ac:dyDescent="0.25">
      <c r="A1214" t="s">
        <v>134</v>
      </c>
      <c r="B1214" t="s">
        <v>78</v>
      </c>
      <c r="C1214" t="s">
        <v>126</v>
      </c>
      <c r="D1214" t="s">
        <v>532</v>
      </c>
      <c r="E1214" t="s">
        <v>90</v>
      </c>
      <c r="F1214" t="s">
        <v>6</v>
      </c>
      <c r="G1214">
        <v>13</v>
      </c>
      <c r="H1214">
        <v>12</v>
      </c>
      <c r="I1214">
        <v>12</v>
      </c>
      <c r="J1214">
        <v>12</v>
      </c>
      <c r="K1214" s="6">
        <v>99.8</v>
      </c>
      <c r="L1214" s="6">
        <v>0</v>
      </c>
      <c r="M1214" s="6">
        <v>99.8</v>
      </c>
      <c r="N1214">
        <v>0</v>
      </c>
      <c r="O1214" s="6">
        <v>0</v>
      </c>
      <c r="P1214">
        <v>0</v>
      </c>
      <c r="Q1214" s="8">
        <v>179.23</v>
      </c>
      <c r="R1214" s="8">
        <v>178.88</v>
      </c>
      <c r="S1214" s="10" t="s">
        <v>587</v>
      </c>
    </row>
    <row r="1215" spans="1:19" hidden="1" x14ac:dyDescent="0.25">
      <c r="A1215" t="s">
        <v>134</v>
      </c>
      <c r="B1215" t="s">
        <v>78</v>
      </c>
      <c r="C1215" t="s">
        <v>126</v>
      </c>
      <c r="D1215" t="s">
        <v>533</v>
      </c>
      <c r="E1215" t="s">
        <v>94</v>
      </c>
      <c r="F1215" t="s">
        <v>94</v>
      </c>
      <c r="G1215">
        <v>0</v>
      </c>
      <c r="H1215">
        <v>7</v>
      </c>
      <c r="I1215">
        <v>7</v>
      </c>
      <c r="J1215">
        <v>7</v>
      </c>
      <c r="K1215" s="6">
        <v>100</v>
      </c>
      <c r="L1215" s="6">
        <v>0</v>
      </c>
      <c r="M1215" s="6">
        <v>100</v>
      </c>
      <c r="N1215">
        <v>0</v>
      </c>
      <c r="O1215" s="6">
        <v>0</v>
      </c>
      <c r="P1215">
        <v>0</v>
      </c>
      <c r="Q1215" s="8">
        <v>175.23</v>
      </c>
      <c r="R1215" s="8">
        <v>175.23</v>
      </c>
      <c r="S1215" s="9" t="s">
        <v>549</v>
      </c>
    </row>
    <row r="1216" spans="1:19" hidden="1" x14ac:dyDescent="0.25">
      <c r="A1216" t="s">
        <v>134</v>
      </c>
      <c r="B1216" t="s">
        <v>78</v>
      </c>
      <c r="C1216" t="s">
        <v>126</v>
      </c>
      <c r="D1216" t="s">
        <v>533</v>
      </c>
      <c r="E1216" t="s">
        <v>94</v>
      </c>
      <c r="F1216" t="s">
        <v>96</v>
      </c>
      <c r="G1216">
        <v>4</v>
      </c>
      <c r="H1216">
        <v>7</v>
      </c>
      <c r="I1216">
        <v>7</v>
      </c>
      <c r="J1216">
        <v>7</v>
      </c>
      <c r="K1216" s="6">
        <v>100</v>
      </c>
      <c r="L1216" s="6">
        <v>0</v>
      </c>
      <c r="M1216" s="6">
        <v>100</v>
      </c>
      <c r="N1216">
        <v>0</v>
      </c>
      <c r="O1216" s="6">
        <v>0</v>
      </c>
      <c r="P1216">
        <v>0</v>
      </c>
      <c r="Q1216" s="8">
        <v>175.23</v>
      </c>
      <c r="R1216" s="8">
        <v>175.23</v>
      </c>
      <c r="S1216" s="9" t="s">
        <v>550</v>
      </c>
    </row>
    <row r="1217" spans="1:19" hidden="1" x14ac:dyDescent="0.25">
      <c r="A1217" t="s">
        <v>134</v>
      </c>
      <c r="B1217" t="s">
        <v>78</v>
      </c>
      <c r="C1217" t="s">
        <v>126</v>
      </c>
      <c r="D1217" t="s">
        <v>533</v>
      </c>
      <c r="E1217" t="s">
        <v>94</v>
      </c>
      <c r="F1217" t="s">
        <v>6</v>
      </c>
      <c r="G1217">
        <v>11</v>
      </c>
      <c r="H1217">
        <v>7</v>
      </c>
      <c r="I1217">
        <v>7</v>
      </c>
      <c r="J1217">
        <v>7</v>
      </c>
      <c r="K1217" s="6">
        <v>99.67</v>
      </c>
      <c r="L1217" s="6">
        <v>0</v>
      </c>
      <c r="M1217" s="6">
        <v>99.67</v>
      </c>
      <c r="N1217">
        <v>0</v>
      </c>
      <c r="O1217" s="6">
        <v>0</v>
      </c>
      <c r="P1217">
        <v>0</v>
      </c>
      <c r="Q1217" s="8">
        <v>175.23</v>
      </c>
      <c r="R1217" s="8">
        <v>174.66</v>
      </c>
      <c r="S1217" s="9" t="s">
        <v>550</v>
      </c>
    </row>
    <row r="1218" spans="1:19" hidden="1" x14ac:dyDescent="0.25">
      <c r="A1218" t="s">
        <v>134</v>
      </c>
      <c r="B1218" t="s">
        <v>78</v>
      </c>
      <c r="C1218" t="s">
        <v>126</v>
      </c>
      <c r="D1218" t="s">
        <v>545</v>
      </c>
      <c r="E1218" t="s">
        <v>94</v>
      </c>
      <c r="F1218" t="s">
        <v>94</v>
      </c>
      <c r="G1218">
        <v>0</v>
      </c>
      <c r="H1218">
        <v>3</v>
      </c>
      <c r="I1218">
        <v>3</v>
      </c>
      <c r="J1218">
        <v>3</v>
      </c>
      <c r="K1218" s="6">
        <v>100</v>
      </c>
      <c r="L1218" s="6">
        <v>0</v>
      </c>
      <c r="M1218" s="6">
        <v>100</v>
      </c>
      <c r="N1218">
        <v>0</v>
      </c>
      <c r="O1218" s="6">
        <v>0</v>
      </c>
      <c r="P1218">
        <v>0</v>
      </c>
      <c r="Q1218" s="8">
        <v>157.53</v>
      </c>
      <c r="R1218" s="8">
        <v>157.53</v>
      </c>
      <c r="S1218" s="9" t="s">
        <v>525</v>
      </c>
    </row>
    <row r="1219" spans="1:19" hidden="1" x14ac:dyDescent="0.25">
      <c r="A1219" t="s">
        <v>134</v>
      </c>
      <c r="B1219" t="s">
        <v>78</v>
      </c>
      <c r="C1219" t="s">
        <v>126</v>
      </c>
      <c r="D1219" t="s">
        <v>545</v>
      </c>
      <c r="E1219" t="s">
        <v>94</v>
      </c>
      <c r="F1219" t="s">
        <v>96</v>
      </c>
      <c r="G1219">
        <v>4</v>
      </c>
      <c r="H1219">
        <v>3</v>
      </c>
      <c r="I1219">
        <v>3</v>
      </c>
      <c r="J1219">
        <v>3</v>
      </c>
      <c r="K1219" s="6">
        <v>100</v>
      </c>
      <c r="L1219" s="6">
        <v>0</v>
      </c>
      <c r="M1219" s="6">
        <v>100</v>
      </c>
      <c r="N1219">
        <v>0</v>
      </c>
      <c r="O1219" s="6">
        <v>0</v>
      </c>
      <c r="P1219">
        <v>0</v>
      </c>
      <c r="Q1219" s="8">
        <v>157.53</v>
      </c>
      <c r="R1219" s="8">
        <v>157.53</v>
      </c>
      <c r="S1219" s="9" t="s">
        <v>526</v>
      </c>
    </row>
    <row r="1220" spans="1:19" hidden="1" x14ac:dyDescent="0.25">
      <c r="A1220" t="s">
        <v>134</v>
      </c>
      <c r="B1220" t="s">
        <v>78</v>
      </c>
      <c r="C1220" t="s">
        <v>126</v>
      </c>
      <c r="D1220" t="s">
        <v>545</v>
      </c>
      <c r="E1220" t="s">
        <v>94</v>
      </c>
      <c r="F1220" t="s">
        <v>6</v>
      </c>
      <c r="G1220">
        <v>11</v>
      </c>
      <c r="H1220">
        <v>3</v>
      </c>
      <c r="I1220">
        <v>3</v>
      </c>
      <c r="J1220">
        <v>3</v>
      </c>
      <c r="K1220" s="6">
        <v>100</v>
      </c>
      <c r="L1220" s="6">
        <v>0</v>
      </c>
      <c r="M1220" s="6">
        <v>100</v>
      </c>
      <c r="N1220">
        <v>0</v>
      </c>
      <c r="O1220" s="6">
        <v>0</v>
      </c>
      <c r="P1220">
        <v>0</v>
      </c>
      <c r="Q1220" s="8">
        <v>157.53</v>
      </c>
      <c r="R1220" s="8">
        <v>157.53</v>
      </c>
      <c r="S1220" s="9" t="s">
        <v>526</v>
      </c>
    </row>
    <row r="1221" spans="1:19" hidden="1" x14ac:dyDescent="0.25">
      <c r="A1221" t="s">
        <v>134</v>
      </c>
      <c r="B1221" t="s">
        <v>78</v>
      </c>
      <c r="C1221" t="s">
        <v>126</v>
      </c>
      <c r="D1221" t="s">
        <v>570</v>
      </c>
      <c r="E1221" t="s">
        <v>94</v>
      </c>
      <c r="F1221" t="s">
        <v>94</v>
      </c>
      <c r="G1221">
        <v>0</v>
      </c>
      <c r="H1221">
        <v>3</v>
      </c>
      <c r="I1221">
        <v>3</v>
      </c>
      <c r="J1221">
        <v>3</v>
      </c>
      <c r="K1221" s="6">
        <v>100</v>
      </c>
      <c r="L1221" s="6">
        <v>0</v>
      </c>
      <c r="M1221" s="6">
        <v>100</v>
      </c>
      <c r="N1221">
        <v>0</v>
      </c>
      <c r="O1221" s="6">
        <v>0</v>
      </c>
      <c r="P1221">
        <v>0</v>
      </c>
      <c r="Q1221" s="8">
        <v>127.48</v>
      </c>
      <c r="R1221" s="8">
        <v>127.48</v>
      </c>
      <c r="S1221" s="9" t="s">
        <v>525</v>
      </c>
    </row>
    <row r="1222" spans="1:19" hidden="1" x14ac:dyDescent="0.25">
      <c r="A1222" t="s">
        <v>134</v>
      </c>
      <c r="B1222" t="s">
        <v>78</v>
      </c>
      <c r="C1222" t="s">
        <v>126</v>
      </c>
      <c r="D1222" t="s">
        <v>570</v>
      </c>
      <c r="E1222" t="s">
        <v>94</v>
      </c>
      <c r="F1222" t="s">
        <v>96</v>
      </c>
      <c r="G1222">
        <v>4</v>
      </c>
      <c r="H1222">
        <v>3</v>
      </c>
      <c r="I1222">
        <v>3</v>
      </c>
      <c r="J1222">
        <v>3</v>
      </c>
      <c r="K1222" s="6">
        <v>100</v>
      </c>
      <c r="L1222" s="6">
        <v>0</v>
      </c>
      <c r="M1222" s="6">
        <v>100</v>
      </c>
      <c r="N1222">
        <v>0</v>
      </c>
      <c r="O1222" s="6">
        <v>0</v>
      </c>
      <c r="P1222">
        <v>0</v>
      </c>
      <c r="Q1222" s="8">
        <v>127.48</v>
      </c>
      <c r="R1222" s="8">
        <v>127.48</v>
      </c>
      <c r="S1222" s="9" t="s">
        <v>526</v>
      </c>
    </row>
    <row r="1223" spans="1:19" hidden="1" x14ac:dyDescent="0.25">
      <c r="A1223" t="s">
        <v>134</v>
      </c>
      <c r="B1223" t="s">
        <v>78</v>
      </c>
      <c r="C1223" t="s">
        <v>126</v>
      </c>
      <c r="D1223" t="s">
        <v>570</v>
      </c>
      <c r="E1223" t="s">
        <v>94</v>
      </c>
      <c r="F1223" t="s">
        <v>6</v>
      </c>
      <c r="G1223">
        <v>11</v>
      </c>
      <c r="H1223">
        <v>3</v>
      </c>
      <c r="I1223">
        <v>3</v>
      </c>
      <c r="J1223">
        <v>3</v>
      </c>
      <c r="K1223" s="6">
        <v>100</v>
      </c>
      <c r="L1223" s="6">
        <v>0</v>
      </c>
      <c r="M1223" s="6">
        <v>100</v>
      </c>
      <c r="N1223">
        <v>0</v>
      </c>
      <c r="O1223" s="6">
        <v>0</v>
      </c>
      <c r="P1223">
        <v>0</v>
      </c>
      <c r="Q1223" s="8">
        <v>127.48</v>
      </c>
      <c r="R1223" s="8">
        <v>127.48</v>
      </c>
      <c r="S1223" s="9" t="s">
        <v>526</v>
      </c>
    </row>
    <row r="1224" spans="1:19" hidden="1" x14ac:dyDescent="0.25">
      <c r="A1224" t="s">
        <v>134</v>
      </c>
      <c r="B1224" t="s">
        <v>78</v>
      </c>
      <c r="C1224" t="s">
        <v>126</v>
      </c>
      <c r="D1224" t="s">
        <v>572</v>
      </c>
      <c r="E1224" t="s">
        <v>94</v>
      </c>
      <c r="F1224" t="s">
        <v>94</v>
      </c>
      <c r="G1224">
        <v>0</v>
      </c>
      <c r="H1224">
        <v>1</v>
      </c>
      <c r="I1224">
        <v>1</v>
      </c>
      <c r="J1224">
        <v>1</v>
      </c>
      <c r="K1224" s="6">
        <v>100</v>
      </c>
      <c r="L1224" s="6">
        <v>0</v>
      </c>
      <c r="M1224" s="6">
        <v>100</v>
      </c>
      <c r="N1224">
        <v>0</v>
      </c>
      <c r="O1224" s="6">
        <v>0</v>
      </c>
      <c r="P1224">
        <v>0</v>
      </c>
      <c r="Q1224" s="8">
        <v>137.80000000000001</v>
      </c>
      <c r="R1224" s="8">
        <v>137.80000000000001</v>
      </c>
      <c r="S1224" s="9" t="s">
        <v>540</v>
      </c>
    </row>
    <row r="1225" spans="1:19" hidden="1" x14ac:dyDescent="0.25">
      <c r="A1225" t="s">
        <v>134</v>
      </c>
      <c r="B1225" t="s">
        <v>78</v>
      </c>
      <c r="C1225" t="s">
        <v>126</v>
      </c>
      <c r="D1225" t="s">
        <v>572</v>
      </c>
      <c r="E1225" t="s">
        <v>94</v>
      </c>
      <c r="F1225" t="s">
        <v>96</v>
      </c>
      <c r="G1225">
        <v>4</v>
      </c>
      <c r="H1225">
        <v>1</v>
      </c>
      <c r="I1225">
        <v>1</v>
      </c>
      <c r="J1225">
        <v>1</v>
      </c>
      <c r="K1225" s="6">
        <v>100</v>
      </c>
      <c r="L1225" s="6">
        <v>0</v>
      </c>
      <c r="M1225" s="6">
        <v>100</v>
      </c>
      <c r="N1225">
        <v>0</v>
      </c>
      <c r="O1225" s="6">
        <v>0</v>
      </c>
      <c r="P1225">
        <v>0</v>
      </c>
      <c r="Q1225" s="8">
        <v>137.80000000000001</v>
      </c>
      <c r="R1225" s="8">
        <v>137.80000000000001</v>
      </c>
      <c r="S1225" s="9" t="s">
        <v>541</v>
      </c>
    </row>
    <row r="1226" spans="1:19" hidden="1" x14ac:dyDescent="0.25">
      <c r="A1226" t="s">
        <v>134</v>
      </c>
      <c r="B1226" t="s">
        <v>78</v>
      </c>
      <c r="C1226" t="s">
        <v>126</v>
      </c>
      <c r="D1226" t="s">
        <v>572</v>
      </c>
      <c r="E1226" t="s">
        <v>94</v>
      </c>
      <c r="F1226" t="s">
        <v>6</v>
      </c>
      <c r="G1226">
        <v>11</v>
      </c>
      <c r="H1226">
        <v>1</v>
      </c>
      <c r="I1226">
        <v>1</v>
      </c>
      <c r="J1226">
        <v>1</v>
      </c>
      <c r="K1226" s="6">
        <v>97.1</v>
      </c>
      <c r="L1226" s="6">
        <v>-2.9</v>
      </c>
      <c r="M1226" s="6">
        <v>97.1</v>
      </c>
      <c r="N1226">
        <v>0</v>
      </c>
      <c r="O1226" s="6">
        <v>0</v>
      </c>
      <c r="P1226">
        <v>0</v>
      </c>
      <c r="Q1226" s="8">
        <v>137.80000000000001</v>
      </c>
      <c r="R1226" s="8">
        <v>133.80000000000001</v>
      </c>
      <c r="S1226" s="9" t="s">
        <v>541</v>
      </c>
    </row>
    <row r="1227" spans="1:19" hidden="1" x14ac:dyDescent="0.25">
      <c r="A1227" t="s">
        <v>134</v>
      </c>
      <c r="B1227" t="s">
        <v>78</v>
      </c>
      <c r="C1227" t="s">
        <v>126</v>
      </c>
      <c r="D1227" t="s">
        <v>578</v>
      </c>
      <c r="E1227" t="s">
        <v>94</v>
      </c>
      <c r="F1227" t="s">
        <v>94</v>
      </c>
      <c r="G1227">
        <v>0</v>
      </c>
      <c r="H1227">
        <v>1</v>
      </c>
      <c r="I1227">
        <v>1</v>
      </c>
      <c r="J1227">
        <v>1</v>
      </c>
      <c r="K1227" s="6">
        <v>100</v>
      </c>
      <c r="L1227" s="6">
        <v>0</v>
      </c>
      <c r="M1227" s="6">
        <v>100</v>
      </c>
      <c r="N1227">
        <v>0</v>
      </c>
      <c r="O1227" s="6">
        <v>0</v>
      </c>
      <c r="P1227">
        <v>0</v>
      </c>
      <c r="Q1227" s="8">
        <v>151.29</v>
      </c>
      <c r="R1227" s="8">
        <v>151.29</v>
      </c>
      <c r="S1227" s="9" t="s">
        <v>540</v>
      </c>
    </row>
    <row r="1228" spans="1:19" hidden="1" x14ac:dyDescent="0.25">
      <c r="A1228" t="s">
        <v>134</v>
      </c>
      <c r="B1228" t="s">
        <v>78</v>
      </c>
      <c r="C1228" t="s">
        <v>126</v>
      </c>
      <c r="D1228" t="s">
        <v>578</v>
      </c>
      <c r="E1228" t="s">
        <v>94</v>
      </c>
      <c r="F1228" t="s">
        <v>96</v>
      </c>
      <c r="G1228">
        <v>4</v>
      </c>
      <c r="H1228">
        <v>1</v>
      </c>
      <c r="I1228">
        <v>1</v>
      </c>
      <c r="J1228">
        <v>1</v>
      </c>
      <c r="K1228" s="6">
        <v>100</v>
      </c>
      <c r="L1228" s="6">
        <v>0</v>
      </c>
      <c r="M1228" s="6">
        <v>100</v>
      </c>
      <c r="N1228">
        <v>0</v>
      </c>
      <c r="O1228" s="6">
        <v>0</v>
      </c>
      <c r="P1228">
        <v>0</v>
      </c>
      <c r="Q1228" s="8">
        <v>151.29</v>
      </c>
      <c r="R1228" s="8">
        <v>151.29</v>
      </c>
      <c r="S1228" s="9" t="s">
        <v>541</v>
      </c>
    </row>
    <row r="1229" spans="1:19" hidden="1" x14ac:dyDescent="0.25">
      <c r="A1229" t="s">
        <v>134</v>
      </c>
      <c r="B1229" t="s">
        <v>78</v>
      </c>
      <c r="C1229" t="s">
        <v>126</v>
      </c>
      <c r="D1229" t="s">
        <v>578</v>
      </c>
      <c r="E1229" t="s">
        <v>94</v>
      </c>
      <c r="F1229" t="s">
        <v>6</v>
      </c>
      <c r="G1229">
        <v>11</v>
      </c>
      <c r="H1229">
        <v>1</v>
      </c>
      <c r="I1229">
        <v>1</v>
      </c>
      <c r="J1229">
        <v>1</v>
      </c>
      <c r="K1229" s="6">
        <v>100</v>
      </c>
      <c r="L1229" s="6">
        <v>0</v>
      </c>
      <c r="M1229" s="6">
        <v>100</v>
      </c>
      <c r="N1229">
        <v>0</v>
      </c>
      <c r="O1229" s="6">
        <v>0</v>
      </c>
      <c r="P1229">
        <v>0</v>
      </c>
      <c r="Q1229" s="8">
        <v>151.29</v>
      </c>
      <c r="R1229" s="8">
        <v>151.29</v>
      </c>
      <c r="S1229" s="9" t="s">
        <v>541</v>
      </c>
    </row>
    <row r="1230" spans="1:19" hidden="1" x14ac:dyDescent="0.25">
      <c r="A1230" t="s">
        <v>134</v>
      </c>
      <c r="B1230" t="s">
        <v>78</v>
      </c>
      <c r="C1230" t="s">
        <v>126</v>
      </c>
      <c r="D1230" t="s">
        <v>580</v>
      </c>
      <c r="E1230" t="s">
        <v>94</v>
      </c>
      <c r="F1230" t="s">
        <v>94</v>
      </c>
      <c r="G1230">
        <v>0</v>
      </c>
      <c r="H1230">
        <v>11</v>
      </c>
      <c r="I1230">
        <v>11</v>
      </c>
      <c r="J1230">
        <v>11</v>
      </c>
      <c r="K1230" s="6">
        <v>100</v>
      </c>
      <c r="L1230" s="6">
        <v>0</v>
      </c>
      <c r="M1230" s="6">
        <v>100</v>
      </c>
      <c r="N1230">
        <v>0</v>
      </c>
      <c r="O1230" s="6">
        <v>0</v>
      </c>
      <c r="P1230">
        <v>0</v>
      </c>
      <c r="Q1230" s="8">
        <v>156.5</v>
      </c>
      <c r="R1230" s="8">
        <v>156.5</v>
      </c>
      <c r="S1230" s="9" t="s">
        <v>528</v>
      </c>
    </row>
    <row r="1231" spans="1:19" hidden="1" x14ac:dyDescent="0.25">
      <c r="A1231" t="s">
        <v>134</v>
      </c>
      <c r="B1231" t="s">
        <v>78</v>
      </c>
      <c r="C1231" t="s">
        <v>126</v>
      </c>
      <c r="D1231" t="s">
        <v>580</v>
      </c>
      <c r="E1231" t="s">
        <v>94</v>
      </c>
      <c r="F1231" t="s">
        <v>96</v>
      </c>
      <c r="G1231">
        <v>4</v>
      </c>
      <c r="H1231">
        <v>11</v>
      </c>
      <c r="I1231">
        <v>11</v>
      </c>
      <c r="J1231">
        <v>11</v>
      </c>
      <c r="K1231" s="6">
        <v>100</v>
      </c>
      <c r="L1231" s="6">
        <v>0</v>
      </c>
      <c r="M1231" s="6">
        <v>100</v>
      </c>
      <c r="N1231">
        <v>0</v>
      </c>
      <c r="O1231" s="6">
        <v>0</v>
      </c>
      <c r="P1231">
        <v>0</v>
      </c>
      <c r="Q1231" s="8">
        <v>156.5</v>
      </c>
      <c r="R1231" s="8">
        <v>156.5</v>
      </c>
      <c r="S1231" s="10" t="s">
        <v>529</v>
      </c>
    </row>
    <row r="1232" spans="1:19" hidden="1" x14ac:dyDescent="0.25">
      <c r="A1232" t="s">
        <v>134</v>
      </c>
      <c r="B1232" t="s">
        <v>78</v>
      </c>
      <c r="C1232" t="s">
        <v>126</v>
      </c>
      <c r="D1232" t="s">
        <v>580</v>
      </c>
      <c r="E1232" t="s">
        <v>94</v>
      </c>
      <c r="F1232" t="s">
        <v>6</v>
      </c>
      <c r="G1232">
        <v>11</v>
      </c>
      <c r="H1232">
        <v>11</v>
      </c>
      <c r="I1232">
        <v>11</v>
      </c>
      <c r="J1232">
        <v>11</v>
      </c>
      <c r="K1232" s="6">
        <v>100</v>
      </c>
      <c r="L1232" s="6">
        <v>0</v>
      </c>
      <c r="M1232" s="6">
        <v>100</v>
      </c>
      <c r="N1232">
        <v>0</v>
      </c>
      <c r="O1232" s="6">
        <v>0</v>
      </c>
      <c r="P1232">
        <v>0</v>
      </c>
      <c r="Q1232" s="8">
        <v>156.5</v>
      </c>
      <c r="R1232" s="8">
        <v>156.5</v>
      </c>
      <c r="S1232" s="10" t="s">
        <v>529</v>
      </c>
    </row>
    <row r="1233" spans="1:19" hidden="1" x14ac:dyDescent="0.25">
      <c r="A1233" t="s">
        <v>134</v>
      </c>
      <c r="B1233" t="s">
        <v>78</v>
      </c>
      <c r="C1233" t="s">
        <v>126</v>
      </c>
      <c r="D1233" t="s">
        <v>582</v>
      </c>
      <c r="E1233" t="s">
        <v>94</v>
      </c>
      <c r="F1233" t="s">
        <v>94</v>
      </c>
      <c r="G1233">
        <v>0</v>
      </c>
      <c r="H1233">
        <v>12</v>
      </c>
      <c r="I1233">
        <v>12</v>
      </c>
      <c r="J1233">
        <v>12</v>
      </c>
      <c r="K1233" s="6">
        <v>100</v>
      </c>
      <c r="L1233" s="6">
        <v>0</v>
      </c>
      <c r="M1233" s="6">
        <v>100</v>
      </c>
      <c r="N1233">
        <v>0</v>
      </c>
      <c r="O1233" s="6">
        <v>0</v>
      </c>
      <c r="P1233">
        <v>0</v>
      </c>
      <c r="Q1233" s="8">
        <v>154.86000000000001</v>
      </c>
      <c r="R1233" s="8">
        <v>154.86000000000001</v>
      </c>
      <c r="S1233" s="9" t="s">
        <v>586</v>
      </c>
    </row>
    <row r="1234" spans="1:19" hidden="1" x14ac:dyDescent="0.25">
      <c r="A1234" t="s">
        <v>134</v>
      </c>
      <c r="B1234" t="s">
        <v>78</v>
      </c>
      <c r="C1234" t="s">
        <v>126</v>
      </c>
      <c r="D1234" t="s">
        <v>582</v>
      </c>
      <c r="E1234" t="s">
        <v>94</v>
      </c>
      <c r="F1234" t="s">
        <v>96</v>
      </c>
      <c r="G1234">
        <v>4</v>
      </c>
      <c r="H1234">
        <v>12</v>
      </c>
      <c r="I1234">
        <v>12</v>
      </c>
      <c r="J1234">
        <v>12</v>
      </c>
      <c r="K1234" s="6">
        <v>100</v>
      </c>
      <c r="L1234" s="6">
        <v>0</v>
      </c>
      <c r="M1234" s="6">
        <v>100</v>
      </c>
      <c r="N1234">
        <v>0</v>
      </c>
      <c r="O1234" s="6">
        <v>0</v>
      </c>
      <c r="P1234">
        <v>0</v>
      </c>
      <c r="Q1234" s="8">
        <v>154.86000000000001</v>
      </c>
      <c r="R1234" s="8">
        <v>154.86000000000001</v>
      </c>
      <c r="S1234" s="10" t="s">
        <v>587</v>
      </c>
    </row>
    <row r="1235" spans="1:19" hidden="1" x14ac:dyDescent="0.25">
      <c r="A1235" t="s">
        <v>134</v>
      </c>
      <c r="B1235" t="s">
        <v>78</v>
      </c>
      <c r="C1235" t="s">
        <v>126</v>
      </c>
      <c r="D1235" t="s">
        <v>582</v>
      </c>
      <c r="E1235" t="s">
        <v>94</v>
      </c>
      <c r="F1235" t="s">
        <v>6</v>
      </c>
      <c r="G1235">
        <v>11</v>
      </c>
      <c r="H1235">
        <v>12</v>
      </c>
      <c r="I1235">
        <v>12</v>
      </c>
      <c r="J1235">
        <v>12</v>
      </c>
      <c r="K1235" s="6">
        <v>100</v>
      </c>
      <c r="L1235" s="6">
        <v>0</v>
      </c>
      <c r="M1235" s="6">
        <v>100</v>
      </c>
      <c r="N1235">
        <v>0</v>
      </c>
      <c r="O1235" s="6">
        <v>0</v>
      </c>
      <c r="P1235">
        <v>0</v>
      </c>
      <c r="Q1235" s="8">
        <v>154.86000000000001</v>
      </c>
      <c r="R1235" s="8">
        <v>154.86000000000001</v>
      </c>
      <c r="S1235" s="10" t="s">
        <v>587</v>
      </c>
    </row>
    <row r="1236" spans="1:19" hidden="1" x14ac:dyDescent="0.25">
      <c r="A1236" t="s">
        <v>134</v>
      </c>
      <c r="B1236" t="s">
        <v>78</v>
      </c>
      <c r="C1236" t="s">
        <v>126</v>
      </c>
      <c r="D1236" t="s">
        <v>583</v>
      </c>
      <c r="E1236" t="s">
        <v>94</v>
      </c>
      <c r="F1236" t="s">
        <v>94</v>
      </c>
      <c r="G1236">
        <v>0</v>
      </c>
      <c r="H1236">
        <v>13</v>
      </c>
      <c r="I1236">
        <v>13</v>
      </c>
      <c r="J1236">
        <v>13</v>
      </c>
      <c r="K1236" s="6">
        <v>100</v>
      </c>
      <c r="L1236" s="6">
        <v>0</v>
      </c>
      <c r="M1236" s="6">
        <v>100</v>
      </c>
      <c r="N1236">
        <v>0</v>
      </c>
      <c r="O1236" s="6">
        <v>0</v>
      </c>
      <c r="P1236">
        <v>0</v>
      </c>
      <c r="Q1236" s="8">
        <v>179.42</v>
      </c>
      <c r="R1236" s="8">
        <v>179.42</v>
      </c>
      <c r="S1236" s="9" t="s">
        <v>619</v>
      </c>
    </row>
    <row r="1237" spans="1:19" hidden="1" x14ac:dyDescent="0.25">
      <c r="A1237" t="s">
        <v>134</v>
      </c>
      <c r="B1237" t="s">
        <v>78</v>
      </c>
      <c r="C1237" t="s">
        <v>126</v>
      </c>
      <c r="D1237" t="s">
        <v>583</v>
      </c>
      <c r="E1237" t="s">
        <v>94</v>
      </c>
      <c r="F1237" t="s">
        <v>96</v>
      </c>
      <c r="G1237">
        <v>4</v>
      </c>
      <c r="H1237">
        <v>13</v>
      </c>
      <c r="I1237">
        <v>13</v>
      </c>
      <c r="J1237">
        <v>13</v>
      </c>
      <c r="K1237" s="6">
        <v>100</v>
      </c>
      <c r="L1237" s="6">
        <v>0</v>
      </c>
      <c r="M1237" s="6">
        <v>100</v>
      </c>
      <c r="N1237">
        <v>0</v>
      </c>
      <c r="O1237" s="6">
        <v>0</v>
      </c>
      <c r="P1237">
        <v>0</v>
      </c>
      <c r="Q1237" s="8">
        <v>179.42</v>
      </c>
      <c r="R1237" s="8">
        <v>179.42</v>
      </c>
      <c r="S1237" s="10" t="s">
        <v>612</v>
      </c>
    </row>
    <row r="1238" spans="1:19" hidden="1" x14ac:dyDescent="0.25">
      <c r="A1238" t="s">
        <v>134</v>
      </c>
      <c r="B1238" t="s">
        <v>78</v>
      </c>
      <c r="C1238" t="s">
        <v>126</v>
      </c>
      <c r="D1238" t="s">
        <v>583</v>
      </c>
      <c r="E1238" t="s">
        <v>94</v>
      </c>
      <c r="F1238" t="s">
        <v>6</v>
      </c>
      <c r="G1238">
        <v>11</v>
      </c>
      <c r="H1238">
        <v>13</v>
      </c>
      <c r="I1238">
        <v>13</v>
      </c>
      <c r="J1238">
        <v>13</v>
      </c>
      <c r="K1238" s="6">
        <v>100</v>
      </c>
      <c r="L1238" s="6">
        <v>0</v>
      </c>
      <c r="M1238" s="6">
        <v>100</v>
      </c>
      <c r="N1238">
        <v>0</v>
      </c>
      <c r="O1238" s="6">
        <v>0</v>
      </c>
      <c r="P1238">
        <v>0</v>
      </c>
      <c r="Q1238" s="8">
        <v>179.42</v>
      </c>
      <c r="R1238" s="8">
        <v>179.42</v>
      </c>
      <c r="S1238" s="10" t="s">
        <v>612</v>
      </c>
    </row>
    <row r="1239" spans="1:19" hidden="1" x14ac:dyDescent="0.25">
      <c r="A1239" t="s">
        <v>134</v>
      </c>
      <c r="B1239" t="s">
        <v>78</v>
      </c>
      <c r="C1239" t="s">
        <v>126</v>
      </c>
      <c r="D1239" t="s">
        <v>585</v>
      </c>
      <c r="E1239" t="s">
        <v>94</v>
      </c>
      <c r="F1239" t="s">
        <v>94</v>
      </c>
      <c r="G1239">
        <v>0</v>
      </c>
      <c r="H1239">
        <v>14</v>
      </c>
      <c r="I1239">
        <v>14</v>
      </c>
      <c r="J1239">
        <v>14</v>
      </c>
      <c r="K1239" s="6">
        <v>100</v>
      </c>
      <c r="L1239" s="6">
        <v>0</v>
      </c>
      <c r="M1239" s="6">
        <v>100</v>
      </c>
      <c r="N1239">
        <v>0</v>
      </c>
      <c r="O1239" s="6">
        <v>0</v>
      </c>
      <c r="P1239">
        <v>0</v>
      </c>
      <c r="Q1239" s="8">
        <v>191.69</v>
      </c>
      <c r="R1239" s="8">
        <v>191.69</v>
      </c>
      <c r="S1239" s="9" t="s">
        <v>617</v>
      </c>
    </row>
    <row r="1240" spans="1:19" hidden="1" x14ac:dyDescent="0.25">
      <c r="A1240" t="s">
        <v>134</v>
      </c>
      <c r="B1240" t="s">
        <v>78</v>
      </c>
      <c r="C1240" t="s">
        <v>126</v>
      </c>
      <c r="D1240" t="s">
        <v>585</v>
      </c>
      <c r="E1240" t="s">
        <v>94</v>
      </c>
      <c r="F1240" t="s">
        <v>96</v>
      </c>
      <c r="G1240">
        <v>4</v>
      </c>
      <c r="H1240">
        <v>14</v>
      </c>
      <c r="I1240">
        <v>14</v>
      </c>
      <c r="J1240">
        <v>14</v>
      </c>
      <c r="K1240" s="6">
        <v>100</v>
      </c>
      <c r="L1240" s="6">
        <v>0</v>
      </c>
      <c r="M1240" s="6">
        <v>100</v>
      </c>
      <c r="N1240">
        <v>0</v>
      </c>
      <c r="O1240" s="6">
        <v>0</v>
      </c>
      <c r="P1240">
        <v>0</v>
      </c>
      <c r="Q1240" s="8">
        <v>191.69</v>
      </c>
      <c r="R1240" s="8">
        <v>191.69</v>
      </c>
      <c r="S1240" s="10" t="s">
        <v>607</v>
      </c>
    </row>
    <row r="1241" spans="1:19" hidden="1" x14ac:dyDescent="0.25">
      <c r="A1241" t="s">
        <v>134</v>
      </c>
      <c r="B1241" t="s">
        <v>78</v>
      </c>
      <c r="C1241" t="s">
        <v>126</v>
      </c>
      <c r="D1241" t="s">
        <v>585</v>
      </c>
      <c r="E1241" t="s">
        <v>94</v>
      </c>
      <c r="F1241" t="s">
        <v>6</v>
      </c>
      <c r="G1241">
        <v>11</v>
      </c>
      <c r="H1241">
        <v>14</v>
      </c>
      <c r="I1241">
        <v>14</v>
      </c>
      <c r="J1241">
        <v>14</v>
      </c>
      <c r="K1241" s="6">
        <v>100</v>
      </c>
      <c r="L1241" s="6">
        <v>0</v>
      </c>
      <c r="M1241" s="6">
        <v>100</v>
      </c>
      <c r="N1241">
        <v>0</v>
      </c>
      <c r="O1241" s="6">
        <v>0</v>
      </c>
      <c r="P1241">
        <v>0</v>
      </c>
      <c r="Q1241" s="8">
        <v>191.69</v>
      </c>
      <c r="R1241" s="8">
        <v>191.69</v>
      </c>
      <c r="S1241" s="10" t="s">
        <v>607</v>
      </c>
    </row>
    <row r="1242" spans="1:19" hidden="1" x14ac:dyDescent="0.25">
      <c r="A1242" t="s">
        <v>134</v>
      </c>
      <c r="B1242" t="s">
        <v>78</v>
      </c>
      <c r="C1242" t="s">
        <v>126</v>
      </c>
      <c r="D1242" t="s">
        <v>588</v>
      </c>
      <c r="E1242" t="s">
        <v>94</v>
      </c>
      <c r="F1242" t="s">
        <v>94</v>
      </c>
      <c r="G1242">
        <v>0</v>
      </c>
      <c r="H1242">
        <v>12</v>
      </c>
      <c r="I1242">
        <v>12</v>
      </c>
      <c r="J1242">
        <v>12</v>
      </c>
      <c r="K1242" s="6">
        <v>100</v>
      </c>
      <c r="L1242" s="6">
        <v>0</v>
      </c>
      <c r="M1242" s="6">
        <v>100</v>
      </c>
      <c r="N1242">
        <v>0</v>
      </c>
      <c r="O1242" s="6">
        <v>0</v>
      </c>
      <c r="P1242">
        <v>0</v>
      </c>
      <c r="Q1242" s="8">
        <v>178.16</v>
      </c>
      <c r="R1242" s="8">
        <v>178.16</v>
      </c>
      <c r="S1242" s="9" t="s">
        <v>586</v>
      </c>
    </row>
    <row r="1243" spans="1:19" hidden="1" x14ac:dyDescent="0.25">
      <c r="A1243" t="s">
        <v>134</v>
      </c>
      <c r="B1243" t="s">
        <v>78</v>
      </c>
      <c r="C1243" t="s">
        <v>126</v>
      </c>
      <c r="D1243" t="s">
        <v>588</v>
      </c>
      <c r="E1243" t="s">
        <v>94</v>
      </c>
      <c r="F1243" t="s">
        <v>96</v>
      </c>
      <c r="G1243">
        <v>4</v>
      </c>
      <c r="H1243">
        <v>12</v>
      </c>
      <c r="I1243">
        <v>12</v>
      </c>
      <c r="J1243">
        <v>12</v>
      </c>
      <c r="K1243" s="6">
        <v>100</v>
      </c>
      <c r="L1243" s="6">
        <v>0</v>
      </c>
      <c r="M1243" s="6">
        <v>100</v>
      </c>
      <c r="N1243">
        <v>0</v>
      </c>
      <c r="O1243" s="6">
        <v>0</v>
      </c>
      <c r="P1243">
        <v>0</v>
      </c>
      <c r="Q1243" s="8">
        <v>178.16</v>
      </c>
      <c r="R1243" s="8">
        <v>178.16</v>
      </c>
      <c r="S1243" s="10" t="s">
        <v>587</v>
      </c>
    </row>
    <row r="1244" spans="1:19" hidden="1" x14ac:dyDescent="0.25">
      <c r="A1244" t="s">
        <v>134</v>
      </c>
      <c r="B1244" t="s">
        <v>78</v>
      </c>
      <c r="C1244" t="s">
        <v>126</v>
      </c>
      <c r="D1244" t="s">
        <v>588</v>
      </c>
      <c r="E1244" t="s">
        <v>94</v>
      </c>
      <c r="F1244" t="s">
        <v>6</v>
      </c>
      <c r="G1244">
        <v>11</v>
      </c>
      <c r="H1244">
        <v>12</v>
      </c>
      <c r="I1244">
        <v>12</v>
      </c>
      <c r="J1244">
        <v>12</v>
      </c>
      <c r="K1244" s="6">
        <v>100</v>
      </c>
      <c r="L1244" s="6">
        <v>0</v>
      </c>
      <c r="M1244" s="6">
        <v>100</v>
      </c>
      <c r="N1244">
        <v>0</v>
      </c>
      <c r="O1244" s="6">
        <v>0</v>
      </c>
      <c r="P1244">
        <v>0</v>
      </c>
      <c r="Q1244" s="8">
        <v>178.16</v>
      </c>
      <c r="R1244" s="8">
        <v>178.16</v>
      </c>
      <c r="S1244" s="10" t="s">
        <v>587</v>
      </c>
    </row>
    <row r="1245" spans="1:19" hidden="1" x14ac:dyDescent="0.25">
      <c r="A1245" t="s">
        <v>134</v>
      </c>
      <c r="B1245" t="s">
        <v>78</v>
      </c>
      <c r="C1245" t="s">
        <v>126</v>
      </c>
      <c r="D1245" t="s">
        <v>589</v>
      </c>
      <c r="E1245" t="s">
        <v>94</v>
      </c>
      <c r="F1245" t="s">
        <v>94</v>
      </c>
      <c r="G1245">
        <v>0</v>
      </c>
      <c r="H1245">
        <v>6</v>
      </c>
      <c r="I1245">
        <v>6</v>
      </c>
      <c r="J1245">
        <v>6</v>
      </c>
      <c r="K1245" s="6">
        <v>100</v>
      </c>
      <c r="L1245" s="6">
        <v>0</v>
      </c>
      <c r="M1245" s="6">
        <v>100</v>
      </c>
      <c r="N1245">
        <v>0</v>
      </c>
      <c r="O1245" s="6">
        <v>0</v>
      </c>
      <c r="P1245">
        <v>0</v>
      </c>
      <c r="Q1245" s="8">
        <v>168.8</v>
      </c>
      <c r="R1245" s="8">
        <v>168.8</v>
      </c>
      <c r="S1245" s="9" t="s">
        <v>534</v>
      </c>
    </row>
    <row r="1246" spans="1:19" hidden="1" x14ac:dyDescent="0.25">
      <c r="A1246" t="s">
        <v>134</v>
      </c>
      <c r="B1246" t="s">
        <v>78</v>
      </c>
      <c r="C1246" t="s">
        <v>126</v>
      </c>
      <c r="D1246" t="s">
        <v>589</v>
      </c>
      <c r="E1246" t="s">
        <v>94</v>
      </c>
      <c r="F1246" t="s">
        <v>96</v>
      </c>
      <c r="G1246">
        <v>4</v>
      </c>
      <c r="H1246">
        <v>6</v>
      </c>
      <c r="I1246">
        <v>6</v>
      </c>
      <c r="J1246">
        <v>6</v>
      </c>
      <c r="K1246" s="6">
        <v>100</v>
      </c>
      <c r="L1246" s="6">
        <v>0</v>
      </c>
      <c r="M1246" s="6">
        <v>100</v>
      </c>
      <c r="N1246">
        <v>0</v>
      </c>
      <c r="O1246" s="6">
        <v>0</v>
      </c>
      <c r="P1246">
        <v>0</v>
      </c>
      <c r="Q1246" s="8">
        <v>168.8</v>
      </c>
      <c r="R1246" s="8">
        <v>168.8</v>
      </c>
      <c r="S1246" s="9" t="s">
        <v>535</v>
      </c>
    </row>
    <row r="1247" spans="1:19" hidden="1" x14ac:dyDescent="0.25">
      <c r="A1247" t="s">
        <v>134</v>
      </c>
      <c r="B1247" t="s">
        <v>78</v>
      </c>
      <c r="C1247" t="s">
        <v>126</v>
      </c>
      <c r="D1247" t="s">
        <v>589</v>
      </c>
      <c r="E1247" t="s">
        <v>94</v>
      </c>
      <c r="F1247" t="s">
        <v>6</v>
      </c>
      <c r="G1247">
        <v>11</v>
      </c>
      <c r="H1247">
        <v>6</v>
      </c>
      <c r="I1247">
        <v>6</v>
      </c>
      <c r="J1247">
        <v>6</v>
      </c>
      <c r="K1247" s="6">
        <v>100</v>
      </c>
      <c r="L1247" s="6">
        <v>0</v>
      </c>
      <c r="M1247" s="6">
        <v>100</v>
      </c>
      <c r="N1247">
        <v>0</v>
      </c>
      <c r="O1247" s="6">
        <v>0</v>
      </c>
      <c r="P1247">
        <v>0</v>
      </c>
      <c r="Q1247" s="8">
        <v>168.8</v>
      </c>
      <c r="R1247" s="8">
        <v>168.8</v>
      </c>
      <c r="S1247" s="9" t="s">
        <v>535</v>
      </c>
    </row>
    <row r="1248" spans="1:19" hidden="1" x14ac:dyDescent="0.25">
      <c r="A1248" t="s">
        <v>134</v>
      </c>
      <c r="B1248" t="s">
        <v>78</v>
      </c>
      <c r="C1248" t="s">
        <v>126</v>
      </c>
      <c r="D1248" t="s">
        <v>590</v>
      </c>
      <c r="E1248" t="s">
        <v>94</v>
      </c>
      <c r="F1248" t="s">
        <v>94</v>
      </c>
      <c r="G1248">
        <v>0</v>
      </c>
      <c r="H1248">
        <v>1</v>
      </c>
      <c r="I1248">
        <v>1</v>
      </c>
      <c r="J1248">
        <v>1</v>
      </c>
      <c r="K1248" s="6">
        <v>100</v>
      </c>
      <c r="L1248" s="6">
        <v>0</v>
      </c>
      <c r="M1248" s="6">
        <v>100</v>
      </c>
      <c r="N1248">
        <v>0</v>
      </c>
      <c r="O1248" s="6">
        <v>0</v>
      </c>
      <c r="P1248">
        <v>0</v>
      </c>
      <c r="Q1248" s="8">
        <v>201.8</v>
      </c>
      <c r="R1248" s="8">
        <v>201.8</v>
      </c>
      <c r="S1248" s="9" t="s">
        <v>540</v>
      </c>
    </row>
    <row r="1249" spans="1:19" hidden="1" x14ac:dyDescent="0.25">
      <c r="A1249" t="s">
        <v>134</v>
      </c>
      <c r="B1249" t="s">
        <v>78</v>
      </c>
      <c r="C1249" t="s">
        <v>126</v>
      </c>
      <c r="D1249" t="s">
        <v>590</v>
      </c>
      <c r="E1249" t="s">
        <v>94</v>
      </c>
      <c r="F1249" t="s">
        <v>96</v>
      </c>
      <c r="G1249">
        <v>4</v>
      </c>
      <c r="H1249">
        <v>1</v>
      </c>
      <c r="I1249">
        <v>1</v>
      </c>
      <c r="J1249">
        <v>1</v>
      </c>
      <c r="K1249" s="6">
        <v>100</v>
      </c>
      <c r="L1249" s="6">
        <v>0</v>
      </c>
      <c r="M1249" s="6">
        <v>100</v>
      </c>
      <c r="N1249">
        <v>0</v>
      </c>
      <c r="O1249" s="6">
        <v>0</v>
      </c>
      <c r="P1249">
        <v>0</v>
      </c>
      <c r="Q1249" s="8">
        <v>201.8</v>
      </c>
      <c r="R1249" s="8">
        <v>201.8</v>
      </c>
      <c r="S1249" s="9" t="s">
        <v>541</v>
      </c>
    </row>
    <row r="1250" spans="1:19" hidden="1" x14ac:dyDescent="0.25">
      <c r="A1250" t="s">
        <v>134</v>
      </c>
      <c r="B1250" t="s">
        <v>78</v>
      </c>
      <c r="C1250" t="s">
        <v>126</v>
      </c>
      <c r="D1250" t="s">
        <v>590</v>
      </c>
      <c r="E1250" t="s">
        <v>94</v>
      </c>
      <c r="F1250" t="s">
        <v>6</v>
      </c>
      <c r="G1250">
        <v>11</v>
      </c>
      <c r="H1250">
        <v>1</v>
      </c>
      <c r="I1250">
        <v>1</v>
      </c>
      <c r="J1250">
        <v>1</v>
      </c>
      <c r="K1250" s="6">
        <v>100</v>
      </c>
      <c r="L1250" s="6">
        <v>0</v>
      </c>
      <c r="M1250" s="6">
        <v>100</v>
      </c>
      <c r="N1250">
        <v>0</v>
      </c>
      <c r="O1250" s="6">
        <v>0</v>
      </c>
      <c r="P1250">
        <v>0</v>
      </c>
      <c r="Q1250" s="8">
        <v>201.8</v>
      </c>
      <c r="R1250" s="8">
        <v>201.8</v>
      </c>
      <c r="S1250" s="9" t="s">
        <v>541</v>
      </c>
    </row>
    <row r="1251" spans="1:19" hidden="1" x14ac:dyDescent="0.25">
      <c r="A1251" t="s">
        <v>134</v>
      </c>
      <c r="B1251" t="s">
        <v>78</v>
      </c>
      <c r="C1251" t="s">
        <v>127</v>
      </c>
      <c r="D1251" t="s">
        <v>539</v>
      </c>
      <c r="E1251" t="s">
        <v>91</v>
      </c>
      <c r="F1251" t="s">
        <v>91</v>
      </c>
      <c r="G1251">
        <v>0</v>
      </c>
      <c r="H1251">
        <v>2</v>
      </c>
      <c r="I1251">
        <v>2</v>
      </c>
      <c r="J1251">
        <v>2</v>
      </c>
      <c r="K1251" s="6">
        <v>100</v>
      </c>
      <c r="L1251" s="6">
        <v>0</v>
      </c>
      <c r="M1251" s="6">
        <v>100</v>
      </c>
      <c r="N1251">
        <v>0</v>
      </c>
      <c r="O1251" s="6">
        <v>0</v>
      </c>
      <c r="P1251">
        <v>0</v>
      </c>
      <c r="Q1251" s="8">
        <v>114.14</v>
      </c>
      <c r="R1251" s="8">
        <v>114.14</v>
      </c>
      <c r="S1251" s="9" t="s">
        <v>536</v>
      </c>
    </row>
    <row r="1252" spans="1:19" hidden="1" x14ac:dyDescent="0.25">
      <c r="A1252" t="s">
        <v>134</v>
      </c>
      <c r="B1252" t="s">
        <v>78</v>
      </c>
      <c r="C1252" t="s">
        <v>127</v>
      </c>
      <c r="D1252" t="s">
        <v>539</v>
      </c>
      <c r="E1252" t="s">
        <v>91</v>
      </c>
      <c r="F1252" t="s">
        <v>94</v>
      </c>
      <c r="G1252">
        <v>1</v>
      </c>
      <c r="H1252">
        <v>2</v>
      </c>
      <c r="I1252">
        <v>2</v>
      </c>
      <c r="J1252">
        <v>2</v>
      </c>
      <c r="K1252" s="6">
        <v>98.12</v>
      </c>
      <c r="L1252" s="6">
        <v>-2.09</v>
      </c>
      <c r="M1252" s="6">
        <v>98.12</v>
      </c>
      <c r="N1252">
        <v>0</v>
      </c>
      <c r="O1252" s="6">
        <v>0</v>
      </c>
      <c r="P1252">
        <v>0</v>
      </c>
      <c r="Q1252" s="8">
        <v>114.14</v>
      </c>
      <c r="R1252" s="8">
        <v>112</v>
      </c>
      <c r="S1252" s="9" t="s">
        <v>537</v>
      </c>
    </row>
    <row r="1253" spans="1:19" hidden="1" x14ac:dyDescent="0.25">
      <c r="A1253" t="s">
        <v>134</v>
      </c>
      <c r="B1253" t="s">
        <v>78</v>
      </c>
      <c r="C1253" t="s">
        <v>127</v>
      </c>
      <c r="D1253" t="s">
        <v>539</v>
      </c>
      <c r="E1253" t="s">
        <v>91</v>
      </c>
      <c r="F1253" t="s">
        <v>96</v>
      </c>
      <c r="G1253">
        <v>5</v>
      </c>
      <c r="H1253">
        <v>2</v>
      </c>
      <c r="I1253">
        <v>2</v>
      </c>
      <c r="J1253">
        <v>2</v>
      </c>
      <c r="K1253" s="6">
        <v>98.12</v>
      </c>
      <c r="L1253" s="6">
        <v>-2.09</v>
      </c>
      <c r="M1253" s="6">
        <v>98.12</v>
      </c>
      <c r="N1253">
        <v>0</v>
      </c>
      <c r="O1253" s="6">
        <v>0</v>
      </c>
      <c r="P1253">
        <v>0</v>
      </c>
      <c r="Q1253" s="8">
        <v>114.14</v>
      </c>
      <c r="R1253" s="8">
        <v>112</v>
      </c>
      <c r="S1253" s="9" t="s">
        <v>537</v>
      </c>
    </row>
    <row r="1254" spans="1:19" hidden="1" x14ac:dyDescent="0.25">
      <c r="A1254" t="s">
        <v>134</v>
      </c>
      <c r="B1254" t="s">
        <v>78</v>
      </c>
      <c r="C1254" t="s">
        <v>127</v>
      </c>
      <c r="D1254" t="s">
        <v>539</v>
      </c>
      <c r="E1254" t="s">
        <v>91</v>
      </c>
      <c r="F1254" t="s">
        <v>6</v>
      </c>
      <c r="G1254">
        <v>12</v>
      </c>
      <c r="H1254">
        <v>2</v>
      </c>
      <c r="I1254">
        <v>2</v>
      </c>
      <c r="J1254">
        <v>2</v>
      </c>
      <c r="K1254" s="6">
        <v>93.74</v>
      </c>
      <c r="L1254" s="6">
        <v>-6.45</v>
      </c>
      <c r="M1254" s="6">
        <v>93.74</v>
      </c>
      <c r="N1254">
        <v>0</v>
      </c>
      <c r="O1254" s="6">
        <v>0</v>
      </c>
      <c r="P1254">
        <v>0</v>
      </c>
      <c r="Q1254" s="8">
        <v>114.14</v>
      </c>
      <c r="R1254" s="8">
        <v>107</v>
      </c>
      <c r="S1254" s="9" t="s">
        <v>537</v>
      </c>
    </row>
    <row r="1255" spans="1:19" hidden="1" x14ac:dyDescent="0.25">
      <c r="A1255" t="s">
        <v>134</v>
      </c>
      <c r="B1255" t="s">
        <v>78</v>
      </c>
      <c r="C1255" t="s">
        <v>127</v>
      </c>
      <c r="D1255" t="s">
        <v>552</v>
      </c>
      <c r="E1255" t="s">
        <v>91</v>
      </c>
      <c r="F1255" t="s">
        <v>91</v>
      </c>
      <c r="G1255">
        <v>0</v>
      </c>
      <c r="H1255">
        <v>3</v>
      </c>
      <c r="I1255">
        <v>3</v>
      </c>
      <c r="J1255">
        <v>3</v>
      </c>
      <c r="K1255" s="6">
        <v>100</v>
      </c>
      <c r="L1255" s="6">
        <v>0</v>
      </c>
      <c r="M1255" s="6">
        <v>100</v>
      </c>
      <c r="N1255">
        <v>0</v>
      </c>
      <c r="O1255" s="6">
        <v>0</v>
      </c>
      <c r="P1255">
        <v>0</v>
      </c>
      <c r="Q1255" s="8">
        <v>114.14</v>
      </c>
      <c r="R1255" s="8">
        <v>114.14</v>
      </c>
      <c r="S1255" s="9" t="s">
        <v>525</v>
      </c>
    </row>
    <row r="1256" spans="1:19" hidden="1" x14ac:dyDescent="0.25">
      <c r="A1256" t="s">
        <v>134</v>
      </c>
      <c r="B1256" t="s">
        <v>78</v>
      </c>
      <c r="C1256" t="s">
        <v>127</v>
      </c>
      <c r="D1256" t="s">
        <v>552</v>
      </c>
      <c r="E1256" t="s">
        <v>91</v>
      </c>
      <c r="F1256" t="s">
        <v>94</v>
      </c>
      <c r="G1256">
        <v>1</v>
      </c>
      <c r="H1256">
        <v>3</v>
      </c>
      <c r="I1256">
        <v>3</v>
      </c>
      <c r="J1256">
        <v>3</v>
      </c>
      <c r="K1256" s="6">
        <v>100</v>
      </c>
      <c r="L1256" s="6">
        <v>0</v>
      </c>
      <c r="M1256" s="6">
        <v>100</v>
      </c>
      <c r="N1256">
        <v>0</v>
      </c>
      <c r="O1256" s="6">
        <v>0</v>
      </c>
      <c r="P1256">
        <v>0</v>
      </c>
      <c r="Q1256" s="8">
        <v>114.14</v>
      </c>
      <c r="R1256" s="8">
        <v>114.14</v>
      </c>
      <c r="S1256" s="9" t="s">
        <v>526</v>
      </c>
    </row>
    <row r="1257" spans="1:19" hidden="1" x14ac:dyDescent="0.25">
      <c r="A1257" t="s">
        <v>134</v>
      </c>
      <c r="B1257" t="s">
        <v>78</v>
      </c>
      <c r="C1257" t="s">
        <v>127</v>
      </c>
      <c r="D1257" t="s">
        <v>552</v>
      </c>
      <c r="E1257" t="s">
        <v>91</v>
      </c>
      <c r="F1257" t="s">
        <v>96</v>
      </c>
      <c r="G1257">
        <v>5</v>
      </c>
      <c r="H1257">
        <v>3</v>
      </c>
      <c r="I1257">
        <v>3</v>
      </c>
      <c r="J1257">
        <v>3</v>
      </c>
      <c r="K1257" s="6">
        <v>100</v>
      </c>
      <c r="L1257" s="6">
        <v>0</v>
      </c>
      <c r="M1257" s="6">
        <v>100</v>
      </c>
      <c r="N1257">
        <v>0</v>
      </c>
      <c r="O1257" s="6">
        <v>0</v>
      </c>
      <c r="P1257">
        <v>0</v>
      </c>
      <c r="Q1257" s="8">
        <v>114.14</v>
      </c>
      <c r="R1257" s="8">
        <v>114.14</v>
      </c>
      <c r="S1257" s="9" t="s">
        <v>526</v>
      </c>
    </row>
    <row r="1258" spans="1:19" hidden="1" x14ac:dyDescent="0.25">
      <c r="A1258" t="s">
        <v>134</v>
      </c>
      <c r="B1258" t="s">
        <v>78</v>
      </c>
      <c r="C1258" t="s">
        <v>127</v>
      </c>
      <c r="D1258" t="s">
        <v>552</v>
      </c>
      <c r="E1258" t="s">
        <v>91</v>
      </c>
      <c r="F1258" t="s">
        <v>6</v>
      </c>
      <c r="G1258">
        <v>12</v>
      </c>
      <c r="H1258">
        <v>3</v>
      </c>
      <c r="I1258">
        <v>3</v>
      </c>
      <c r="J1258">
        <v>3</v>
      </c>
      <c r="K1258" s="6">
        <v>97.91</v>
      </c>
      <c r="L1258" s="6">
        <v>-2.99</v>
      </c>
      <c r="M1258" s="6">
        <v>97.91</v>
      </c>
      <c r="N1258">
        <v>0</v>
      </c>
      <c r="O1258" s="6">
        <v>0</v>
      </c>
      <c r="P1258">
        <v>0</v>
      </c>
      <c r="Q1258" s="8">
        <v>114.14</v>
      </c>
      <c r="R1258" s="8">
        <v>111.76</v>
      </c>
      <c r="S1258" s="9" t="s">
        <v>526</v>
      </c>
    </row>
    <row r="1259" spans="1:19" hidden="1" x14ac:dyDescent="0.25">
      <c r="A1259" t="s">
        <v>134</v>
      </c>
      <c r="B1259" t="s">
        <v>78</v>
      </c>
      <c r="C1259" t="s">
        <v>127</v>
      </c>
      <c r="D1259" t="s">
        <v>554</v>
      </c>
      <c r="E1259" t="s">
        <v>91</v>
      </c>
      <c r="F1259" t="s">
        <v>91</v>
      </c>
      <c r="G1259">
        <v>0</v>
      </c>
      <c r="H1259">
        <v>1</v>
      </c>
      <c r="I1259">
        <v>1</v>
      </c>
      <c r="J1259">
        <v>1</v>
      </c>
      <c r="K1259" s="6">
        <v>100</v>
      </c>
      <c r="L1259" s="6">
        <v>0</v>
      </c>
      <c r="M1259" s="6">
        <v>100</v>
      </c>
      <c r="N1259">
        <v>0</v>
      </c>
      <c r="O1259" s="6">
        <v>0</v>
      </c>
      <c r="P1259">
        <v>0</v>
      </c>
      <c r="Q1259" s="8">
        <v>193.8</v>
      </c>
      <c r="R1259" s="8">
        <v>193.8</v>
      </c>
      <c r="S1259" s="9" t="s">
        <v>540</v>
      </c>
    </row>
    <row r="1260" spans="1:19" hidden="1" x14ac:dyDescent="0.25">
      <c r="A1260" t="s">
        <v>134</v>
      </c>
      <c r="B1260" t="s">
        <v>78</v>
      </c>
      <c r="C1260" t="s">
        <v>127</v>
      </c>
      <c r="D1260" t="s">
        <v>554</v>
      </c>
      <c r="E1260" t="s">
        <v>91</v>
      </c>
      <c r="F1260" t="s">
        <v>94</v>
      </c>
      <c r="G1260">
        <v>1</v>
      </c>
      <c r="H1260">
        <v>1</v>
      </c>
      <c r="I1260">
        <v>1</v>
      </c>
      <c r="J1260">
        <v>1</v>
      </c>
      <c r="K1260" s="6">
        <v>100</v>
      </c>
      <c r="L1260" s="6">
        <v>0</v>
      </c>
      <c r="M1260" s="6">
        <v>100</v>
      </c>
      <c r="N1260">
        <v>0</v>
      </c>
      <c r="O1260" s="6">
        <v>0</v>
      </c>
      <c r="P1260">
        <v>0</v>
      </c>
      <c r="Q1260" s="8">
        <v>193.8</v>
      </c>
      <c r="R1260" s="8">
        <v>193.8</v>
      </c>
      <c r="S1260" s="9" t="s">
        <v>541</v>
      </c>
    </row>
    <row r="1261" spans="1:19" hidden="1" x14ac:dyDescent="0.25">
      <c r="A1261" t="s">
        <v>134</v>
      </c>
      <c r="B1261" t="s">
        <v>78</v>
      </c>
      <c r="C1261" t="s">
        <v>127</v>
      </c>
      <c r="D1261" t="s">
        <v>554</v>
      </c>
      <c r="E1261" t="s">
        <v>91</v>
      </c>
      <c r="F1261" t="s">
        <v>96</v>
      </c>
      <c r="G1261">
        <v>5</v>
      </c>
      <c r="H1261">
        <v>1</v>
      </c>
      <c r="I1261">
        <v>1</v>
      </c>
      <c r="J1261">
        <v>1</v>
      </c>
      <c r="K1261" s="6">
        <v>100</v>
      </c>
      <c r="L1261" s="6">
        <v>0</v>
      </c>
      <c r="M1261" s="6">
        <v>100</v>
      </c>
      <c r="N1261">
        <v>0</v>
      </c>
      <c r="O1261" s="6">
        <v>0</v>
      </c>
      <c r="P1261">
        <v>0</v>
      </c>
      <c r="Q1261" s="8">
        <v>193.8</v>
      </c>
      <c r="R1261" s="8">
        <v>193.8</v>
      </c>
      <c r="S1261" s="9" t="s">
        <v>541</v>
      </c>
    </row>
    <row r="1262" spans="1:19" hidden="1" x14ac:dyDescent="0.25">
      <c r="A1262" t="s">
        <v>134</v>
      </c>
      <c r="B1262" t="s">
        <v>78</v>
      </c>
      <c r="C1262" t="s">
        <v>127</v>
      </c>
      <c r="D1262" t="s">
        <v>554</v>
      </c>
      <c r="E1262" t="s">
        <v>91</v>
      </c>
      <c r="F1262" t="s">
        <v>6</v>
      </c>
      <c r="G1262">
        <v>12</v>
      </c>
      <c r="H1262">
        <v>1</v>
      </c>
      <c r="I1262">
        <v>1</v>
      </c>
      <c r="J1262">
        <v>1</v>
      </c>
      <c r="K1262" s="6">
        <v>97.94</v>
      </c>
      <c r="L1262" s="6">
        <v>-2.06</v>
      </c>
      <c r="M1262" s="6">
        <v>97.94</v>
      </c>
      <c r="N1262">
        <v>0</v>
      </c>
      <c r="O1262" s="6">
        <v>0</v>
      </c>
      <c r="P1262">
        <v>0</v>
      </c>
      <c r="Q1262" s="8">
        <v>193.8</v>
      </c>
      <c r="R1262" s="8">
        <v>189.8</v>
      </c>
      <c r="S1262" s="9" t="s">
        <v>541</v>
      </c>
    </row>
    <row r="1263" spans="1:19" hidden="1" x14ac:dyDescent="0.25">
      <c r="A1263" t="s">
        <v>134</v>
      </c>
      <c r="B1263" t="s">
        <v>78</v>
      </c>
      <c r="C1263" t="s">
        <v>127</v>
      </c>
      <c r="D1263" t="s">
        <v>560</v>
      </c>
      <c r="E1263" t="s">
        <v>90</v>
      </c>
      <c r="F1263" t="s">
        <v>90</v>
      </c>
      <c r="G1263">
        <v>0</v>
      </c>
      <c r="H1263">
        <v>2</v>
      </c>
      <c r="I1263">
        <v>2</v>
      </c>
      <c r="J1263">
        <v>2</v>
      </c>
      <c r="K1263" s="6">
        <v>100</v>
      </c>
      <c r="L1263" s="6">
        <v>0</v>
      </c>
      <c r="M1263" s="6">
        <v>100</v>
      </c>
      <c r="N1263">
        <v>0</v>
      </c>
      <c r="O1263" s="6">
        <v>0</v>
      </c>
      <c r="P1263">
        <v>0</v>
      </c>
      <c r="Q1263" s="8">
        <v>166.29</v>
      </c>
      <c r="R1263" s="8">
        <v>166.29</v>
      </c>
      <c r="S1263" s="9" t="s">
        <v>536</v>
      </c>
    </row>
    <row r="1264" spans="1:19" hidden="1" x14ac:dyDescent="0.25">
      <c r="A1264" t="s">
        <v>134</v>
      </c>
      <c r="B1264" t="s">
        <v>78</v>
      </c>
      <c r="C1264" t="s">
        <v>127</v>
      </c>
      <c r="D1264" t="s">
        <v>560</v>
      </c>
      <c r="E1264" t="s">
        <v>90</v>
      </c>
      <c r="F1264" t="s">
        <v>91</v>
      </c>
      <c r="G1264">
        <v>1</v>
      </c>
      <c r="H1264">
        <v>2</v>
      </c>
      <c r="I1264">
        <v>2</v>
      </c>
      <c r="J1264">
        <v>2</v>
      </c>
      <c r="K1264" s="6">
        <v>100</v>
      </c>
      <c r="L1264" s="6">
        <v>0</v>
      </c>
      <c r="M1264" s="6">
        <v>100</v>
      </c>
      <c r="N1264">
        <v>0</v>
      </c>
      <c r="O1264" s="6">
        <v>0</v>
      </c>
      <c r="P1264">
        <v>0</v>
      </c>
      <c r="Q1264" s="8">
        <v>166.29</v>
      </c>
      <c r="R1264" s="8">
        <v>166.29</v>
      </c>
      <c r="S1264" s="9" t="s">
        <v>537</v>
      </c>
    </row>
    <row r="1265" spans="1:19" hidden="1" x14ac:dyDescent="0.25">
      <c r="A1265" t="s">
        <v>134</v>
      </c>
      <c r="B1265" t="s">
        <v>78</v>
      </c>
      <c r="C1265" t="s">
        <v>127</v>
      </c>
      <c r="D1265" t="s">
        <v>560</v>
      </c>
      <c r="E1265" t="s">
        <v>90</v>
      </c>
      <c r="F1265" t="s">
        <v>94</v>
      </c>
      <c r="G1265">
        <v>2</v>
      </c>
      <c r="H1265">
        <v>2</v>
      </c>
      <c r="I1265">
        <v>2</v>
      </c>
      <c r="J1265">
        <v>2</v>
      </c>
      <c r="K1265" s="6">
        <v>100</v>
      </c>
      <c r="L1265" s="6">
        <v>0</v>
      </c>
      <c r="M1265" s="6">
        <v>100</v>
      </c>
      <c r="N1265">
        <v>0</v>
      </c>
      <c r="O1265" s="6">
        <v>0</v>
      </c>
      <c r="P1265">
        <v>0</v>
      </c>
      <c r="Q1265" s="8">
        <v>166.29</v>
      </c>
      <c r="R1265" s="8">
        <v>166.29</v>
      </c>
      <c r="S1265" s="9" t="s">
        <v>537</v>
      </c>
    </row>
    <row r="1266" spans="1:19" hidden="1" x14ac:dyDescent="0.25">
      <c r="A1266" t="s">
        <v>134</v>
      </c>
      <c r="B1266" t="s">
        <v>78</v>
      </c>
      <c r="C1266" t="s">
        <v>127</v>
      </c>
      <c r="D1266" t="s">
        <v>560</v>
      </c>
      <c r="E1266" t="s">
        <v>90</v>
      </c>
      <c r="F1266" t="s">
        <v>96</v>
      </c>
      <c r="G1266">
        <v>6</v>
      </c>
      <c r="H1266">
        <v>2</v>
      </c>
      <c r="I1266">
        <v>2</v>
      </c>
      <c r="J1266">
        <v>2</v>
      </c>
      <c r="K1266" s="6">
        <v>100</v>
      </c>
      <c r="L1266" s="6">
        <v>0</v>
      </c>
      <c r="M1266" s="6">
        <v>100</v>
      </c>
      <c r="N1266">
        <v>0</v>
      </c>
      <c r="O1266" s="6">
        <v>0</v>
      </c>
      <c r="P1266">
        <v>0</v>
      </c>
      <c r="Q1266" s="8">
        <v>166.29</v>
      </c>
      <c r="R1266" s="8">
        <v>166.29</v>
      </c>
      <c r="S1266" s="9" t="s">
        <v>537</v>
      </c>
    </row>
    <row r="1267" spans="1:19" hidden="1" x14ac:dyDescent="0.25">
      <c r="A1267" t="s">
        <v>134</v>
      </c>
      <c r="B1267" t="s">
        <v>78</v>
      </c>
      <c r="C1267" t="s">
        <v>127</v>
      </c>
      <c r="D1267" t="s">
        <v>560</v>
      </c>
      <c r="E1267" t="s">
        <v>90</v>
      </c>
      <c r="F1267" t="s">
        <v>6</v>
      </c>
      <c r="G1267">
        <v>13</v>
      </c>
      <c r="H1267">
        <v>2</v>
      </c>
      <c r="I1267">
        <v>2</v>
      </c>
      <c r="J1267">
        <v>2</v>
      </c>
      <c r="K1267" s="6">
        <v>100</v>
      </c>
      <c r="L1267" s="6">
        <v>0</v>
      </c>
      <c r="M1267" s="6">
        <v>100</v>
      </c>
      <c r="N1267">
        <v>0</v>
      </c>
      <c r="O1267" s="6">
        <v>0</v>
      </c>
      <c r="P1267">
        <v>0</v>
      </c>
      <c r="Q1267" s="8">
        <v>166.29</v>
      </c>
      <c r="R1267" s="8">
        <v>166.29</v>
      </c>
      <c r="S1267" s="9" t="s">
        <v>537</v>
      </c>
    </row>
    <row r="1268" spans="1:19" hidden="1" x14ac:dyDescent="0.25">
      <c r="A1268" t="s">
        <v>134</v>
      </c>
      <c r="B1268" t="s">
        <v>78</v>
      </c>
      <c r="C1268" t="s">
        <v>127</v>
      </c>
      <c r="D1268" t="s">
        <v>524</v>
      </c>
      <c r="E1268" t="s">
        <v>90</v>
      </c>
      <c r="F1268" t="s">
        <v>90</v>
      </c>
      <c r="G1268">
        <v>0</v>
      </c>
      <c r="H1268">
        <v>11</v>
      </c>
      <c r="I1268">
        <v>11</v>
      </c>
      <c r="J1268">
        <v>11</v>
      </c>
      <c r="K1268" s="6">
        <v>100</v>
      </c>
      <c r="L1268" s="6">
        <v>0</v>
      </c>
      <c r="M1268" s="6">
        <v>100</v>
      </c>
      <c r="N1268">
        <v>0</v>
      </c>
      <c r="O1268" s="6">
        <v>0</v>
      </c>
      <c r="P1268">
        <v>0</v>
      </c>
      <c r="Q1268" s="8">
        <v>187.06</v>
      </c>
      <c r="R1268" s="8">
        <v>187.06</v>
      </c>
      <c r="S1268" s="9" t="s">
        <v>528</v>
      </c>
    </row>
    <row r="1269" spans="1:19" hidden="1" x14ac:dyDescent="0.25">
      <c r="A1269" t="s">
        <v>134</v>
      </c>
      <c r="B1269" t="s">
        <v>78</v>
      </c>
      <c r="C1269" t="s">
        <v>127</v>
      </c>
      <c r="D1269" t="s">
        <v>524</v>
      </c>
      <c r="E1269" t="s">
        <v>90</v>
      </c>
      <c r="F1269" t="s">
        <v>91</v>
      </c>
      <c r="G1269">
        <v>1</v>
      </c>
      <c r="H1269">
        <v>11</v>
      </c>
      <c r="I1269">
        <v>11</v>
      </c>
      <c r="J1269">
        <v>11</v>
      </c>
      <c r="K1269" s="6">
        <v>100</v>
      </c>
      <c r="L1269" s="6">
        <v>0</v>
      </c>
      <c r="M1269" s="6">
        <v>100</v>
      </c>
      <c r="N1269">
        <v>0</v>
      </c>
      <c r="O1269" s="6">
        <v>0</v>
      </c>
      <c r="P1269">
        <v>0</v>
      </c>
      <c r="Q1269" s="8">
        <v>187.06</v>
      </c>
      <c r="R1269" s="8">
        <v>187.06</v>
      </c>
      <c r="S1269" s="10" t="s">
        <v>529</v>
      </c>
    </row>
    <row r="1270" spans="1:19" hidden="1" x14ac:dyDescent="0.25">
      <c r="A1270" t="s">
        <v>134</v>
      </c>
      <c r="B1270" t="s">
        <v>78</v>
      </c>
      <c r="C1270" t="s">
        <v>127</v>
      </c>
      <c r="D1270" t="s">
        <v>524</v>
      </c>
      <c r="E1270" t="s">
        <v>90</v>
      </c>
      <c r="F1270" t="s">
        <v>94</v>
      </c>
      <c r="G1270">
        <v>2</v>
      </c>
      <c r="H1270">
        <v>11</v>
      </c>
      <c r="I1270">
        <v>11</v>
      </c>
      <c r="J1270">
        <v>11</v>
      </c>
      <c r="K1270" s="6">
        <v>99.44</v>
      </c>
      <c r="L1270" s="6">
        <v>0</v>
      </c>
      <c r="M1270" s="6">
        <v>99.44</v>
      </c>
      <c r="N1270">
        <v>0</v>
      </c>
      <c r="O1270" s="6">
        <v>0</v>
      </c>
      <c r="P1270">
        <v>0</v>
      </c>
      <c r="Q1270" s="8">
        <v>187.06</v>
      </c>
      <c r="R1270" s="8">
        <v>186.02</v>
      </c>
      <c r="S1270" s="10" t="s">
        <v>529</v>
      </c>
    </row>
    <row r="1271" spans="1:19" hidden="1" x14ac:dyDescent="0.25">
      <c r="A1271" t="s">
        <v>134</v>
      </c>
      <c r="B1271" t="s">
        <v>78</v>
      </c>
      <c r="C1271" t="s">
        <v>127</v>
      </c>
      <c r="D1271" t="s">
        <v>524</v>
      </c>
      <c r="E1271" t="s">
        <v>90</v>
      </c>
      <c r="F1271" t="s">
        <v>96</v>
      </c>
      <c r="G1271">
        <v>6</v>
      </c>
      <c r="H1271">
        <v>11</v>
      </c>
      <c r="I1271">
        <v>11</v>
      </c>
      <c r="J1271">
        <v>11</v>
      </c>
      <c r="K1271" s="6">
        <v>99.44</v>
      </c>
      <c r="L1271" s="6">
        <v>0</v>
      </c>
      <c r="M1271" s="6">
        <v>99.44</v>
      </c>
      <c r="N1271">
        <v>0</v>
      </c>
      <c r="O1271" s="6">
        <v>0</v>
      </c>
      <c r="P1271">
        <v>0</v>
      </c>
      <c r="Q1271" s="8">
        <v>187.06</v>
      </c>
      <c r="R1271" s="8">
        <v>186.02</v>
      </c>
      <c r="S1271" s="10" t="s">
        <v>529</v>
      </c>
    </row>
    <row r="1272" spans="1:19" hidden="1" x14ac:dyDescent="0.25">
      <c r="A1272" t="s">
        <v>134</v>
      </c>
      <c r="B1272" t="s">
        <v>78</v>
      </c>
      <c r="C1272" t="s">
        <v>127</v>
      </c>
      <c r="D1272" t="s">
        <v>524</v>
      </c>
      <c r="E1272" t="s">
        <v>90</v>
      </c>
      <c r="F1272" t="s">
        <v>6</v>
      </c>
      <c r="G1272">
        <v>13</v>
      </c>
      <c r="H1272">
        <v>11</v>
      </c>
      <c r="I1272">
        <v>11</v>
      </c>
      <c r="J1272">
        <v>11</v>
      </c>
      <c r="K1272" s="6">
        <v>99.44</v>
      </c>
      <c r="L1272" s="6">
        <v>0</v>
      </c>
      <c r="M1272" s="6">
        <v>99.44</v>
      </c>
      <c r="N1272">
        <v>0</v>
      </c>
      <c r="O1272" s="6">
        <v>0</v>
      </c>
      <c r="P1272">
        <v>0</v>
      </c>
      <c r="Q1272" s="8">
        <v>187.06</v>
      </c>
      <c r="R1272" s="8">
        <v>186.02</v>
      </c>
      <c r="S1272" s="10" t="s">
        <v>529</v>
      </c>
    </row>
    <row r="1273" spans="1:19" hidden="1" x14ac:dyDescent="0.25">
      <c r="A1273" t="s">
        <v>134</v>
      </c>
      <c r="B1273" t="s">
        <v>78</v>
      </c>
      <c r="C1273" t="s">
        <v>127</v>
      </c>
      <c r="D1273" t="s">
        <v>527</v>
      </c>
      <c r="E1273" t="s">
        <v>90</v>
      </c>
      <c r="F1273" t="s">
        <v>90</v>
      </c>
      <c r="G1273">
        <v>0</v>
      </c>
      <c r="H1273">
        <v>14</v>
      </c>
      <c r="I1273">
        <v>14</v>
      </c>
      <c r="J1273">
        <v>14</v>
      </c>
      <c r="K1273" s="6">
        <v>100</v>
      </c>
      <c r="L1273" s="6">
        <v>0</v>
      </c>
      <c r="M1273" s="6">
        <v>100</v>
      </c>
      <c r="N1273">
        <v>0</v>
      </c>
      <c r="O1273" s="6">
        <v>0</v>
      </c>
      <c r="P1273">
        <v>0</v>
      </c>
      <c r="Q1273" s="8">
        <v>179.24</v>
      </c>
      <c r="R1273" s="8">
        <v>179.24</v>
      </c>
      <c r="S1273" s="9" t="s">
        <v>617</v>
      </c>
    </row>
    <row r="1274" spans="1:19" hidden="1" x14ac:dyDescent="0.25">
      <c r="A1274" t="s">
        <v>134</v>
      </c>
      <c r="B1274" t="s">
        <v>78</v>
      </c>
      <c r="C1274" t="s">
        <v>127</v>
      </c>
      <c r="D1274" t="s">
        <v>527</v>
      </c>
      <c r="E1274" t="s">
        <v>90</v>
      </c>
      <c r="F1274" t="s">
        <v>91</v>
      </c>
      <c r="G1274">
        <v>1</v>
      </c>
      <c r="H1274">
        <v>14</v>
      </c>
      <c r="I1274">
        <v>14</v>
      </c>
      <c r="J1274">
        <v>14</v>
      </c>
      <c r="K1274" s="6">
        <v>100</v>
      </c>
      <c r="L1274" s="6">
        <v>0</v>
      </c>
      <c r="M1274" s="6">
        <v>100</v>
      </c>
      <c r="N1274">
        <v>0</v>
      </c>
      <c r="O1274" s="6">
        <v>0</v>
      </c>
      <c r="P1274">
        <v>0</v>
      </c>
      <c r="Q1274" s="8">
        <v>179.24</v>
      </c>
      <c r="R1274" s="8">
        <v>179.24</v>
      </c>
      <c r="S1274" s="10" t="s">
        <v>607</v>
      </c>
    </row>
    <row r="1275" spans="1:19" hidden="1" x14ac:dyDescent="0.25">
      <c r="A1275" t="s">
        <v>134</v>
      </c>
      <c r="B1275" t="s">
        <v>78</v>
      </c>
      <c r="C1275" t="s">
        <v>127</v>
      </c>
      <c r="D1275" t="s">
        <v>527</v>
      </c>
      <c r="E1275" t="s">
        <v>90</v>
      </c>
      <c r="F1275" t="s">
        <v>94</v>
      </c>
      <c r="G1275">
        <v>2</v>
      </c>
      <c r="H1275">
        <v>14</v>
      </c>
      <c r="I1275">
        <v>14</v>
      </c>
      <c r="J1275">
        <v>14</v>
      </c>
      <c r="K1275" s="6">
        <v>99.43</v>
      </c>
      <c r="L1275" s="6">
        <v>0</v>
      </c>
      <c r="M1275" s="6">
        <v>99.43</v>
      </c>
      <c r="N1275">
        <v>0</v>
      </c>
      <c r="O1275" s="6">
        <v>0</v>
      </c>
      <c r="P1275">
        <v>0</v>
      </c>
      <c r="Q1275" s="8">
        <v>179.24</v>
      </c>
      <c r="R1275" s="8">
        <v>178.22</v>
      </c>
      <c r="S1275" s="10" t="s">
        <v>607</v>
      </c>
    </row>
    <row r="1276" spans="1:19" hidden="1" x14ac:dyDescent="0.25">
      <c r="A1276" t="s">
        <v>134</v>
      </c>
      <c r="B1276" t="s">
        <v>78</v>
      </c>
      <c r="C1276" t="s">
        <v>127</v>
      </c>
      <c r="D1276" t="s">
        <v>527</v>
      </c>
      <c r="E1276" t="s">
        <v>90</v>
      </c>
      <c r="F1276" t="s">
        <v>96</v>
      </c>
      <c r="G1276">
        <v>6</v>
      </c>
      <c r="H1276">
        <v>14</v>
      </c>
      <c r="I1276">
        <v>14</v>
      </c>
      <c r="J1276">
        <v>14</v>
      </c>
      <c r="K1276" s="6">
        <v>99.43</v>
      </c>
      <c r="L1276" s="6">
        <v>0</v>
      </c>
      <c r="M1276" s="6">
        <v>99.43</v>
      </c>
      <c r="N1276">
        <v>0</v>
      </c>
      <c r="O1276" s="6">
        <v>0</v>
      </c>
      <c r="P1276">
        <v>0</v>
      </c>
      <c r="Q1276" s="8">
        <v>179.24</v>
      </c>
      <c r="R1276" s="8">
        <v>178.22</v>
      </c>
      <c r="S1276" s="10" t="s">
        <v>607</v>
      </c>
    </row>
    <row r="1277" spans="1:19" hidden="1" x14ac:dyDescent="0.25">
      <c r="A1277" t="s">
        <v>134</v>
      </c>
      <c r="B1277" t="s">
        <v>78</v>
      </c>
      <c r="C1277" t="s">
        <v>127</v>
      </c>
      <c r="D1277" t="s">
        <v>527</v>
      </c>
      <c r="E1277" t="s">
        <v>90</v>
      </c>
      <c r="F1277" t="s">
        <v>6</v>
      </c>
      <c r="G1277">
        <v>13</v>
      </c>
      <c r="H1277">
        <v>14</v>
      </c>
      <c r="I1277">
        <v>14</v>
      </c>
      <c r="J1277">
        <v>14</v>
      </c>
      <c r="K1277" s="6">
        <v>98.92</v>
      </c>
      <c r="L1277" s="6">
        <v>-1.34</v>
      </c>
      <c r="M1277" s="6">
        <v>98.92</v>
      </c>
      <c r="N1277">
        <v>0</v>
      </c>
      <c r="O1277" s="6">
        <v>0</v>
      </c>
      <c r="P1277">
        <v>0</v>
      </c>
      <c r="Q1277" s="8">
        <v>179.24</v>
      </c>
      <c r="R1277" s="8">
        <v>177.31</v>
      </c>
      <c r="S1277" s="10" t="s">
        <v>607</v>
      </c>
    </row>
    <row r="1278" spans="1:19" hidden="1" x14ac:dyDescent="0.25">
      <c r="A1278" t="s">
        <v>134</v>
      </c>
      <c r="B1278" t="s">
        <v>78</v>
      </c>
      <c r="C1278" t="s">
        <v>127</v>
      </c>
      <c r="D1278" t="s">
        <v>530</v>
      </c>
      <c r="E1278" t="s">
        <v>90</v>
      </c>
      <c r="F1278" t="s">
        <v>90</v>
      </c>
      <c r="G1278">
        <v>0</v>
      </c>
      <c r="H1278">
        <v>12</v>
      </c>
      <c r="I1278">
        <v>12</v>
      </c>
      <c r="J1278">
        <v>12</v>
      </c>
      <c r="K1278" s="6">
        <v>100</v>
      </c>
      <c r="L1278" s="6">
        <v>0</v>
      </c>
      <c r="M1278" s="6">
        <v>100</v>
      </c>
      <c r="N1278">
        <v>0</v>
      </c>
      <c r="O1278" s="6">
        <v>0</v>
      </c>
      <c r="P1278">
        <v>0</v>
      </c>
      <c r="Q1278" s="8">
        <v>212.24</v>
      </c>
      <c r="R1278" s="8">
        <v>212.24</v>
      </c>
      <c r="S1278" s="9" t="s">
        <v>586</v>
      </c>
    </row>
    <row r="1279" spans="1:19" hidden="1" x14ac:dyDescent="0.25">
      <c r="A1279" t="s">
        <v>134</v>
      </c>
      <c r="B1279" t="s">
        <v>78</v>
      </c>
      <c r="C1279" t="s">
        <v>127</v>
      </c>
      <c r="D1279" t="s">
        <v>530</v>
      </c>
      <c r="E1279" t="s">
        <v>90</v>
      </c>
      <c r="F1279" t="s">
        <v>91</v>
      </c>
      <c r="G1279">
        <v>1</v>
      </c>
      <c r="H1279">
        <v>12</v>
      </c>
      <c r="I1279">
        <v>12</v>
      </c>
      <c r="J1279">
        <v>12</v>
      </c>
      <c r="K1279" s="6">
        <v>100</v>
      </c>
      <c r="L1279" s="6">
        <v>0</v>
      </c>
      <c r="M1279" s="6">
        <v>100</v>
      </c>
      <c r="N1279">
        <v>0</v>
      </c>
      <c r="O1279" s="6">
        <v>0</v>
      </c>
      <c r="P1279">
        <v>0</v>
      </c>
      <c r="Q1279" s="8">
        <v>212.24</v>
      </c>
      <c r="R1279" s="8">
        <v>212.24</v>
      </c>
      <c r="S1279" s="10" t="s">
        <v>587</v>
      </c>
    </row>
    <row r="1280" spans="1:19" hidden="1" x14ac:dyDescent="0.25">
      <c r="A1280" t="s">
        <v>134</v>
      </c>
      <c r="B1280" t="s">
        <v>78</v>
      </c>
      <c r="C1280" t="s">
        <v>127</v>
      </c>
      <c r="D1280" t="s">
        <v>530</v>
      </c>
      <c r="E1280" t="s">
        <v>90</v>
      </c>
      <c r="F1280" t="s">
        <v>94</v>
      </c>
      <c r="G1280">
        <v>2</v>
      </c>
      <c r="H1280">
        <v>12</v>
      </c>
      <c r="I1280">
        <v>12</v>
      </c>
      <c r="J1280">
        <v>12</v>
      </c>
      <c r="K1280" s="6">
        <v>99.72</v>
      </c>
      <c r="L1280" s="6">
        <v>0</v>
      </c>
      <c r="M1280" s="6">
        <v>99.72</v>
      </c>
      <c r="N1280">
        <v>0</v>
      </c>
      <c r="O1280" s="6">
        <v>0</v>
      </c>
      <c r="P1280">
        <v>0</v>
      </c>
      <c r="Q1280" s="8">
        <v>212.24</v>
      </c>
      <c r="R1280" s="8">
        <v>211.64</v>
      </c>
      <c r="S1280" s="10" t="s">
        <v>587</v>
      </c>
    </row>
    <row r="1281" spans="1:19" hidden="1" x14ac:dyDescent="0.25">
      <c r="A1281" t="s">
        <v>134</v>
      </c>
      <c r="B1281" t="s">
        <v>78</v>
      </c>
      <c r="C1281" t="s">
        <v>127</v>
      </c>
      <c r="D1281" t="s">
        <v>530</v>
      </c>
      <c r="E1281" t="s">
        <v>90</v>
      </c>
      <c r="F1281" t="s">
        <v>96</v>
      </c>
      <c r="G1281">
        <v>6</v>
      </c>
      <c r="H1281">
        <v>12</v>
      </c>
      <c r="I1281">
        <v>12</v>
      </c>
      <c r="J1281">
        <v>12</v>
      </c>
      <c r="K1281" s="6">
        <v>99.72</v>
      </c>
      <c r="L1281" s="6">
        <v>0</v>
      </c>
      <c r="M1281" s="6">
        <v>99.72</v>
      </c>
      <c r="N1281">
        <v>0</v>
      </c>
      <c r="O1281" s="6">
        <v>0</v>
      </c>
      <c r="P1281">
        <v>0</v>
      </c>
      <c r="Q1281" s="8">
        <v>212.24</v>
      </c>
      <c r="R1281" s="8">
        <v>211.64</v>
      </c>
      <c r="S1281" s="10" t="s">
        <v>587</v>
      </c>
    </row>
    <row r="1282" spans="1:19" hidden="1" x14ac:dyDescent="0.25">
      <c r="A1282" t="s">
        <v>134</v>
      </c>
      <c r="B1282" t="s">
        <v>78</v>
      </c>
      <c r="C1282" t="s">
        <v>127</v>
      </c>
      <c r="D1282" t="s">
        <v>530</v>
      </c>
      <c r="E1282" t="s">
        <v>90</v>
      </c>
      <c r="F1282" t="s">
        <v>6</v>
      </c>
      <c r="G1282">
        <v>13</v>
      </c>
      <c r="H1282">
        <v>12</v>
      </c>
      <c r="I1282">
        <v>12</v>
      </c>
      <c r="J1282">
        <v>12</v>
      </c>
      <c r="K1282" s="6">
        <v>99.1</v>
      </c>
      <c r="L1282" s="6">
        <v>-0.69</v>
      </c>
      <c r="M1282" s="6">
        <v>99.1</v>
      </c>
      <c r="N1282">
        <v>0</v>
      </c>
      <c r="O1282" s="6">
        <v>0</v>
      </c>
      <c r="P1282">
        <v>0</v>
      </c>
      <c r="Q1282" s="8">
        <v>212.24</v>
      </c>
      <c r="R1282" s="8">
        <v>210.33</v>
      </c>
      <c r="S1282" s="10" t="s">
        <v>587</v>
      </c>
    </row>
    <row r="1283" spans="1:19" hidden="1" x14ac:dyDescent="0.25">
      <c r="A1283" t="s">
        <v>134</v>
      </c>
      <c r="B1283" t="s">
        <v>78</v>
      </c>
      <c r="C1283" t="s">
        <v>127</v>
      </c>
      <c r="D1283" t="s">
        <v>531</v>
      </c>
      <c r="E1283" t="s">
        <v>90</v>
      </c>
      <c r="F1283" t="s">
        <v>90</v>
      </c>
      <c r="G1283">
        <v>0</v>
      </c>
      <c r="H1283">
        <v>14</v>
      </c>
      <c r="I1283">
        <v>14</v>
      </c>
      <c r="J1283">
        <v>14</v>
      </c>
      <c r="K1283" s="6">
        <v>100</v>
      </c>
      <c r="L1283" s="6">
        <v>0</v>
      </c>
      <c r="M1283" s="6">
        <v>100</v>
      </c>
      <c r="N1283">
        <v>0</v>
      </c>
      <c r="O1283" s="6">
        <v>0</v>
      </c>
      <c r="P1283">
        <v>0</v>
      </c>
      <c r="Q1283" s="8">
        <v>219.96</v>
      </c>
      <c r="R1283" s="8">
        <v>219.96</v>
      </c>
      <c r="S1283" s="9" t="s">
        <v>617</v>
      </c>
    </row>
    <row r="1284" spans="1:19" hidden="1" x14ac:dyDescent="0.25">
      <c r="A1284" t="s">
        <v>134</v>
      </c>
      <c r="B1284" t="s">
        <v>78</v>
      </c>
      <c r="C1284" t="s">
        <v>127</v>
      </c>
      <c r="D1284" t="s">
        <v>531</v>
      </c>
      <c r="E1284" t="s">
        <v>90</v>
      </c>
      <c r="F1284" t="s">
        <v>91</v>
      </c>
      <c r="G1284">
        <v>1</v>
      </c>
      <c r="H1284">
        <v>14</v>
      </c>
      <c r="I1284">
        <v>14</v>
      </c>
      <c r="J1284">
        <v>14</v>
      </c>
      <c r="K1284" s="6">
        <v>100</v>
      </c>
      <c r="L1284" s="6">
        <v>0</v>
      </c>
      <c r="M1284" s="6">
        <v>100</v>
      </c>
      <c r="N1284">
        <v>0</v>
      </c>
      <c r="O1284" s="6">
        <v>0</v>
      </c>
      <c r="P1284">
        <v>0</v>
      </c>
      <c r="Q1284" s="8">
        <v>219.96</v>
      </c>
      <c r="R1284" s="8">
        <v>219.96</v>
      </c>
      <c r="S1284" s="10" t="s">
        <v>607</v>
      </c>
    </row>
    <row r="1285" spans="1:19" hidden="1" x14ac:dyDescent="0.25">
      <c r="A1285" t="s">
        <v>134</v>
      </c>
      <c r="B1285" t="s">
        <v>78</v>
      </c>
      <c r="C1285" t="s">
        <v>127</v>
      </c>
      <c r="D1285" t="s">
        <v>531</v>
      </c>
      <c r="E1285" t="s">
        <v>90</v>
      </c>
      <c r="F1285" t="s">
        <v>94</v>
      </c>
      <c r="G1285">
        <v>2</v>
      </c>
      <c r="H1285">
        <v>14</v>
      </c>
      <c r="I1285">
        <v>14</v>
      </c>
      <c r="J1285">
        <v>14</v>
      </c>
      <c r="K1285" s="6">
        <v>99.77</v>
      </c>
      <c r="L1285" s="6">
        <v>0</v>
      </c>
      <c r="M1285" s="6">
        <v>99.77</v>
      </c>
      <c r="N1285">
        <v>0</v>
      </c>
      <c r="O1285" s="6">
        <v>0</v>
      </c>
      <c r="P1285">
        <v>0</v>
      </c>
      <c r="Q1285" s="8">
        <v>219.96</v>
      </c>
      <c r="R1285" s="8">
        <v>219.45</v>
      </c>
      <c r="S1285" s="10" t="s">
        <v>607</v>
      </c>
    </row>
    <row r="1286" spans="1:19" hidden="1" x14ac:dyDescent="0.25">
      <c r="A1286" t="s">
        <v>134</v>
      </c>
      <c r="B1286" t="s">
        <v>78</v>
      </c>
      <c r="C1286" t="s">
        <v>127</v>
      </c>
      <c r="D1286" t="s">
        <v>531</v>
      </c>
      <c r="E1286" t="s">
        <v>90</v>
      </c>
      <c r="F1286" t="s">
        <v>96</v>
      </c>
      <c r="G1286">
        <v>6</v>
      </c>
      <c r="H1286">
        <v>14</v>
      </c>
      <c r="I1286">
        <v>14</v>
      </c>
      <c r="J1286">
        <v>14</v>
      </c>
      <c r="K1286" s="6">
        <v>99.77</v>
      </c>
      <c r="L1286" s="6">
        <v>0</v>
      </c>
      <c r="M1286" s="6">
        <v>99.77</v>
      </c>
      <c r="N1286">
        <v>0</v>
      </c>
      <c r="O1286" s="6">
        <v>0</v>
      </c>
      <c r="P1286">
        <v>0</v>
      </c>
      <c r="Q1286" s="8">
        <v>219.96</v>
      </c>
      <c r="R1286" s="8">
        <v>219.45</v>
      </c>
      <c r="S1286" s="10" t="s">
        <v>607</v>
      </c>
    </row>
    <row r="1287" spans="1:19" hidden="1" x14ac:dyDescent="0.25">
      <c r="A1287" t="s">
        <v>134</v>
      </c>
      <c r="B1287" t="s">
        <v>78</v>
      </c>
      <c r="C1287" t="s">
        <v>127</v>
      </c>
      <c r="D1287" t="s">
        <v>531</v>
      </c>
      <c r="E1287" t="s">
        <v>90</v>
      </c>
      <c r="F1287" t="s">
        <v>6</v>
      </c>
      <c r="G1287">
        <v>13</v>
      </c>
      <c r="H1287">
        <v>14</v>
      </c>
      <c r="I1287">
        <v>14</v>
      </c>
      <c r="J1287">
        <v>14</v>
      </c>
      <c r="K1287" s="6">
        <v>98.42</v>
      </c>
      <c r="L1287" s="6">
        <v>-0.79</v>
      </c>
      <c r="M1287" s="6">
        <v>98.42</v>
      </c>
      <c r="N1287">
        <v>0</v>
      </c>
      <c r="O1287" s="6">
        <v>0</v>
      </c>
      <c r="P1287">
        <v>0</v>
      </c>
      <c r="Q1287" s="8">
        <v>219.96</v>
      </c>
      <c r="R1287" s="8">
        <v>216.49</v>
      </c>
      <c r="S1287" s="10" t="s">
        <v>607</v>
      </c>
    </row>
    <row r="1288" spans="1:19" hidden="1" x14ac:dyDescent="0.25">
      <c r="A1288" t="s">
        <v>134</v>
      </c>
      <c r="B1288" t="s">
        <v>78</v>
      </c>
      <c r="C1288" t="s">
        <v>127</v>
      </c>
      <c r="D1288" t="s">
        <v>532</v>
      </c>
      <c r="E1288" t="s">
        <v>90</v>
      </c>
      <c r="F1288" t="s">
        <v>90</v>
      </c>
      <c r="G1288">
        <v>0</v>
      </c>
      <c r="H1288">
        <v>12</v>
      </c>
      <c r="I1288">
        <v>12</v>
      </c>
      <c r="J1288">
        <v>12</v>
      </c>
      <c r="K1288" s="6">
        <v>100</v>
      </c>
      <c r="L1288" s="6">
        <v>0</v>
      </c>
      <c r="M1288" s="6">
        <v>100</v>
      </c>
      <c r="N1288">
        <v>0</v>
      </c>
      <c r="O1288" s="6">
        <v>0</v>
      </c>
      <c r="P1288">
        <v>0</v>
      </c>
      <c r="Q1288" s="8">
        <v>209.11</v>
      </c>
      <c r="R1288" s="8">
        <v>209.11</v>
      </c>
      <c r="S1288" s="9" t="s">
        <v>586</v>
      </c>
    </row>
    <row r="1289" spans="1:19" hidden="1" x14ac:dyDescent="0.25">
      <c r="A1289" t="s">
        <v>134</v>
      </c>
      <c r="B1289" t="s">
        <v>78</v>
      </c>
      <c r="C1289" t="s">
        <v>127</v>
      </c>
      <c r="D1289" t="s">
        <v>532</v>
      </c>
      <c r="E1289" t="s">
        <v>90</v>
      </c>
      <c r="F1289" t="s">
        <v>91</v>
      </c>
      <c r="G1289">
        <v>1</v>
      </c>
      <c r="H1289">
        <v>12</v>
      </c>
      <c r="I1289">
        <v>12</v>
      </c>
      <c r="J1289">
        <v>12</v>
      </c>
      <c r="K1289" s="6">
        <v>100</v>
      </c>
      <c r="L1289" s="6">
        <v>0</v>
      </c>
      <c r="M1289" s="6">
        <v>100</v>
      </c>
      <c r="N1289">
        <v>0</v>
      </c>
      <c r="O1289" s="6">
        <v>0</v>
      </c>
      <c r="P1289">
        <v>0</v>
      </c>
      <c r="Q1289" s="8">
        <v>209.11</v>
      </c>
      <c r="R1289" s="8">
        <v>209.11</v>
      </c>
      <c r="S1289" s="10" t="s">
        <v>587</v>
      </c>
    </row>
    <row r="1290" spans="1:19" hidden="1" x14ac:dyDescent="0.25">
      <c r="A1290" t="s">
        <v>134</v>
      </c>
      <c r="B1290" t="s">
        <v>78</v>
      </c>
      <c r="C1290" t="s">
        <v>127</v>
      </c>
      <c r="D1290" t="s">
        <v>532</v>
      </c>
      <c r="E1290" t="s">
        <v>90</v>
      </c>
      <c r="F1290" t="s">
        <v>94</v>
      </c>
      <c r="G1290">
        <v>2</v>
      </c>
      <c r="H1290">
        <v>12</v>
      </c>
      <c r="I1290">
        <v>12</v>
      </c>
      <c r="J1290">
        <v>12</v>
      </c>
      <c r="K1290" s="6">
        <v>99.77</v>
      </c>
      <c r="L1290" s="6">
        <v>0</v>
      </c>
      <c r="M1290" s="6">
        <v>99.77</v>
      </c>
      <c r="N1290">
        <v>0</v>
      </c>
      <c r="O1290" s="6">
        <v>0</v>
      </c>
      <c r="P1290">
        <v>0</v>
      </c>
      <c r="Q1290" s="8">
        <v>209.11</v>
      </c>
      <c r="R1290" s="8">
        <v>208.64</v>
      </c>
      <c r="S1290" s="10" t="s">
        <v>587</v>
      </c>
    </row>
    <row r="1291" spans="1:19" hidden="1" x14ac:dyDescent="0.25">
      <c r="A1291" t="s">
        <v>134</v>
      </c>
      <c r="B1291" t="s">
        <v>78</v>
      </c>
      <c r="C1291" t="s">
        <v>127</v>
      </c>
      <c r="D1291" t="s">
        <v>532</v>
      </c>
      <c r="E1291" t="s">
        <v>90</v>
      </c>
      <c r="F1291" t="s">
        <v>96</v>
      </c>
      <c r="G1291">
        <v>6</v>
      </c>
      <c r="H1291">
        <v>12</v>
      </c>
      <c r="I1291">
        <v>12</v>
      </c>
      <c r="J1291">
        <v>12</v>
      </c>
      <c r="K1291" s="6">
        <v>99.77</v>
      </c>
      <c r="L1291" s="6">
        <v>0</v>
      </c>
      <c r="M1291" s="6">
        <v>99.77</v>
      </c>
      <c r="N1291">
        <v>0</v>
      </c>
      <c r="O1291" s="6">
        <v>0</v>
      </c>
      <c r="P1291">
        <v>0</v>
      </c>
      <c r="Q1291" s="8">
        <v>209.11</v>
      </c>
      <c r="R1291" s="8">
        <v>208.64</v>
      </c>
      <c r="S1291" s="10" t="s">
        <v>587</v>
      </c>
    </row>
    <row r="1292" spans="1:19" hidden="1" x14ac:dyDescent="0.25">
      <c r="A1292" t="s">
        <v>134</v>
      </c>
      <c r="B1292" t="s">
        <v>78</v>
      </c>
      <c r="C1292" t="s">
        <v>127</v>
      </c>
      <c r="D1292" t="s">
        <v>532</v>
      </c>
      <c r="E1292" t="s">
        <v>90</v>
      </c>
      <c r="F1292" t="s">
        <v>6</v>
      </c>
      <c r="G1292">
        <v>13</v>
      </c>
      <c r="H1292">
        <v>12</v>
      </c>
      <c r="I1292">
        <v>12</v>
      </c>
      <c r="J1292">
        <v>12</v>
      </c>
      <c r="K1292" s="6">
        <v>99.26</v>
      </c>
      <c r="L1292" s="6">
        <v>0</v>
      </c>
      <c r="M1292" s="6">
        <v>99.26</v>
      </c>
      <c r="N1292">
        <v>0</v>
      </c>
      <c r="O1292" s="6">
        <v>0</v>
      </c>
      <c r="P1292">
        <v>0</v>
      </c>
      <c r="Q1292" s="8">
        <v>209.11</v>
      </c>
      <c r="R1292" s="8">
        <v>207.57</v>
      </c>
      <c r="S1292" s="10" t="s">
        <v>587</v>
      </c>
    </row>
    <row r="1293" spans="1:19" hidden="1" x14ac:dyDescent="0.25">
      <c r="A1293" t="s">
        <v>134</v>
      </c>
      <c r="B1293" t="s">
        <v>78</v>
      </c>
      <c r="C1293" t="s">
        <v>127</v>
      </c>
      <c r="D1293" t="s">
        <v>533</v>
      </c>
      <c r="E1293" t="s">
        <v>94</v>
      </c>
      <c r="F1293" t="s">
        <v>94</v>
      </c>
      <c r="G1293">
        <v>0</v>
      </c>
      <c r="H1293">
        <v>7</v>
      </c>
      <c r="I1293">
        <v>7</v>
      </c>
      <c r="J1293">
        <v>7</v>
      </c>
      <c r="K1293" s="6">
        <v>100</v>
      </c>
      <c r="L1293" s="6">
        <v>0</v>
      </c>
      <c r="M1293" s="6">
        <v>100</v>
      </c>
      <c r="N1293">
        <v>0</v>
      </c>
      <c r="O1293" s="6">
        <v>0</v>
      </c>
      <c r="P1293">
        <v>0</v>
      </c>
      <c r="Q1293" s="8">
        <v>211.8</v>
      </c>
      <c r="R1293" s="8">
        <v>211.8</v>
      </c>
      <c r="S1293" s="9" t="s">
        <v>549</v>
      </c>
    </row>
    <row r="1294" spans="1:19" hidden="1" x14ac:dyDescent="0.25">
      <c r="A1294" t="s">
        <v>134</v>
      </c>
      <c r="B1294" t="s">
        <v>78</v>
      </c>
      <c r="C1294" t="s">
        <v>127</v>
      </c>
      <c r="D1294" t="s">
        <v>533</v>
      </c>
      <c r="E1294" t="s">
        <v>94</v>
      </c>
      <c r="F1294" t="s">
        <v>96</v>
      </c>
      <c r="G1294">
        <v>4</v>
      </c>
      <c r="H1294">
        <v>7</v>
      </c>
      <c r="I1294">
        <v>7</v>
      </c>
      <c r="J1294">
        <v>7</v>
      </c>
      <c r="K1294" s="6">
        <v>100</v>
      </c>
      <c r="L1294" s="6">
        <v>0</v>
      </c>
      <c r="M1294" s="6">
        <v>100</v>
      </c>
      <c r="N1294">
        <v>0</v>
      </c>
      <c r="O1294" s="6">
        <v>0</v>
      </c>
      <c r="P1294">
        <v>0</v>
      </c>
      <c r="Q1294" s="8">
        <v>211.8</v>
      </c>
      <c r="R1294" s="8">
        <v>211.8</v>
      </c>
      <c r="S1294" s="9" t="s">
        <v>550</v>
      </c>
    </row>
    <row r="1295" spans="1:19" hidden="1" x14ac:dyDescent="0.25">
      <c r="A1295" t="s">
        <v>134</v>
      </c>
      <c r="B1295" t="s">
        <v>78</v>
      </c>
      <c r="C1295" t="s">
        <v>127</v>
      </c>
      <c r="D1295" t="s">
        <v>533</v>
      </c>
      <c r="E1295" t="s">
        <v>94</v>
      </c>
      <c r="F1295" t="s">
        <v>6</v>
      </c>
      <c r="G1295">
        <v>11</v>
      </c>
      <c r="H1295">
        <v>7</v>
      </c>
      <c r="I1295">
        <v>7</v>
      </c>
      <c r="J1295">
        <v>7</v>
      </c>
      <c r="K1295" s="6">
        <v>99.46</v>
      </c>
      <c r="L1295" s="6">
        <v>0</v>
      </c>
      <c r="M1295" s="6">
        <v>99.46</v>
      </c>
      <c r="N1295">
        <v>0</v>
      </c>
      <c r="O1295" s="6">
        <v>0</v>
      </c>
      <c r="P1295">
        <v>0</v>
      </c>
      <c r="Q1295" s="8">
        <v>211.8</v>
      </c>
      <c r="R1295" s="8">
        <v>210.66</v>
      </c>
      <c r="S1295" s="9" t="s">
        <v>550</v>
      </c>
    </row>
    <row r="1296" spans="1:19" hidden="1" x14ac:dyDescent="0.25">
      <c r="A1296" t="s">
        <v>134</v>
      </c>
      <c r="B1296" t="s">
        <v>78</v>
      </c>
      <c r="C1296" t="s">
        <v>127</v>
      </c>
      <c r="D1296" t="s">
        <v>545</v>
      </c>
      <c r="E1296" t="s">
        <v>94</v>
      </c>
      <c r="F1296" t="s">
        <v>94</v>
      </c>
      <c r="G1296">
        <v>0</v>
      </c>
      <c r="H1296">
        <v>3</v>
      </c>
      <c r="I1296">
        <v>3</v>
      </c>
      <c r="J1296">
        <v>3</v>
      </c>
      <c r="K1296" s="6">
        <v>100</v>
      </c>
      <c r="L1296" s="6">
        <v>0</v>
      </c>
      <c r="M1296" s="6">
        <v>100</v>
      </c>
      <c r="N1296">
        <v>0</v>
      </c>
      <c r="O1296" s="6">
        <v>0</v>
      </c>
      <c r="P1296">
        <v>0</v>
      </c>
      <c r="Q1296" s="8">
        <v>190.01</v>
      </c>
      <c r="R1296" s="8">
        <v>190.01</v>
      </c>
      <c r="S1296" s="9" t="s">
        <v>525</v>
      </c>
    </row>
    <row r="1297" spans="1:19" hidden="1" x14ac:dyDescent="0.25">
      <c r="A1297" t="s">
        <v>134</v>
      </c>
      <c r="B1297" t="s">
        <v>78</v>
      </c>
      <c r="C1297" t="s">
        <v>127</v>
      </c>
      <c r="D1297" t="s">
        <v>545</v>
      </c>
      <c r="E1297" t="s">
        <v>94</v>
      </c>
      <c r="F1297" t="s">
        <v>96</v>
      </c>
      <c r="G1297">
        <v>4</v>
      </c>
      <c r="H1297">
        <v>3</v>
      </c>
      <c r="I1297">
        <v>3</v>
      </c>
      <c r="J1297">
        <v>3</v>
      </c>
      <c r="K1297" s="6">
        <v>100</v>
      </c>
      <c r="L1297" s="6">
        <v>0</v>
      </c>
      <c r="M1297" s="6">
        <v>100</v>
      </c>
      <c r="N1297">
        <v>0</v>
      </c>
      <c r="O1297" s="6">
        <v>0</v>
      </c>
      <c r="P1297">
        <v>0</v>
      </c>
      <c r="Q1297" s="8">
        <v>190.01</v>
      </c>
      <c r="R1297" s="8">
        <v>190.01</v>
      </c>
      <c r="S1297" s="9" t="s">
        <v>526</v>
      </c>
    </row>
    <row r="1298" spans="1:19" hidden="1" x14ac:dyDescent="0.25">
      <c r="A1298" t="s">
        <v>134</v>
      </c>
      <c r="B1298" t="s">
        <v>78</v>
      </c>
      <c r="C1298" t="s">
        <v>127</v>
      </c>
      <c r="D1298" t="s">
        <v>545</v>
      </c>
      <c r="E1298" t="s">
        <v>94</v>
      </c>
      <c r="F1298" t="s">
        <v>6</v>
      </c>
      <c r="G1298">
        <v>11</v>
      </c>
      <c r="H1298">
        <v>3</v>
      </c>
      <c r="I1298">
        <v>3</v>
      </c>
      <c r="J1298">
        <v>3</v>
      </c>
      <c r="K1298" s="6">
        <v>100</v>
      </c>
      <c r="L1298" s="6">
        <v>0</v>
      </c>
      <c r="M1298" s="6">
        <v>100</v>
      </c>
      <c r="N1298">
        <v>0</v>
      </c>
      <c r="O1298" s="6">
        <v>0</v>
      </c>
      <c r="P1298">
        <v>0</v>
      </c>
      <c r="Q1298" s="8">
        <v>190.01</v>
      </c>
      <c r="R1298" s="8">
        <v>190.01</v>
      </c>
      <c r="S1298" s="9" t="s">
        <v>526</v>
      </c>
    </row>
    <row r="1299" spans="1:19" hidden="1" x14ac:dyDescent="0.25">
      <c r="A1299" t="s">
        <v>134</v>
      </c>
      <c r="B1299" t="s">
        <v>78</v>
      </c>
      <c r="C1299" t="s">
        <v>127</v>
      </c>
      <c r="D1299" t="s">
        <v>570</v>
      </c>
      <c r="E1299" t="s">
        <v>94</v>
      </c>
      <c r="F1299" t="s">
        <v>94</v>
      </c>
      <c r="G1299">
        <v>0</v>
      </c>
      <c r="H1299">
        <v>3</v>
      </c>
      <c r="I1299">
        <v>3</v>
      </c>
      <c r="J1299">
        <v>3</v>
      </c>
      <c r="K1299" s="6">
        <v>100</v>
      </c>
      <c r="L1299" s="6">
        <v>0</v>
      </c>
      <c r="M1299" s="6">
        <v>100</v>
      </c>
      <c r="N1299">
        <v>0</v>
      </c>
      <c r="O1299" s="6">
        <v>0</v>
      </c>
      <c r="P1299">
        <v>0</v>
      </c>
      <c r="Q1299" s="8">
        <v>147.94999999999999</v>
      </c>
      <c r="R1299" s="8">
        <v>147.94999999999999</v>
      </c>
      <c r="S1299" s="9" t="s">
        <v>525</v>
      </c>
    </row>
    <row r="1300" spans="1:19" hidden="1" x14ac:dyDescent="0.25">
      <c r="A1300" t="s">
        <v>134</v>
      </c>
      <c r="B1300" t="s">
        <v>78</v>
      </c>
      <c r="C1300" t="s">
        <v>127</v>
      </c>
      <c r="D1300" t="s">
        <v>570</v>
      </c>
      <c r="E1300" t="s">
        <v>94</v>
      </c>
      <c r="F1300" t="s">
        <v>96</v>
      </c>
      <c r="G1300">
        <v>4</v>
      </c>
      <c r="H1300">
        <v>3</v>
      </c>
      <c r="I1300">
        <v>3</v>
      </c>
      <c r="J1300">
        <v>3</v>
      </c>
      <c r="K1300" s="6">
        <v>100</v>
      </c>
      <c r="L1300" s="6">
        <v>0</v>
      </c>
      <c r="M1300" s="6">
        <v>100</v>
      </c>
      <c r="N1300">
        <v>0</v>
      </c>
      <c r="O1300" s="6">
        <v>0</v>
      </c>
      <c r="P1300">
        <v>0</v>
      </c>
      <c r="Q1300" s="8">
        <v>147.94999999999999</v>
      </c>
      <c r="R1300" s="8">
        <v>147.94999999999999</v>
      </c>
      <c r="S1300" s="9" t="s">
        <v>526</v>
      </c>
    </row>
    <row r="1301" spans="1:19" hidden="1" x14ac:dyDescent="0.25">
      <c r="A1301" t="s">
        <v>134</v>
      </c>
      <c r="B1301" t="s">
        <v>78</v>
      </c>
      <c r="C1301" t="s">
        <v>127</v>
      </c>
      <c r="D1301" t="s">
        <v>570</v>
      </c>
      <c r="E1301" t="s">
        <v>94</v>
      </c>
      <c r="F1301" t="s">
        <v>6</v>
      </c>
      <c r="G1301">
        <v>11</v>
      </c>
      <c r="H1301">
        <v>3</v>
      </c>
      <c r="I1301">
        <v>3</v>
      </c>
      <c r="J1301">
        <v>3</v>
      </c>
      <c r="K1301" s="6">
        <v>100</v>
      </c>
      <c r="L1301" s="6">
        <v>0</v>
      </c>
      <c r="M1301" s="6">
        <v>100</v>
      </c>
      <c r="N1301">
        <v>0</v>
      </c>
      <c r="O1301" s="6">
        <v>0</v>
      </c>
      <c r="P1301">
        <v>0</v>
      </c>
      <c r="Q1301" s="8">
        <v>147.94999999999999</v>
      </c>
      <c r="R1301" s="8">
        <v>147.94999999999999</v>
      </c>
      <c r="S1301" s="9" t="s">
        <v>526</v>
      </c>
    </row>
    <row r="1302" spans="1:19" hidden="1" x14ac:dyDescent="0.25">
      <c r="A1302" t="s">
        <v>134</v>
      </c>
      <c r="B1302" t="s">
        <v>78</v>
      </c>
      <c r="C1302" t="s">
        <v>127</v>
      </c>
      <c r="D1302" t="s">
        <v>572</v>
      </c>
      <c r="E1302" t="s">
        <v>94</v>
      </c>
      <c r="F1302" t="s">
        <v>94</v>
      </c>
      <c r="G1302">
        <v>0</v>
      </c>
      <c r="H1302">
        <v>1</v>
      </c>
      <c r="I1302">
        <v>1</v>
      </c>
      <c r="J1302">
        <v>1</v>
      </c>
      <c r="K1302" s="6">
        <v>100</v>
      </c>
      <c r="L1302" s="6">
        <v>0</v>
      </c>
      <c r="M1302" s="6">
        <v>100</v>
      </c>
      <c r="N1302">
        <v>0</v>
      </c>
      <c r="O1302" s="6">
        <v>0</v>
      </c>
      <c r="P1302">
        <v>0</v>
      </c>
      <c r="Q1302" s="8">
        <v>151.80000000000001</v>
      </c>
      <c r="R1302" s="8">
        <v>151.80000000000001</v>
      </c>
      <c r="S1302" s="9" t="s">
        <v>540</v>
      </c>
    </row>
    <row r="1303" spans="1:19" hidden="1" x14ac:dyDescent="0.25">
      <c r="A1303" t="s">
        <v>134</v>
      </c>
      <c r="B1303" t="s">
        <v>78</v>
      </c>
      <c r="C1303" t="s">
        <v>127</v>
      </c>
      <c r="D1303" t="s">
        <v>572</v>
      </c>
      <c r="E1303" t="s">
        <v>94</v>
      </c>
      <c r="F1303" t="s">
        <v>96</v>
      </c>
      <c r="G1303">
        <v>4</v>
      </c>
      <c r="H1303">
        <v>1</v>
      </c>
      <c r="I1303">
        <v>1</v>
      </c>
      <c r="J1303">
        <v>1</v>
      </c>
      <c r="K1303" s="6">
        <v>100</v>
      </c>
      <c r="L1303" s="6">
        <v>0</v>
      </c>
      <c r="M1303" s="6">
        <v>100</v>
      </c>
      <c r="N1303">
        <v>0</v>
      </c>
      <c r="O1303" s="6">
        <v>0</v>
      </c>
      <c r="P1303">
        <v>0</v>
      </c>
      <c r="Q1303" s="8">
        <v>151.80000000000001</v>
      </c>
      <c r="R1303" s="8">
        <v>151.80000000000001</v>
      </c>
      <c r="S1303" s="9" t="s">
        <v>541</v>
      </c>
    </row>
    <row r="1304" spans="1:19" hidden="1" x14ac:dyDescent="0.25">
      <c r="A1304" t="s">
        <v>134</v>
      </c>
      <c r="B1304" t="s">
        <v>78</v>
      </c>
      <c r="C1304" t="s">
        <v>127</v>
      </c>
      <c r="D1304" t="s">
        <v>572</v>
      </c>
      <c r="E1304" t="s">
        <v>94</v>
      </c>
      <c r="F1304" t="s">
        <v>6</v>
      </c>
      <c r="G1304">
        <v>11</v>
      </c>
      <c r="H1304">
        <v>1</v>
      </c>
      <c r="I1304">
        <v>1</v>
      </c>
      <c r="J1304">
        <v>1</v>
      </c>
      <c r="K1304" s="6">
        <v>100</v>
      </c>
      <c r="L1304" s="6">
        <v>0</v>
      </c>
      <c r="M1304" s="6">
        <v>100</v>
      </c>
      <c r="N1304">
        <v>0</v>
      </c>
      <c r="O1304" s="6">
        <v>0</v>
      </c>
      <c r="P1304">
        <v>0</v>
      </c>
      <c r="Q1304" s="8">
        <v>151.80000000000001</v>
      </c>
      <c r="R1304" s="8">
        <v>151.80000000000001</v>
      </c>
      <c r="S1304" s="9" t="s">
        <v>541</v>
      </c>
    </row>
    <row r="1305" spans="1:19" hidden="1" x14ac:dyDescent="0.25">
      <c r="A1305" t="s">
        <v>134</v>
      </c>
      <c r="B1305" t="s">
        <v>78</v>
      </c>
      <c r="C1305" t="s">
        <v>127</v>
      </c>
      <c r="D1305" t="s">
        <v>578</v>
      </c>
      <c r="E1305" t="s">
        <v>94</v>
      </c>
      <c r="F1305" t="s">
        <v>94</v>
      </c>
      <c r="G1305">
        <v>0</v>
      </c>
      <c r="H1305">
        <v>1</v>
      </c>
      <c r="I1305">
        <v>1</v>
      </c>
      <c r="J1305">
        <v>1</v>
      </c>
      <c r="K1305" s="6">
        <v>100</v>
      </c>
      <c r="L1305" s="6">
        <v>0</v>
      </c>
      <c r="M1305" s="6">
        <v>100</v>
      </c>
      <c r="N1305">
        <v>0</v>
      </c>
      <c r="O1305" s="6">
        <v>0</v>
      </c>
      <c r="P1305">
        <v>0</v>
      </c>
      <c r="Q1305" s="8">
        <v>165.57</v>
      </c>
      <c r="R1305" s="8">
        <v>165.57</v>
      </c>
      <c r="S1305" s="9" t="s">
        <v>540</v>
      </c>
    </row>
    <row r="1306" spans="1:19" hidden="1" x14ac:dyDescent="0.25">
      <c r="A1306" t="s">
        <v>134</v>
      </c>
      <c r="B1306" t="s">
        <v>78</v>
      </c>
      <c r="C1306" t="s">
        <v>127</v>
      </c>
      <c r="D1306" t="s">
        <v>578</v>
      </c>
      <c r="E1306" t="s">
        <v>94</v>
      </c>
      <c r="F1306" t="s">
        <v>96</v>
      </c>
      <c r="G1306">
        <v>4</v>
      </c>
      <c r="H1306">
        <v>1</v>
      </c>
      <c r="I1306">
        <v>1</v>
      </c>
      <c r="J1306">
        <v>1</v>
      </c>
      <c r="K1306" s="6">
        <v>100</v>
      </c>
      <c r="L1306" s="6">
        <v>0</v>
      </c>
      <c r="M1306" s="6">
        <v>100</v>
      </c>
      <c r="N1306">
        <v>0</v>
      </c>
      <c r="O1306" s="6">
        <v>0</v>
      </c>
      <c r="P1306">
        <v>0</v>
      </c>
      <c r="Q1306" s="8">
        <v>165.57</v>
      </c>
      <c r="R1306" s="8">
        <v>165.57</v>
      </c>
      <c r="S1306" s="9" t="s">
        <v>541</v>
      </c>
    </row>
    <row r="1307" spans="1:19" hidden="1" x14ac:dyDescent="0.25">
      <c r="A1307" t="s">
        <v>134</v>
      </c>
      <c r="B1307" t="s">
        <v>78</v>
      </c>
      <c r="C1307" t="s">
        <v>127</v>
      </c>
      <c r="D1307" t="s">
        <v>578</v>
      </c>
      <c r="E1307" t="s">
        <v>94</v>
      </c>
      <c r="F1307" t="s">
        <v>6</v>
      </c>
      <c r="G1307">
        <v>11</v>
      </c>
      <c r="H1307">
        <v>1</v>
      </c>
      <c r="I1307">
        <v>1</v>
      </c>
      <c r="J1307">
        <v>1</v>
      </c>
      <c r="K1307" s="6">
        <v>100</v>
      </c>
      <c r="L1307" s="6">
        <v>0</v>
      </c>
      <c r="M1307" s="6">
        <v>100</v>
      </c>
      <c r="N1307">
        <v>0</v>
      </c>
      <c r="O1307" s="6">
        <v>0</v>
      </c>
      <c r="P1307">
        <v>0</v>
      </c>
      <c r="Q1307" s="8">
        <v>165.57</v>
      </c>
      <c r="R1307" s="8">
        <v>165.57</v>
      </c>
      <c r="S1307" s="9" t="s">
        <v>541</v>
      </c>
    </row>
    <row r="1308" spans="1:19" hidden="1" x14ac:dyDescent="0.25">
      <c r="A1308" t="s">
        <v>134</v>
      </c>
      <c r="B1308" t="s">
        <v>78</v>
      </c>
      <c r="C1308" t="s">
        <v>127</v>
      </c>
      <c r="D1308" t="s">
        <v>580</v>
      </c>
      <c r="E1308" t="s">
        <v>94</v>
      </c>
      <c r="F1308" t="s">
        <v>94</v>
      </c>
      <c r="G1308">
        <v>0</v>
      </c>
      <c r="H1308">
        <v>11</v>
      </c>
      <c r="I1308">
        <v>11</v>
      </c>
      <c r="J1308">
        <v>11</v>
      </c>
      <c r="K1308" s="6">
        <v>100</v>
      </c>
      <c r="L1308" s="6">
        <v>0</v>
      </c>
      <c r="M1308" s="6">
        <v>100</v>
      </c>
      <c r="N1308">
        <v>0</v>
      </c>
      <c r="O1308" s="6">
        <v>0</v>
      </c>
      <c r="P1308">
        <v>0</v>
      </c>
      <c r="Q1308" s="8">
        <v>180.79</v>
      </c>
      <c r="R1308" s="8">
        <v>180.79</v>
      </c>
      <c r="S1308" s="9" t="s">
        <v>528</v>
      </c>
    </row>
    <row r="1309" spans="1:19" hidden="1" x14ac:dyDescent="0.25">
      <c r="A1309" t="s">
        <v>134</v>
      </c>
      <c r="B1309" t="s">
        <v>78</v>
      </c>
      <c r="C1309" t="s">
        <v>127</v>
      </c>
      <c r="D1309" t="s">
        <v>580</v>
      </c>
      <c r="E1309" t="s">
        <v>94</v>
      </c>
      <c r="F1309" t="s">
        <v>96</v>
      </c>
      <c r="G1309">
        <v>4</v>
      </c>
      <c r="H1309">
        <v>11</v>
      </c>
      <c r="I1309">
        <v>11</v>
      </c>
      <c r="J1309">
        <v>11</v>
      </c>
      <c r="K1309" s="6">
        <v>100</v>
      </c>
      <c r="L1309" s="6">
        <v>0</v>
      </c>
      <c r="M1309" s="6">
        <v>100</v>
      </c>
      <c r="N1309">
        <v>0</v>
      </c>
      <c r="O1309" s="6">
        <v>0</v>
      </c>
      <c r="P1309">
        <v>0</v>
      </c>
      <c r="Q1309" s="8">
        <v>180.79</v>
      </c>
      <c r="R1309" s="8">
        <v>180.79</v>
      </c>
      <c r="S1309" s="10" t="s">
        <v>529</v>
      </c>
    </row>
    <row r="1310" spans="1:19" hidden="1" x14ac:dyDescent="0.25">
      <c r="A1310" t="s">
        <v>134</v>
      </c>
      <c r="B1310" t="s">
        <v>78</v>
      </c>
      <c r="C1310" t="s">
        <v>127</v>
      </c>
      <c r="D1310" t="s">
        <v>580</v>
      </c>
      <c r="E1310" t="s">
        <v>94</v>
      </c>
      <c r="F1310" t="s">
        <v>6</v>
      </c>
      <c r="G1310">
        <v>11</v>
      </c>
      <c r="H1310">
        <v>11</v>
      </c>
      <c r="I1310">
        <v>11</v>
      </c>
      <c r="J1310">
        <v>11</v>
      </c>
      <c r="K1310" s="6">
        <v>100</v>
      </c>
      <c r="L1310" s="6">
        <v>0</v>
      </c>
      <c r="M1310" s="6">
        <v>100</v>
      </c>
      <c r="N1310">
        <v>0</v>
      </c>
      <c r="O1310" s="6">
        <v>0</v>
      </c>
      <c r="P1310">
        <v>0</v>
      </c>
      <c r="Q1310" s="8">
        <v>180.79</v>
      </c>
      <c r="R1310" s="8">
        <v>180.79</v>
      </c>
      <c r="S1310" s="10" t="s">
        <v>529</v>
      </c>
    </row>
    <row r="1311" spans="1:19" hidden="1" x14ac:dyDescent="0.25">
      <c r="A1311" t="s">
        <v>134</v>
      </c>
      <c r="B1311" t="s">
        <v>78</v>
      </c>
      <c r="C1311" t="s">
        <v>127</v>
      </c>
      <c r="D1311" t="s">
        <v>582</v>
      </c>
      <c r="E1311" t="s">
        <v>94</v>
      </c>
      <c r="F1311" t="s">
        <v>94</v>
      </c>
      <c r="G1311">
        <v>0</v>
      </c>
      <c r="H1311">
        <v>12</v>
      </c>
      <c r="I1311">
        <v>12</v>
      </c>
      <c r="J1311">
        <v>12</v>
      </c>
      <c r="K1311" s="6">
        <v>100</v>
      </c>
      <c r="L1311" s="6">
        <v>0</v>
      </c>
      <c r="M1311" s="6">
        <v>100</v>
      </c>
      <c r="N1311">
        <v>0</v>
      </c>
      <c r="O1311" s="6">
        <v>0</v>
      </c>
      <c r="P1311">
        <v>0</v>
      </c>
      <c r="Q1311" s="8">
        <v>183.19</v>
      </c>
      <c r="R1311" s="8">
        <v>183.19</v>
      </c>
      <c r="S1311" s="9" t="s">
        <v>586</v>
      </c>
    </row>
    <row r="1312" spans="1:19" hidden="1" x14ac:dyDescent="0.25">
      <c r="A1312" t="s">
        <v>134</v>
      </c>
      <c r="B1312" t="s">
        <v>78</v>
      </c>
      <c r="C1312" t="s">
        <v>127</v>
      </c>
      <c r="D1312" t="s">
        <v>582</v>
      </c>
      <c r="E1312" t="s">
        <v>94</v>
      </c>
      <c r="F1312" t="s">
        <v>96</v>
      </c>
      <c r="G1312">
        <v>4</v>
      </c>
      <c r="H1312">
        <v>12</v>
      </c>
      <c r="I1312">
        <v>12</v>
      </c>
      <c r="J1312">
        <v>12</v>
      </c>
      <c r="K1312" s="6">
        <v>100</v>
      </c>
      <c r="L1312" s="6">
        <v>0</v>
      </c>
      <c r="M1312" s="6">
        <v>100</v>
      </c>
      <c r="N1312">
        <v>0</v>
      </c>
      <c r="O1312" s="6">
        <v>0</v>
      </c>
      <c r="P1312">
        <v>0</v>
      </c>
      <c r="Q1312" s="8">
        <v>183.19</v>
      </c>
      <c r="R1312" s="8">
        <v>183.19</v>
      </c>
      <c r="S1312" s="10" t="s">
        <v>587</v>
      </c>
    </row>
    <row r="1313" spans="1:19" hidden="1" x14ac:dyDescent="0.25">
      <c r="A1313" t="s">
        <v>134</v>
      </c>
      <c r="B1313" t="s">
        <v>78</v>
      </c>
      <c r="C1313" t="s">
        <v>127</v>
      </c>
      <c r="D1313" t="s">
        <v>582</v>
      </c>
      <c r="E1313" t="s">
        <v>94</v>
      </c>
      <c r="F1313" t="s">
        <v>6</v>
      </c>
      <c r="G1313">
        <v>11</v>
      </c>
      <c r="H1313">
        <v>12</v>
      </c>
      <c r="I1313">
        <v>12</v>
      </c>
      <c r="J1313">
        <v>12</v>
      </c>
      <c r="K1313" s="6">
        <v>100</v>
      </c>
      <c r="L1313" s="6">
        <v>0</v>
      </c>
      <c r="M1313" s="6">
        <v>100</v>
      </c>
      <c r="N1313">
        <v>0</v>
      </c>
      <c r="O1313" s="6">
        <v>0</v>
      </c>
      <c r="P1313">
        <v>0</v>
      </c>
      <c r="Q1313" s="8">
        <v>183.19</v>
      </c>
      <c r="R1313" s="8">
        <v>183.19</v>
      </c>
      <c r="S1313" s="10" t="s">
        <v>587</v>
      </c>
    </row>
    <row r="1314" spans="1:19" hidden="1" x14ac:dyDescent="0.25">
      <c r="A1314" t="s">
        <v>134</v>
      </c>
      <c r="B1314" t="s">
        <v>78</v>
      </c>
      <c r="C1314" t="s">
        <v>127</v>
      </c>
      <c r="D1314" t="s">
        <v>583</v>
      </c>
      <c r="E1314" t="s">
        <v>94</v>
      </c>
      <c r="F1314" t="s">
        <v>94</v>
      </c>
      <c r="G1314">
        <v>0</v>
      </c>
      <c r="H1314">
        <v>13</v>
      </c>
      <c r="I1314">
        <v>13</v>
      </c>
      <c r="J1314">
        <v>13</v>
      </c>
      <c r="K1314" s="6">
        <v>100</v>
      </c>
      <c r="L1314" s="6">
        <v>0</v>
      </c>
      <c r="M1314" s="6">
        <v>100</v>
      </c>
      <c r="N1314">
        <v>0</v>
      </c>
      <c r="O1314" s="6">
        <v>0</v>
      </c>
      <c r="P1314">
        <v>0</v>
      </c>
      <c r="Q1314" s="8">
        <v>211.73</v>
      </c>
      <c r="R1314" s="8">
        <v>211.73</v>
      </c>
      <c r="S1314" s="9" t="s">
        <v>619</v>
      </c>
    </row>
    <row r="1315" spans="1:19" hidden="1" x14ac:dyDescent="0.25">
      <c r="A1315" t="s">
        <v>134</v>
      </c>
      <c r="B1315" t="s">
        <v>78</v>
      </c>
      <c r="C1315" t="s">
        <v>127</v>
      </c>
      <c r="D1315" t="s">
        <v>583</v>
      </c>
      <c r="E1315" t="s">
        <v>94</v>
      </c>
      <c r="F1315" t="s">
        <v>96</v>
      </c>
      <c r="G1315">
        <v>4</v>
      </c>
      <c r="H1315">
        <v>13</v>
      </c>
      <c r="I1315">
        <v>13</v>
      </c>
      <c r="J1315">
        <v>13</v>
      </c>
      <c r="K1315" s="6">
        <v>100</v>
      </c>
      <c r="L1315" s="6">
        <v>0</v>
      </c>
      <c r="M1315" s="6">
        <v>100</v>
      </c>
      <c r="N1315">
        <v>0</v>
      </c>
      <c r="O1315" s="6">
        <v>0</v>
      </c>
      <c r="P1315">
        <v>0</v>
      </c>
      <c r="Q1315" s="8">
        <v>211.73</v>
      </c>
      <c r="R1315" s="8">
        <v>211.73</v>
      </c>
      <c r="S1315" s="10" t="s">
        <v>612</v>
      </c>
    </row>
    <row r="1316" spans="1:19" hidden="1" x14ac:dyDescent="0.25">
      <c r="A1316" t="s">
        <v>134</v>
      </c>
      <c r="B1316" t="s">
        <v>78</v>
      </c>
      <c r="C1316" t="s">
        <v>127</v>
      </c>
      <c r="D1316" t="s">
        <v>583</v>
      </c>
      <c r="E1316" t="s">
        <v>94</v>
      </c>
      <c r="F1316" t="s">
        <v>6</v>
      </c>
      <c r="G1316">
        <v>11</v>
      </c>
      <c r="H1316">
        <v>13</v>
      </c>
      <c r="I1316">
        <v>13</v>
      </c>
      <c r="J1316">
        <v>13</v>
      </c>
      <c r="K1316" s="6">
        <v>100</v>
      </c>
      <c r="L1316" s="6">
        <v>0</v>
      </c>
      <c r="M1316" s="6">
        <v>100</v>
      </c>
      <c r="N1316">
        <v>0</v>
      </c>
      <c r="O1316" s="6">
        <v>0</v>
      </c>
      <c r="P1316">
        <v>0</v>
      </c>
      <c r="Q1316" s="8">
        <v>211.73</v>
      </c>
      <c r="R1316" s="8">
        <v>211.73</v>
      </c>
      <c r="S1316" s="10" t="s">
        <v>612</v>
      </c>
    </row>
    <row r="1317" spans="1:19" hidden="1" x14ac:dyDescent="0.25">
      <c r="A1317" t="s">
        <v>134</v>
      </c>
      <c r="B1317" t="s">
        <v>78</v>
      </c>
      <c r="C1317" t="s">
        <v>127</v>
      </c>
      <c r="D1317" t="s">
        <v>585</v>
      </c>
      <c r="E1317" t="s">
        <v>94</v>
      </c>
      <c r="F1317" t="s">
        <v>94</v>
      </c>
      <c r="G1317">
        <v>0</v>
      </c>
      <c r="H1317">
        <v>14</v>
      </c>
      <c r="I1317">
        <v>14</v>
      </c>
      <c r="J1317">
        <v>14</v>
      </c>
      <c r="K1317" s="6">
        <v>100</v>
      </c>
      <c r="L1317" s="6">
        <v>0</v>
      </c>
      <c r="M1317" s="6">
        <v>100</v>
      </c>
      <c r="N1317">
        <v>0</v>
      </c>
      <c r="O1317" s="6">
        <v>0</v>
      </c>
      <c r="P1317">
        <v>0</v>
      </c>
      <c r="Q1317" s="8">
        <v>225.16</v>
      </c>
      <c r="R1317" s="8">
        <v>225.16</v>
      </c>
      <c r="S1317" s="9" t="s">
        <v>617</v>
      </c>
    </row>
    <row r="1318" spans="1:19" hidden="1" x14ac:dyDescent="0.25">
      <c r="A1318" t="s">
        <v>134</v>
      </c>
      <c r="B1318" t="s">
        <v>78</v>
      </c>
      <c r="C1318" t="s">
        <v>127</v>
      </c>
      <c r="D1318" t="s">
        <v>585</v>
      </c>
      <c r="E1318" t="s">
        <v>94</v>
      </c>
      <c r="F1318" t="s">
        <v>96</v>
      </c>
      <c r="G1318">
        <v>4</v>
      </c>
      <c r="H1318">
        <v>14</v>
      </c>
      <c r="I1318">
        <v>14</v>
      </c>
      <c r="J1318">
        <v>14</v>
      </c>
      <c r="K1318" s="6">
        <v>100</v>
      </c>
      <c r="L1318" s="6">
        <v>0</v>
      </c>
      <c r="M1318" s="6">
        <v>100</v>
      </c>
      <c r="N1318">
        <v>0</v>
      </c>
      <c r="O1318" s="6">
        <v>0</v>
      </c>
      <c r="P1318">
        <v>0</v>
      </c>
      <c r="Q1318" s="8">
        <v>225.16</v>
      </c>
      <c r="R1318" s="8">
        <v>225.16</v>
      </c>
      <c r="S1318" s="10" t="s">
        <v>607</v>
      </c>
    </row>
    <row r="1319" spans="1:19" hidden="1" x14ac:dyDescent="0.25">
      <c r="A1319" t="s">
        <v>134</v>
      </c>
      <c r="B1319" t="s">
        <v>78</v>
      </c>
      <c r="C1319" t="s">
        <v>127</v>
      </c>
      <c r="D1319" t="s">
        <v>585</v>
      </c>
      <c r="E1319" t="s">
        <v>94</v>
      </c>
      <c r="F1319" t="s">
        <v>6</v>
      </c>
      <c r="G1319">
        <v>11</v>
      </c>
      <c r="H1319">
        <v>14</v>
      </c>
      <c r="I1319">
        <v>14</v>
      </c>
      <c r="J1319">
        <v>14</v>
      </c>
      <c r="K1319" s="6">
        <v>100</v>
      </c>
      <c r="L1319" s="6">
        <v>0</v>
      </c>
      <c r="M1319" s="6">
        <v>100</v>
      </c>
      <c r="N1319">
        <v>0</v>
      </c>
      <c r="O1319" s="6">
        <v>0</v>
      </c>
      <c r="P1319">
        <v>0</v>
      </c>
      <c r="Q1319" s="8">
        <v>225.16</v>
      </c>
      <c r="R1319" s="8">
        <v>225.16</v>
      </c>
      <c r="S1319" s="10" t="s">
        <v>607</v>
      </c>
    </row>
    <row r="1320" spans="1:19" hidden="1" x14ac:dyDescent="0.25">
      <c r="A1320" t="s">
        <v>134</v>
      </c>
      <c r="B1320" t="s">
        <v>78</v>
      </c>
      <c r="C1320" t="s">
        <v>127</v>
      </c>
      <c r="D1320" t="s">
        <v>588</v>
      </c>
      <c r="E1320" t="s">
        <v>94</v>
      </c>
      <c r="F1320" t="s">
        <v>94</v>
      </c>
      <c r="G1320">
        <v>0</v>
      </c>
      <c r="H1320">
        <v>12</v>
      </c>
      <c r="I1320">
        <v>12</v>
      </c>
      <c r="J1320">
        <v>12</v>
      </c>
      <c r="K1320" s="6">
        <v>100</v>
      </c>
      <c r="L1320" s="6">
        <v>0</v>
      </c>
      <c r="M1320" s="6">
        <v>100</v>
      </c>
      <c r="N1320">
        <v>0</v>
      </c>
      <c r="O1320" s="6">
        <v>0</v>
      </c>
      <c r="P1320">
        <v>0</v>
      </c>
      <c r="Q1320" s="8">
        <v>211.01</v>
      </c>
      <c r="R1320" s="8">
        <v>211.01</v>
      </c>
      <c r="S1320" s="9" t="s">
        <v>586</v>
      </c>
    </row>
    <row r="1321" spans="1:19" hidden="1" x14ac:dyDescent="0.25">
      <c r="A1321" t="s">
        <v>134</v>
      </c>
      <c r="B1321" t="s">
        <v>78</v>
      </c>
      <c r="C1321" t="s">
        <v>127</v>
      </c>
      <c r="D1321" t="s">
        <v>588</v>
      </c>
      <c r="E1321" t="s">
        <v>94</v>
      </c>
      <c r="F1321" t="s">
        <v>96</v>
      </c>
      <c r="G1321">
        <v>4</v>
      </c>
      <c r="H1321">
        <v>12</v>
      </c>
      <c r="I1321">
        <v>12</v>
      </c>
      <c r="J1321">
        <v>12</v>
      </c>
      <c r="K1321" s="6">
        <v>100</v>
      </c>
      <c r="L1321" s="6">
        <v>0</v>
      </c>
      <c r="M1321" s="6">
        <v>100</v>
      </c>
      <c r="N1321">
        <v>0</v>
      </c>
      <c r="O1321" s="6">
        <v>0</v>
      </c>
      <c r="P1321">
        <v>0</v>
      </c>
      <c r="Q1321" s="8">
        <v>211.01</v>
      </c>
      <c r="R1321" s="8">
        <v>211.01</v>
      </c>
      <c r="S1321" s="10" t="s">
        <v>587</v>
      </c>
    </row>
    <row r="1322" spans="1:19" hidden="1" x14ac:dyDescent="0.25">
      <c r="A1322" t="s">
        <v>134</v>
      </c>
      <c r="B1322" t="s">
        <v>78</v>
      </c>
      <c r="C1322" t="s">
        <v>127</v>
      </c>
      <c r="D1322" t="s">
        <v>588</v>
      </c>
      <c r="E1322" t="s">
        <v>94</v>
      </c>
      <c r="F1322" t="s">
        <v>6</v>
      </c>
      <c r="G1322">
        <v>11</v>
      </c>
      <c r="H1322">
        <v>12</v>
      </c>
      <c r="I1322">
        <v>12</v>
      </c>
      <c r="J1322">
        <v>12</v>
      </c>
      <c r="K1322" s="6">
        <v>100</v>
      </c>
      <c r="L1322" s="6">
        <v>0</v>
      </c>
      <c r="M1322" s="6">
        <v>100</v>
      </c>
      <c r="N1322">
        <v>0</v>
      </c>
      <c r="O1322" s="6">
        <v>0</v>
      </c>
      <c r="P1322">
        <v>0</v>
      </c>
      <c r="Q1322" s="8">
        <v>211.01</v>
      </c>
      <c r="R1322" s="8">
        <v>211.01</v>
      </c>
      <c r="S1322" s="10" t="s">
        <v>587</v>
      </c>
    </row>
    <row r="1323" spans="1:19" hidden="1" x14ac:dyDescent="0.25">
      <c r="A1323" t="s">
        <v>134</v>
      </c>
      <c r="B1323" t="s">
        <v>78</v>
      </c>
      <c r="C1323" t="s">
        <v>127</v>
      </c>
      <c r="D1323" t="s">
        <v>589</v>
      </c>
      <c r="E1323" t="s">
        <v>94</v>
      </c>
      <c r="F1323" t="s">
        <v>94</v>
      </c>
      <c r="G1323">
        <v>0</v>
      </c>
      <c r="H1323">
        <v>6</v>
      </c>
      <c r="I1323">
        <v>6</v>
      </c>
      <c r="J1323">
        <v>6</v>
      </c>
      <c r="K1323" s="6">
        <v>100</v>
      </c>
      <c r="L1323" s="6">
        <v>0</v>
      </c>
      <c r="M1323" s="6">
        <v>100</v>
      </c>
      <c r="N1323">
        <v>0</v>
      </c>
      <c r="O1323" s="6">
        <v>0</v>
      </c>
      <c r="P1323">
        <v>0</v>
      </c>
      <c r="Q1323" s="8">
        <v>208.8</v>
      </c>
      <c r="R1323" s="8">
        <v>208.8</v>
      </c>
      <c r="S1323" s="9" t="s">
        <v>534</v>
      </c>
    </row>
    <row r="1324" spans="1:19" hidden="1" x14ac:dyDescent="0.25">
      <c r="A1324" t="s">
        <v>134</v>
      </c>
      <c r="B1324" t="s">
        <v>78</v>
      </c>
      <c r="C1324" t="s">
        <v>127</v>
      </c>
      <c r="D1324" t="s">
        <v>589</v>
      </c>
      <c r="E1324" t="s">
        <v>94</v>
      </c>
      <c r="F1324" t="s">
        <v>96</v>
      </c>
      <c r="G1324">
        <v>4</v>
      </c>
      <c r="H1324">
        <v>6</v>
      </c>
      <c r="I1324">
        <v>6</v>
      </c>
      <c r="J1324">
        <v>6</v>
      </c>
      <c r="K1324" s="6">
        <v>100</v>
      </c>
      <c r="L1324" s="6">
        <v>0</v>
      </c>
      <c r="M1324" s="6">
        <v>100</v>
      </c>
      <c r="N1324">
        <v>0</v>
      </c>
      <c r="O1324" s="6">
        <v>0</v>
      </c>
      <c r="P1324">
        <v>0</v>
      </c>
      <c r="Q1324" s="8">
        <v>208.8</v>
      </c>
      <c r="R1324" s="8">
        <v>208.8</v>
      </c>
      <c r="S1324" s="9" t="s">
        <v>535</v>
      </c>
    </row>
    <row r="1325" spans="1:19" hidden="1" x14ac:dyDescent="0.25">
      <c r="A1325" t="s">
        <v>134</v>
      </c>
      <c r="B1325" t="s">
        <v>78</v>
      </c>
      <c r="C1325" t="s">
        <v>127</v>
      </c>
      <c r="D1325" t="s">
        <v>589</v>
      </c>
      <c r="E1325" t="s">
        <v>94</v>
      </c>
      <c r="F1325" t="s">
        <v>6</v>
      </c>
      <c r="G1325">
        <v>11</v>
      </c>
      <c r="H1325">
        <v>6</v>
      </c>
      <c r="I1325">
        <v>6</v>
      </c>
      <c r="J1325">
        <v>6</v>
      </c>
      <c r="K1325" s="6">
        <v>100</v>
      </c>
      <c r="L1325" s="6">
        <v>0</v>
      </c>
      <c r="M1325" s="6">
        <v>100</v>
      </c>
      <c r="N1325">
        <v>0</v>
      </c>
      <c r="O1325" s="6">
        <v>0</v>
      </c>
      <c r="P1325">
        <v>0</v>
      </c>
      <c r="Q1325" s="8">
        <v>208.8</v>
      </c>
      <c r="R1325" s="8">
        <v>208.8</v>
      </c>
      <c r="S1325" s="9" t="s">
        <v>535</v>
      </c>
    </row>
    <row r="1326" spans="1:19" hidden="1" x14ac:dyDescent="0.25">
      <c r="A1326" t="s">
        <v>134</v>
      </c>
      <c r="B1326" t="s">
        <v>78</v>
      </c>
      <c r="C1326" t="s">
        <v>127</v>
      </c>
      <c r="D1326" t="s">
        <v>590</v>
      </c>
      <c r="E1326" t="s">
        <v>94</v>
      </c>
      <c r="F1326" t="s">
        <v>94</v>
      </c>
      <c r="G1326">
        <v>0</v>
      </c>
      <c r="H1326">
        <v>1</v>
      </c>
      <c r="I1326">
        <v>1</v>
      </c>
      <c r="J1326">
        <v>1</v>
      </c>
      <c r="K1326" s="6">
        <v>100</v>
      </c>
      <c r="L1326" s="6">
        <v>0</v>
      </c>
      <c r="M1326" s="6">
        <v>100</v>
      </c>
      <c r="N1326">
        <v>0</v>
      </c>
      <c r="O1326" s="6">
        <v>0</v>
      </c>
      <c r="P1326">
        <v>0</v>
      </c>
      <c r="Q1326" s="8">
        <v>241.8</v>
      </c>
      <c r="R1326" s="8">
        <v>241.8</v>
      </c>
      <c r="S1326" s="9" t="s">
        <v>540</v>
      </c>
    </row>
    <row r="1327" spans="1:19" hidden="1" x14ac:dyDescent="0.25">
      <c r="A1327" t="s">
        <v>134</v>
      </c>
      <c r="B1327" t="s">
        <v>78</v>
      </c>
      <c r="C1327" t="s">
        <v>127</v>
      </c>
      <c r="D1327" t="s">
        <v>590</v>
      </c>
      <c r="E1327" t="s">
        <v>94</v>
      </c>
      <c r="F1327" t="s">
        <v>96</v>
      </c>
      <c r="G1327">
        <v>4</v>
      </c>
      <c r="H1327">
        <v>1</v>
      </c>
      <c r="I1327">
        <v>1</v>
      </c>
      <c r="J1327">
        <v>1</v>
      </c>
      <c r="K1327" s="6">
        <v>100</v>
      </c>
      <c r="L1327" s="6">
        <v>0</v>
      </c>
      <c r="M1327" s="6">
        <v>100</v>
      </c>
      <c r="N1327">
        <v>0</v>
      </c>
      <c r="O1327" s="6">
        <v>0</v>
      </c>
      <c r="P1327">
        <v>0</v>
      </c>
      <c r="Q1327" s="8">
        <v>241.8</v>
      </c>
      <c r="R1327" s="8">
        <v>241.8</v>
      </c>
      <c r="S1327" s="9" t="s">
        <v>541</v>
      </c>
    </row>
    <row r="1328" spans="1:19" hidden="1" x14ac:dyDescent="0.25">
      <c r="A1328" t="s">
        <v>134</v>
      </c>
      <c r="B1328" t="s">
        <v>78</v>
      </c>
      <c r="C1328" t="s">
        <v>127</v>
      </c>
      <c r="D1328" t="s">
        <v>590</v>
      </c>
      <c r="E1328" t="s">
        <v>94</v>
      </c>
      <c r="F1328" t="s">
        <v>6</v>
      </c>
      <c r="G1328">
        <v>11</v>
      </c>
      <c r="H1328">
        <v>1</v>
      </c>
      <c r="I1328">
        <v>1</v>
      </c>
      <c r="J1328">
        <v>1</v>
      </c>
      <c r="K1328" s="6">
        <v>100</v>
      </c>
      <c r="L1328" s="6">
        <v>0</v>
      </c>
      <c r="M1328" s="6">
        <v>100</v>
      </c>
      <c r="N1328">
        <v>0</v>
      </c>
      <c r="O1328" s="6">
        <v>0</v>
      </c>
      <c r="P1328">
        <v>0</v>
      </c>
      <c r="Q1328" s="8">
        <v>241.8</v>
      </c>
      <c r="R1328" s="8">
        <v>241.8</v>
      </c>
      <c r="S1328" s="9" t="s">
        <v>541</v>
      </c>
    </row>
    <row r="1329" spans="1:19" hidden="1" x14ac:dyDescent="0.25">
      <c r="A1329" t="s">
        <v>134</v>
      </c>
      <c r="B1329" t="s">
        <v>78</v>
      </c>
      <c r="C1329" t="s">
        <v>128</v>
      </c>
      <c r="D1329" t="s">
        <v>539</v>
      </c>
      <c r="E1329" t="s">
        <v>91</v>
      </c>
      <c r="F1329" t="s">
        <v>91</v>
      </c>
      <c r="G1329">
        <v>0</v>
      </c>
      <c r="H1329">
        <v>2</v>
      </c>
      <c r="I1329">
        <v>2</v>
      </c>
      <c r="J1329">
        <v>2</v>
      </c>
      <c r="K1329" s="6">
        <v>100</v>
      </c>
      <c r="L1329" s="6">
        <v>0</v>
      </c>
      <c r="M1329" s="6">
        <v>100</v>
      </c>
      <c r="N1329">
        <v>0</v>
      </c>
      <c r="O1329" s="6">
        <v>0</v>
      </c>
      <c r="P1329">
        <v>0</v>
      </c>
      <c r="Q1329" s="8">
        <v>407</v>
      </c>
      <c r="R1329" s="8">
        <v>407</v>
      </c>
      <c r="S1329" s="9" t="s">
        <v>536</v>
      </c>
    </row>
    <row r="1330" spans="1:19" hidden="1" x14ac:dyDescent="0.25">
      <c r="A1330" t="s">
        <v>134</v>
      </c>
      <c r="B1330" t="s">
        <v>78</v>
      </c>
      <c r="C1330" t="s">
        <v>128</v>
      </c>
      <c r="D1330" t="s">
        <v>539</v>
      </c>
      <c r="E1330" t="s">
        <v>91</v>
      </c>
      <c r="F1330" t="s">
        <v>94</v>
      </c>
      <c r="G1330">
        <v>1</v>
      </c>
      <c r="H1330">
        <v>2</v>
      </c>
      <c r="I1330">
        <v>2</v>
      </c>
      <c r="J1330">
        <v>2</v>
      </c>
      <c r="K1330" s="6">
        <v>101.23</v>
      </c>
      <c r="L1330" s="6">
        <v>1.35</v>
      </c>
      <c r="M1330" s="6">
        <v>101.23</v>
      </c>
      <c r="N1330">
        <v>0</v>
      </c>
      <c r="O1330" s="6">
        <v>0</v>
      </c>
      <c r="P1330">
        <v>0</v>
      </c>
      <c r="Q1330" s="8">
        <v>407</v>
      </c>
      <c r="R1330" s="8">
        <v>412</v>
      </c>
      <c r="S1330" s="9" t="s">
        <v>537</v>
      </c>
    </row>
    <row r="1331" spans="1:19" hidden="1" x14ac:dyDescent="0.25">
      <c r="A1331" t="s">
        <v>134</v>
      </c>
      <c r="B1331" t="s">
        <v>78</v>
      </c>
      <c r="C1331" t="s">
        <v>128</v>
      </c>
      <c r="D1331" t="s">
        <v>539</v>
      </c>
      <c r="E1331" t="s">
        <v>91</v>
      </c>
      <c r="F1331" t="s">
        <v>96</v>
      </c>
      <c r="G1331">
        <v>5</v>
      </c>
      <c r="H1331">
        <v>2</v>
      </c>
      <c r="I1331">
        <v>3</v>
      </c>
      <c r="J1331">
        <v>2</v>
      </c>
      <c r="K1331" s="6">
        <v>101.23</v>
      </c>
      <c r="L1331" s="6">
        <v>1.35</v>
      </c>
      <c r="M1331" s="6">
        <v>118.57</v>
      </c>
      <c r="N1331">
        <v>17.34</v>
      </c>
      <c r="O1331" s="6">
        <v>0</v>
      </c>
      <c r="P1331">
        <v>1</v>
      </c>
      <c r="Q1331" s="8">
        <v>407</v>
      </c>
      <c r="R1331" s="8">
        <v>412</v>
      </c>
      <c r="S1331" s="9" t="s">
        <v>537</v>
      </c>
    </row>
    <row r="1332" spans="1:19" hidden="1" x14ac:dyDescent="0.25">
      <c r="A1332" t="s">
        <v>134</v>
      </c>
      <c r="B1332" t="s">
        <v>78</v>
      </c>
      <c r="C1332" t="s">
        <v>128</v>
      </c>
      <c r="D1332" t="s">
        <v>539</v>
      </c>
      <c r="E1332" t="s">
        <v>91</v>
      </c>
      <c r="F1332" t="s">
        <v>6</v>
      </c>
      <c r="G1332">
        <v>12</v>
      </c>
      <c r="H1332">
        <v>2</v>
      </c>
      <c r="I1332">
        <v>2</v>
      </c>
      <c r="J1332">
        <v>2</v>
      </c>
      <c r="K1332" s="6">
        <v>100.7</v>
      </c>
      <c r="L1332" s="6">
        <v>1.1000000000000001</v>
      </c>
      <c r="M1332" s="6">
        <v>100.7</v>
      </c>
      <c r="N1332">
        <v>0</v>
      </c>
      <c r="O1332" s="6">
        <v>0</v>
      </c>
      <c r="P1332">
        <v>0</v>
      </c>
      <c r="Q1332" s="8">
        <v>407</v>
      </c>
      <c r="R1332" s="8">
        <v>409.86</v>
      </c>
      <c r="S1332" s="9" t="s">
        <v>537</v>
      </c>
    </row>
    <row r="1333" spans="1:19" hidden="1" x14ac:dyDescent="0.25">
      <c r="A1333" t="s">
        <v>134</v>
      </c>
      <c r="B1333" t="s">
        <v>78</v>
      </c>
      <c r="C1333" t="s">
        <v>128</v>
      </c>
      <c r="D1333" t="s">
        <v>552</v>
      </c>
      <c r="E1333" t="s">
        <v>91</v>
      </c>
      <c r="F1333" t="s">
        <v>91</v>
      </c>
      <c r="G1333">
        <v>0</v>
      </c>
      <c r="H1333">
        <v>4</v>
      </c>
      <c r="I1333">
        <v>4</v>
      </c>
      <c r="J1333">
        <v>4</v>
      </c>
      <c r="K1333" s="6">
        <v>100</v>
      </c>
      <c r="L1333" s="6">
        <v>0</v>
      </c>
      <c r="M1333" s="6">
        <v>100</v>
      </c>
      <c r="N1333">
        <v>0</v>
      </c>
      <c r="O1333" s="6">
        <v>0</v>
      </c>
      <c r="P1333">
        <v>0</v>
      </c>
      <c r="Q1333" s="8">
        <v>451.29</v>
      </c>
      <c r="R1333" s="8">
        <v>451.29</v>
      </c>
      <c r="S1333" s="9" t="s">
        <v>605</v>
      </c>
    </row>
    <row r="1334" spans="1:19" hidden="1" x14ac:dyDescent="0.25">
      <c r="A1334" t="s">
        <v>134</v>
      </c>
      <c r="B1334" t="s">
        <v>78</v>
      </c>
      <c r="C1334" t="s">
        <v>128</v>
      </c>
      <c r="D1334" t="s">
        <v>552</v>
      </c>
      <c r="E1334" t="s">
        <v>91</v>
      </c>
      <c r="F1334" t="s">
        <v>94</v>
      </c>
      <c r="G1334">
        <v>1</v>
      </c>
      <c r="H1334">
        <v>4</v>
      </c>
      <c r="I1334">
        <v>4</v>
      </c>
      <c r="J1334">
        <v>4</v>
      </c>
      <c r="K1334" s="6">
        <v>101.58</v>
      </c>
      <c r="L1334" s="6">
        <v>0</v>
      </c>
      <c r="M1334" s="6">
        <v>101.58</v>
      </c>
      <c r="N1334">
        <v>0</v>
      </c>
      <c r="O1334" s="6">
        <v>0</v>
      </c>
      <c r="P1334">
        <v>0</v>
      </c>
      <c r="Q1334" s="8">
        <v>451.29</v>
      </c>
      <c r="R1334" s="8">
        <v>458.43</v>
      </c>
      <c r="S1334" s="9" t="s">
        <v>548</v>
      </c>
    </row>
    <row r="1335" spans="1:19" hidden="1" x14ac:dyDescent="0.25">
      <c r="A1335" t="s">
        <v>134</v>
      </c>
      <c r="B1335" t="s">
        <v>78</v>
      </c>
      <c r="C1335" t="s">
        <v>128</v>
      </c>
      <c r="D1335" t="s">
        <v>552</v>
      </c>
      <c r="E1335" t="s">
        <v>91</v>
      </c>
      <c r="F1335" t="s">
        <v>96</v>
      </c>
      <c r="G1335">
        <v>5</v>
      </c>
      <c r="H1335">
        <v>4</v>
      </c>
      <c r="I1335">
        <v>4</v>
      </c>
      <c r="J1335">
        <v>4</v>
      </c>
      <c r="K1335" s="6">
        <v>102.37</v>
      </c>
      <c r="L1335" s="6">
        <v>1.35</v>
      </c>
      <c r="M1335" s="6">
        <v>102.37</v>
      </c>
      <c r="N1335">
        <v>0</v>
      </c>
      <c r="O1335" s="6">
        <v>0</v>
      </c>
      <c r="P1335">
        <v>0</v>
      </c>
      <c r="Q1335" s="8">
        <v>451.29</v>
      </c>
      <c r="R1335" s="8">
        <v>462</v>
      </c>
      <c r="S1335" s="9" t="s">
        <v>548</v>
      </c>
    </row>
    <row r="1336" spans="1:19" hidden="1" x14ac:dyDescent="0.25">
      <c r="A1336" t="s">
        <v>134</v>
      </c>
      <c r="B1336" t="s">
        <v>78</v>
      </c>
      <c r="C1336" t="s">
        <v>128</v>
      </c>
      <c r="D1336" t="s">
        <v>552</v>
      </c>
      <c r="E1336" t="s">
        <v>91</v>
      </c>
      <c r="F1336" t="s">
        <v>6</v>
      </c>
      <c r="G1336">
        <v>12</v>
      </c>
      <c r="H1336">
        <v>4</v>
      </c>
      <c r="I1336">
        <v>3</v>
      </c>
      <c r="J1336">
        <v>3</v>
      </c>
      <c r="K1336" s="6">
        <v>102.18</v>
      </c>
      <c r="L1336" s="6">
        <v>2.82</v>
      </c>
      <c r="M1336" s="6">
        <v>103.9</v>
      </c>
      <c r="N1336">
        <v>1.72</v>
      </c>
      <c r="O1336" s="6">
        <v>25</v>
      </c>
      <c r="P1336">
        <v>0</v>
      </c>
      <c r="Q1336" s="8">
        <v>458.9</v>
      </c>
      <c r="R1336" s="8">
        <v>468.9</v>
      </c>
      <c r="S1336" s="9" t="s">
        <v>526</v>
      </c>
    </row>
    <row r="1337" spans="1:19" hidden="1" x14ac:dyDescent="0.25">
      <c r="A1337" t="s">
        <v>134</v>
      </c>
      <c r="B1337" t="s">
        <v>78</v>
      </c>
      <c r="C1337" t="s">
        <v>128</v>
      </c>
      <c r="D1337" t="s">
        <v>554</v>
      </c>
      <c r="E1337" t="s">
        <v>91</v>
      </c>
      <c r="F1337" t="s">
        <v>91</v>
      </c>
      <c r="G1337">
        <v>0</v>
      </c>
      <c r="H1337">
        <v>1</v>
      </c>
      <c r="I1337">
        <v>1</v>
      </c>
      <c r="J1337">
        <v>1</v>
      </c>
      <c r="K1337" s="6">
        <v>100</v>
      </c>
      <c r="L1337" s="6">
        <v>0</v>
      </c>
      <c r="M1337" s="6">
        <v>100</v>
      </c>
      <c r="N1337">
        <v>0</v>
      </c>
      <c r="O1337" s="6">
        <v>0</v>
      </c>
      <c r="P1337">
        <v>0</v>
      </c>
      <c r="Q1337" s="8">
        <v>453.8</v>
      </c>
      <c r="R1337" s="8">
        <v>453.8</v>
      </c>
      <c r="S1337" s="9" t="s">
        <v>540</v>
      </c>
    </row>
    <row r="1338" spans="1:19" hidden="1" x14ac:dyDescent="0.25">
      <c r="A1338" t="s">
        <v>134</v>
      </c>
      <c r="B1338" t="s">
        <v>78</v>
      </c>
      <c r="C1338" t="s">
        <v>128</v>
      </c>
      <c r="D1338" t="s">
        <v>554</v>
      </c>
      <c r="E1338" t="s">
        <v>91</v>
      </c>
      <c r="F1338" t="s">
        <v>94</v>
      </c>
      <c r="G1338">
        <v>1</v>
      </c>
      <c r="H1338">
        <v>1</v>
      </c>
      <c r="I1338">
        <v>2</v>
      </c>
      <c r="J1338">
        <v>1</v>
      </c>
      <c r="K1338" s="6">
        <v>100</v>
      </c>
      <c r="L1338" s="6">
        <v>0</v>
      </c>
      <c r="M1338" s="6">
        <v>149.13999999999999</v>
      </c>
      <c r="N1338">
        <v>49.14</v>
      </c>
      <c r="O1338" s="6">
        <v>0</v>
      </c>
      <c r="P1338">
        <v>1</v>
      </c>
      <c r="Q1338" s="8">
        <v>453.8</v>
      </c>
      <c r="R1338" s="8">
        <v>453.8</v>
      </c>
      <c r="S1338" s="9" t="s">
        <v>541</v>
      </c>
    </row>
    <row r="1339" spans="1:19" hidden="1" x14ac:dyDescent="0.25">
      <c r="A1339" t="s">
        <v>134</v>
      </c>
      <c r="B1339" t="s">
        <v>78</v>
      </c>
      <c r="C1339" t="s">
        <v>128</v>
      </c>
      <c r="D1339" t="s">
        <v>554</v>
      </c>
      <c r="E1339" t="s">
        <v>91</v>
      </c>
      <c r="F1339" t="s">
        <v>96</v>
      </c>
      <c r="G1339">
        <v>5</v>
      </c>
      <c r="H1339">
        <v>1</v>
      </c>
      <c r="I1339">
        <v>2</v>
      </c>
      <c r="J1339">
        <v>1</v>
      </c>
      <c r="K1339" s="6">
        <v>100</v>
      </c>
      <c r="L1339" s="6">
        <v>0</v>
      </c>
      <c r="M1339" s="6">
        <v>149.13999999999999</v>
      </c>
      <c r="N1339">
        <v>49.14</v>
      </c>
      <c r="O1339" s="6">
        <v>0</v>
      </c>
      <c r="P1339">
        <v>1</v>
      </c>
      <c r="Q1339" s="8">
        <v>453.8</v>
      </c>
      <c r="R1339" s="8">
        <v>453.8</v>
      </c>
      <c r="S1339" s="9" t="s">
        <v>541</v>
      </c>
    </row>
    <row r="1340" spans="1:19" hidden="1" x14ac:dyDescent="0.25">
      <c r="A1340" t="s">
        <v>134</v>
      </c>
      <c r="B1340" t="s">
        <v>78</v>
      </c>
      <c r="C1340" t="s">
        <v>128</v>
      </c>
      <c r="D1340" t="s">
        <v>554</v>
      </c>
      <c r="E1340" t="s">
        <v>91</v>
      </c>
      <c r="F1340" t="s">
        <v>6</v>
      </c>
      <c r="G1340">
        <v>12</v>
      </c>
      <c r="H1340">
        <v>1</v>
      </c>
      <c r="I1340">
        <v>2</v>
      </c>
      <c r="J1340">
        <v>1</v>
      </c>
      <c r="K1340" s="6">
        <v>98.68</v>
      </c>
      <c r="L1340" s="6">
        <v>-1.32</v>
      </c>
      <c r="M1340" s="6">
        <v>148.47999999999999</v>
      </c>
      <c r="N1340">
        <v>49.8</v>
      </c>
      <c r="O1340" s="6">
        <v>0</v>
      </c>
      <c r="P1340">
        <v>1</v>
      </c>
      <c r="Q1340" s="8">
        <v>453.8</v>
      </c>
      <c r="R1340" s="8">
        <v>447.8</v>
      </c>
      <c r="S1340" s="9" t="s">
        <v>541</v>
      </c>
    </row>
    <row r="1341" spans="1:19" hidden="1" x14ac:dyDescent="0.25">
      <c r="A1341" t="s">
        <v>134</v>
      </c>
      <c r="B1341" t="s">
        <v>78</v>
      </c>
      <c r="C1341" t="s">
        <v>128</v>
      </c>
      <c r="D1341" t="s">
        <v>560</v>
      </c>
      <c r="E1341" t="s">
        <v>90</v>
      </c>
      <c r="F1341" t="s">
        <v>90</v>
      </c>
      <c r="G1341">
        <v>0</v>
      </c>
      <c r="H1341">
        <v>2</v>
      </c>
      <c r="I1341">
        <v>2</v>
      </c>
      <c r="J1341">
        <v>2</v>
      </c>
      <c r="K1341" s="6">
        <v>100</v>
      </c>
      <c r="L1341" s="6">
        <v>0</v>
      </c>
      <c r="M1341" s="6">
        <v>100</v>
      </c>
      <c r="N1341">
        <v>0</v>
      </c>
      <c r="O1341" s="6">
        <v>0</v>
      </c>
      <c r="P1341">
        <v>0</v>
      </c>
      <c r="Q1341" s="8">
        <v>571.29</v>
      </c>
      <c r="R1341" s="8">
        <v>571.29</v>
      </c>
      <c r="S1341" s="9" t="s">
        <v>536</v>
      </c>
    </row>
    <row r="1342" spans="1:19" hidden="1" x14ac:dyDescent="0.25">
      <c r="A1342" t="s">
        <v>134</v>
      </c>
      <c r="B1342" t="s">
        <v>78</v>
      </c>
      <c r="C1342" t="s">
        <v>128</v>
      </c>
      <c r="D1342" t="s">
        <v>560</v>
      </c>
      <c r="E1342" t="s">
        <v>90</v>
      </c>
      <c r="F1342" t="s">
        <v>91</v>
      </c>
      <c r="G1342">
        <v>1</v>
      </c>
      <c r="H1342">
        <v>2</v>
      </c>
      <c r="I1342">
        <v>2</v>
      </c>
      <c r="J1342">
        <v>2</v>
      </c>
      <c r="K1342" s="6">
        <v>100</v>
      </c>
      <c r="L1342" s="6">
        <v>0</v>
      </c>
      <c r="M1342" s="6">
        <v>100</v>
      </c>
      <c r="N1342">
        <v>0</v>
      </c>
      <c r="O1342" s="6">
        <v>0</v>
      </c>
      <c r="P1342">
        <v>0</v>
      </c>
      <c r="Q1342" s="8">
        <v>571.29</v>
      </c>
      <c r="R1342" s="8">
        <v>571.29</v>
      </c>
      <c r="S1342" s="9" t="s">
        <v>537</v>
      </c>
    </row>
    <row r="1343" spans="1:19" hidden="1" x14ac:dyDescent="0.25">
      <c r="A1343" t="s">
        <v>134</v>
      </c>
      <c r="B1343" t="s">
        <v>78</v>
      </c>
      <c r="C1343" t="s">
        <v>128</v>
      </c>
      <c r="D1343" t="s">
        <v>560</v>
      </c>
      <c r="E1343" t="s">
        <v>90</v>
      </c>
      <c r="F1343" t="s">
        <v>94</v>
      </c>
      <c r="G1343">
        <v>2</v>
      </c>
      <c r="H1343">
        <v>2</v>
      </c>
      <c r="I1343">
        <v>2</v>
      </c>
      <c r="J1343">
        <v>2</v>
      </c>
      <c r="K1343" s="6">
        <v>100</v>
      </c>
      <c r="L1343" s="6">
        <v>0</v>
      </c>
      <c r="M1343" s="6">
        <v>100</v>
      </c>
      <c r="N1343">
        <v>0</v>
      </c>
      <c r="O1343" s="6">
        <v>0</v>
      </c>
      <c r="P1343">
        <v>0</v>
      </c>
      <c r="Q1343" s="8">
        <v>571.29</v>
      </c>
      <c r="R1343" s="8">
        <v>571.29</v>
      </c>
      <c r="S1343" s="9" t="s">
        <v>537</v>
      </c>
    </row>
    <row r="1344" spans="1:19" hidden="1" x14ac:dyDescent="0.25">
      <c r="A1344" t="s">
        <v>134</v>
      </c>
      <c r="B1344" t="s">
        <v>78</v>
      </c>
      <c r="C1344" t="s">
        <v>128</v>
      </c>
      <c r="D1344" t="s">
        <v>560</v>
      </c>
      <c r="E1344" t="s">
        <v>90</v>
      </c>
      <c r="F1344" t="s">
        <v>96</v>
      </c>
      <c r="G1344">
        <v>6</v>
      </c>
      <c r="H1344">
        <v>2</v>
      </c>
      <c r="I1344">
        <v>2</v>
      </c>
      <c r="J1344">
        <v>2</v>
      </c>
      <c r="K1344" s="6">
        <v>100</v>
      </c>
      <c r="L1344" s="6">
        <v>0</v>
      </c>
      <c r="M1344" s="6">
        <v>100</v>
      </c>
      <c r="N1344">
        <v>0</v>
      </c>
      <c r="O1344" s="6">
        <v>0</v>
      </c>
      <c r="P1344">
        <v>0</v>
      </c>
      <c r="Q1344" s="8">
        <v>571.29</v>
      </c>
      <c r="R1344" s="8">
        <v>571.29</v>
      </c>
      <c r="S1344" s="9" t="s">
        <v>537</v>
      </c>
    </row>
    <row r="1345" spans="1:19" hidden="1" x14ac:dyDescent="0.25">
      <c r="A1345" t="s">
        <v>134</v>
      </c>
      <c r="B1345" t="s">
        <v>78</v>
      </c>
      <c r="C1345" t="s">
        <v>128</v>
      </c>
      <c r="D1345" t="s">
        <v>560</v>
      </c>
      <c r="E1345" t="s">
        <v>90</v>
      </c>
      <c r="F1345" t="s">
        <v>6</v>
      </c>
      <c r="G1345">
        <v>13</v>
      </c>
      <c r="H1345">
        <v>2</v>
      </c>
      <c r="I1345">
        <v>2</v>
      </c>
      <c r="J1345">
        <v>2</v>
      </c>
      <c r="K1345" s="6">
        <v>98.75</v>
      </c>
      <c r="L1345" s="6">
        <v>-1.25</v>
      </c>
      <c r="M1345" s="6">
        <v>98.75</v>
      </c>
      <c r="N1345">
        <v>0</v>
      </c>
      <c r="O1345" s="6">
        <v>0</v>
      </c>
      <c r="P1345">
        <v>0</v>
      </c>
      <c r="Q1345" s="8">
        <v>571.29</v>
      </c>
      <c r="R1345" s="8">
        <v>564.14</v>
      </c>
      <c r="S1345" s="9" t="s">
        <v>537</v>
      </c>
    </row>
    <row r="1346" spans="1:19" hidden="1" x14ac:dyDescent="0.25">
      <c r="A1346" t="s">
        <v>134</v>
      </c>
      <c r="B1346" t="s">
        <v>78</v>
      </c>
      <c r="C1346" t="s">
        <v>128</v>
      </c>
      <c r="D1346" t="s">
        <v>524</v>
      </c>
      <c r="E1346" t="s">
        <v>90</v>
      </c>
      <c r="F1346" t="s">
        <v>90</v>
      </c>
      <c r="G1346">
        <v>0</v>
      </c>
      <c r="H1346">
        <v>18</v>
      </c>
      <c r="I1346">
        <v>18</v>
      </c>
      <c r="J1346">
        <v>18</v>
      </c>
      <c r="K1346" s="6">
        <v>100</v>
      </c>
      <c r="L1346" s="6">
        <v>0</v>
      </c>
      <c r="M1346" s="6">
        <v>100</v>
      </c>
      <c r="N1346">
        <v>0</v>
      </c>
      <c r="O1346" s="6">
        <v>0</v>
      </c>
      <c r="P1346">
        <v>0</v>
      </c>
      <c r="Q1346" s="8">
        <v>513.04</v>
      </c>
      <c r="R1346" s="8">
        <v>513.04</v>
      </c>
      <c r="S1346" s="9" t="s">
        <v>620</v>
      </c>
    </row>
    <row r="1347" spans="1:19" hidden="1" x14ac:dyDescent="0.25">
      <c r="A1347" t="s">
        <v>134</v>
      </c>
      <c r="B1347" t="s">
        <v>78</v>
      </c>
      <c r="C1347" t="s">
        <v>128</v>
      </c>
      <c r="D1347" t="s">
        <v>524</v>
      </c>
      <c r="E1347" t="s">
        <v>90</v>
      </c>
      <c r="F1347" t="s">
        <v>91</v>
      </c>
      <c r="G1347">
        <v>1</v>
      </c>
      <c r="H1347">
        <v>18</v>
      </c>
      <c r="I1347">
        <v>18</v>
      </c>
      <c r="J1347">
        <v>18</v>
      </c>
      <c r="K1347" s="6">
        <v>100.23</v>
      </c>
      <c r="L1347" s="6">
        <v>0</v>
      </c>
      <c r="M1347" s="6">
        <v>100.23</v>
      </c>
      <c r="N1347">
        <v>0</v>
      </c>
      <c r="O1347" s="6">
        <v>0</v>
      </c>
      <c r="P1347">
        <v>0</v>
      </c>
      <c r="Q1347" s="8">
        <v>513.04</v>
      </c>
      <c r="R1347" s="8">
        <v>514.23</v>
      </c>
      <c r="S1347" s="10" t="s">
        <v>488</v>
      </c>
    </row>
    <row r="1348" spans="1:19" hidden="1" x14ac:dyDescent="0.25">
      <c r="A1348" t="s">
        <v>134</v>
      </c>
      <c r="B1348" t="s">
        <v>78</v>
      </c>
      <c r="C1348" t="s">
        <v>128</v>
      </c>
      <c r="D1348" t="s">
        <v>524</v>
      </c>
      <c r="E1348" t="s">
        <v>90</v>
      </c>
      <c r="F1348" t="s">
        <v>94</v>
      </c>
      <c r="G1348">
        <v>2</v>
      </c>
      <c r="H1348">
        <v>18</v>
      </c>
      <c r="I1348">
        <v>18</v>
      </c>
      <c r="J1348">
        <v>18</v>
      </c>
      <c r="K1348" s="6">
        <v>99.23</v>
      </c>
      <c r="L1348" s="6">
        <v>0</v>
      </c>
      <c r="M1348" s="6">
        <v>99.23</v>
      </c>
      <c r="N1348">
        <v>0</v>
      </c>
      <c r="O1348" s="6">
        <v>0</v>
      </c>
      <c r="P1348">
        <v>0</v>
      </c>
      <c r="Q1348" s="8">
        <v>513.04</v>
      </c>
      <c r="R1348" s="8">
        <v>509.07</v>
      </c>
      <c r="S1348" s="10" t="s">
        <v>488</v>
      </c>
    </row>
    <row r="1349" spans="1:19" hidden="1" x14ac:dyDescent="0.25">
      <c r="A1349" t="s">
        <v>134</v>
      </c>
      <c r="B1349" t="s">
        <v>78</v>
      </c>
      <c r="C1349" t="s">
        <v>128</v>
      </c>
      <c r="D1349" t="s">
        <v>524</v>
      </c>
      <c r="E1349" t="s">
        <v>90</v>
      </c>
      <c r="F1349" t="s">
        <v>96</v>
      </c>
      <c r="G1349">
        <v>6</v>
      </c>
      <c r="H1349">
        <v>18</v>
      </c>
      <c r="I1349">
        <v>18</v>
      </c>
      <c r="J1349">
        <v>18</v>
      </c>
      <c r="K1349" s="6">
        <v>99.12</v>
      </c>
      <c r="L1349" s="6">
        <v>0</v>
      </c>
      <c r="M1349" s="6">
        <v>99.12</v>
      </c>
      <c r="N1349">
        <v>0</v>
      </c>
      <c r="O1349" s="6">
        <v>0</v>
      </c>
      <c r="P1349">
        <v>0</v>
      </c>
      <c r="Q1349" s="8">
        <v>513.04</v>
      </c>
      <c r="R1349" s="8">
        <v>508.52</v>
      </c>
      <c r="S1349" s="10" t="s">
        <v>488</v>
      </c>
    </row>
    <row r="1350" spans="1:19" hidden="1" x14ac:dyDescent="0.25">
      <c r="A1350" t="s">
        <v>134</v>
      </c>
      <c r="B1350" t="s">
        <v>78</v>
      </c>
      <c r="C1350" t="s">
        <v>128</v>
      </c>
      <c r="D1350" t="s">
        <v>524</v>
      </c>
      <c r="E1350" t="s">
        <v>90</v>
      </c>
      <c r="F1350" t="s">
        <v>6</v>
      </c>
      <c r="G1350">
        <v>13</v>
      </c>
      <c r="H1350">
        <v>18</v>
      </c>
      <c r="I1350">
        <v>18</v>
      </c>
      <c r="J1350">
        <v>18</v>
      </c>
      <c r="K1350" s="6">
        <v>98</v>
      </c>
      <c r="L1350" s="6">
        <v>0</v>
      </c>
      <c r="M1350" s="6">
        <v>98</v>
      </c>
      <c r="N1350">
        <v>0</v>
      </c>
      <c r="O1350" s="6">
        <v>0</v>
      </c>
      <c r="P1350">
        <v>0</v>
      </c>
      <c r="Q1350" s="8">
        <v>513.04</v>
      </c>
      <c r="R1350" s="8">
        <v>502.78</v>
      </c>
      <c r="S1350" s="10" t="s">
        <v>488</v>
      </c>
    </row>
    <row r="1351" spans="1:19" hidden="1" x14ac:dyDescent="0.25">
      <c r="A1351" t="s">
        <v>134</v>
      </c>
      <c r="B1351" t="s">
        <v>78</v>
      </c>
      <c r="C1351" t="s">
        <v>128</v>
      </c>
      <c r="D1351" t="s">
        <v>527</v>
      </c>
      <c r="E1351" t="s">
        <v>90</v>
      </c>
      <c r="F1351" t="s">
        <v>90</v>
      </c>
      <c r="G1351">
        <v>0</v>
      </c>
      <c r="H1351">
        <v>23</v>
      </c>
      <c r="I1351">
        <v>23</v>
      </c>
      <c r="J1351">
        <v>23</v>
      </c>
      <c r="K1351" s="6">
        <v>100</v>
      </c>
      <c r="L1351" s="6">
        <v>0</v>
      </c>
      <c r="M1351" s="6">
        <v>100</v>
      </c>
      <c r="N1351">
        <v>0</v>
      </c>
      <c r="O1351" s="6">
        <v>0</v>
      </c>
      <c r="P1351">
        <v>0</v>
      </c>
      <c r="Q1351" s="8">
        <v>531.97</v>
      </c>
      <c r="R1351" s="8">
        <v>531.97</v>
      </c>
      <c r="S1351" s="9" t="s">
        <v>621</v>
      </c>
    </row>
    <row r="1352" spans="1:19" hidden="1" x14ac:dyDescent="0.25">
      <c r="A1352" t="s">
        <v>134</v>
      </c>
      <c r="B1352" t="s">
        <v>78</v>
      </c>
      <c r="C1352" t="s">
        <v>128</v>
      </c>
      <c r="D1352" t="s">
        <v>527</v>
      </c>
      <c r="E1352" t="s">
        <v>90</v>
      </c>
      <c r="F1352" t="s">
        <v>91</v>
      </c>
      <c r="G1352">
        <v>1</v>
      </c>
      <c r="H1352">
        <v>23</v>
      </c>
      <c r="I1352">
        <v>23</v>
      </c>
      <c r="J1352">
        <v>23</v>
      </c>
      <c r="K1352" s="6">
        <v>100</v>
      </c>
      <c r="L1352" s="6">
        <v>0</v>
      </c>
      <c r="M1352" s="6">
        <v>100</v>
      </c>
      <c r="N1352">
        <v>0</v>
      </c>
      <c r="O1352" s="6">
        <v>0</v>
      </c>
      <c r="P1352">
        <v>0</v>
      </c>
      <c r="Q1352" s="8">
        <v>531.97</v>
      </c>
      <c r="R1352" s="8">
        <v>531.97</v>
      </c>
      <c r="S1352" s="10" t="s">
        <v>132</v>
      </c>
    </row>
    <row r="1353" spans="1:19" hidden="1" x14ac:dyDescent="0.25">
      <c r="A1353" t="s">
        <v>134</v>
      </c>
      <c r="B1353" t="s">
        <v>78</v>
      </c>
      <c r="C1353" t="s">
        <v>128</v>
      </c>
      <c r="D1353" t="s">
        <v>527</v>
      </c>
      <c r="E1353" t="s">
        <v>90</v>
      </c>
      <c r="F1353" t="s">
        <v>94</v>
      </c>
      <c r="G1353">
        <v>2</v>
      </c>
      <c r="H1353">
        <v>23</v>
      </c>
      <c r="I1353">
        <v>23</v>
      </c>
      <c r="J1353">
        <v>23</v>
      </c>
      <c r="K1353" s="6">
        <v>99.47</v>
      </c>
      <c r="L1353" s="6">
        <v>0</v>
      </c>
      <c r="M1353" s="6">
        <v>99.47</v>
      </c>
      <c r="N1353">
        <v>0</v>
      </c>
      <c r="O1353" s="6">
        <v>0</v>
      </c>
      <c r="P1353">
        <v>0</v>
      </c>
      <c r="Q1353" s="8">
        <v>531.97</v>
      </c>
      <c r="R1353" s="8">
        <v>529.16999999999996</v>
      </c>
      <c r="S1353" s="10" t="s">
        <v>132</v>
      </c>
    </row>
    <row r="1354" spans="1:19" hidden="1" x14ac:dyDescent="0.25">
      <c r="A1354" t="s">
        <v>134</v>
      </c>
      <c r="B1354" t="s">
        <v>78</v>
      </c>
      <c r="C1354" t="s">
        <v>128</v>
      </c>
      <c r="D1354" t="s">
        <v>527</v>
      </c>
      <c r="E1354" t="s">
        <v>90</v>
      </c>
      <c r="F1354" t="s">
        <v>96</v>
      </c>
      <c r="G1354">
        <v>6</v>
      </c>
      <c r="H1354">
        <v>23</v>
      </c>
      <c r="I1354">
        <v>23</v>
      </c>
      <c r="J1354">
        <v>23</v>
      </c>
      <c r="K1354" s="6">
        <v>99.38</v>
      </c>
      <c r="L1354" s="6">
        <v>0</v>
      </c>
      <c r="M1354" s="6">
        <v>99.38</v>
      </c>
      <c r="N1354">
        <v>0</v>
      </c>
      <c r="O1354" s="6">
        <v>0</v>
      </c>
      <c r="P1354">
        <v>0</v>
      </c>
      <c r="Q1354" s="8">
        <v>531.97</v>
      </c>
      <c r="R1354" s="8">
        <v>528.67999999999995</v>
      </c>
      <c r="S1354" s="10" t="s">
        <v>132</v>
      </c>
    </row>
    <row r="1355" spans="1:19" hidden="1" x14ac:dyDescent="0.25">
      <c r="A1355" t="s">
        <v>134</v>
      </c>
      <c r="B1355" t="s">
        <v>78</v>
      </c>
      <c r="C1355" t="s">
        <v>128</v>
      </c>
      <c r="D1355" t="s">
        <v>527</v>
      </c>
      <c r="E1355" t="s">
        <v>90</v>
      </c>
      <c r="F1355" t="s">
        <v>6</v>
      </c>
      <c r="G1355">
        <v>13</v>
      </c>
      <c r="H1355">
        <v>23</v>
      </c>
      <c r="I1355">
        <v>23</v>
      </c>
      <c r="J1355">
        <v>23</v>
      </c>
      <c r="K1355" s="6">
        <v>98.48</v>
      </c>
      <c r="L1355" s="6">
        <v>0</v>
      </c>
      <c r="M1355" s="6">
        <v>98.48</v>
      </c>
      <c r="N1355">
        <v>0</v>
      </c>
      <c r="O1355" s="6">
        <v>0</v>
      </c>
      <c r="P1355">
        <v>0</v>
      </c>
      <c r="Q1355" s="8">
        <v>531.97</v>
      </c>
      <c r="R1355" s="8">
        <v>523.89</v>
      </c>
      <c r="S1355" s="10" t="s">
        <v>132</v>
      </c>
    </row>
    <row r="1356" spans="1:19" hidden="1" x14ac:dyDescent="0.25">
      <c r="A1356" t="s">
        <v>134</v>
      </c>
      <c r="B1356" t="s">
        <v>78</v>
      </c>
      <c r="C1356" t="s">
        <v>128</v>
      </c>
      <c r="D1356" t="s">
        <v>530</v>
      </c>
      <c r="E1356" t="s">
        <v>90</v>
      </c>
      <c r="F1356" t="s">
        <v>90</v>
      </c>
      <c r="G1356">
        <v>0</v>
      </c>
      <c r="H1356">
        <v>20</v>
      </c>
      <c r="I1356">
        <v>20</v>
      </c>
      <c r="J1356">
        <v>20</v>
      </c>
      <c r="K1356" s="6">
        <v>100</v>
      </c>
      <c r="L1356" s="6">
        <v>0</v>
      </c>
      <c r="M1356" s="6">
        <v>100</v>
      </c>
      <c r="N1356">
        <v>0</v>
      </c>
      <c r="O1356" s="6">
        <v>0</v>
      </c>
      <c r="P1356">
        <v>0</v>
      </c>
      <c r="Q1356" s="8">
        <v>577.36</v>
      </c>
      <c r="R1356" s="8">
        <v>577.36</v>
      </c>
      <c r="S1356" s="9" t="s">
        <v>622</v>
      </c>
    </row>
    <row r="1357" spans="1:19" hidden="1" x14ac:dyDescent="0.25">
      <c r="A1357" t="s">
        <v>134</v>
      </c>
      <c r="B1357" t="s">
        <v>78</v>
      </c>
      <c r="C1357" t="s">
        <v>128</v>
      </c>
      <c r="D1357" t="s">
        <v>530</v>
      </c>
      <c r="E1357" t="s">
        <v>90</v>
      </c>
      <c r="F1357" t="s">
        <v>91</v>
      </c>
      <c r="G1357">
        <v>1</v>
      </c>
      <c r="H1357">
        <v>20</v>
      </c>
      <c r="I1357">
        <v>20</v>
      </c>
      <c r="J1357">
        <v>20</v>
      </c>
      <c r="K1357" s="6">
        <v>100</v>
      </c>
      <c r="L1357" s="6">
        <v>0</v>
      </c>
      <c r="M1357" s="6">
        <v>100</v>
      </c>
      <c r="N1357">
        <v>0</v>
      </c>
      <c r="O1357" s="6">
        <v>0</v>
      </c>
      <c r="P1357">
        <v>0</v>
      </c>
      <c r="Q1357" s="8">
        <v>577.36</v>
      </c>
      <c r="R1357" s="8">
        <v>577.36</v>
      </c>
      <c r="S1357" s="10" t="s">
        <v>487</v>
      </c>
    </row>
    <row r="1358" spans="1:19" hidden="1" x14ac:dyDescent="0.25">
      <c r="A1358" t="s">
        <v>134</v>
      </c>
      <c r="B1358" t="s">
        <v>78</v>
      </c>
      <c r="C1358" t="s">
        <v>128</v>
      </c>
      <c r="D1358" t="s">
        <v>530</v>
      </c>
      <c r="E1358" t="s">
        <v>90</v>
      </c>
      <c r="F1358" t="s">
        <v>94</v>
      </c>
      <c r="G1358">
        <v>2</v>
      </c>
      <c r="H1358">
        <v>20</v>
      </c>
      <c r="I1358">
        <v>20</v>
      </c>
      <c r="J1358">
        <v>20</v>
      </c>
      <c r="K1358" s="6">
        <v>99.81</v>
      </c>
      <c r="L1358" s="6">
        <v>0</v>
      </c>
      <c r="M1358" s="6">
        <v>99.81</v>
      </c>
      <c r="N1358">
        <v>0</v>
      </c>
      <c r="O1358" s="6">
        <v>0</v>
      </c>
      <c r="P1358">
        <v>0</v>
      </c>
      <c r="Q1358" s="8">
        <v>577.36</v>
      </c>
      <c r="R1358" s="8">
        <v>576.29</v>
      </c>
      <c r="S1358" s="10" t="s">
        <v>487</v>
      </c>
    </row>
    <row r="1359" spans="1:19" hidden="1" x14ac:dyDescent="0.25">
      <c r="A1359" t="s">
        <v>134</v>
      </c>
      <c r="B1359" t="s">
        <v>78</v>
      </c>
      <c r="C1359" t="s">
        <v>128</v>
      </c>
      <c r="D1359" t="s">
        <v>530</v>
      </c>
      <c r="E1359" t="s">
        <v>90</v>
      </c>
      <c r="F1359" t="s">
        <v>96</v>
      </c>
      <c r="G1359">
        <v>6</v>
      </c>
      <c r="H1359">
        <v>20</v>
      </c>
      <c r="I1359">
        <v>20</v>
      </c>
      <c r="J1359">
        <v>20</v>
      </c>
      <c r="K1359" s="6">
        <v>99.81</v>
      </c>
      <c r="L1359" s="6">
        <v>0</v>
      </c>
      <c r="M1359" s="6">
        <v>99.81</v>
      </c>
      <c r="N1359">
        <v>0</v>
      </c>
      <c r="O1359" s="6">
        <v>0</v>
      </c>
      <c r="P1359">
        <v>0</v>
      </c>
      <c r="Q1359" s="8">
        <v>577.36</v>
      </c>
      <c r="R1359" s="8">
        <v>576.29</v>
      </c>
      <c r="S1359" s="10" t="s">
        <v>487</v>
      </c>
    </row>
    <row r="1360" spans="1:19" hidden="1" x14ac:dyDescent="0.25">
      <c r="A1360" t="s">
        <v>134</v>
      </c>
      <c r="B1360" t="s">
        <v>78</v>
      </c>
      <c r="C1360" t="s">
        <v>128</v>
      </c>
      <c r="D1360" t="s">
        <v>530</v>
      </c>
      <c r="E1360" t="s">
        <v>90</v>
      </c>
      <c r="F1360" t="s">
        <v>6</v>
      </c>
      <c r="G1360">
        <v>13</v>
      </c>
      <c r="H1360">
        <v>20</v>
      </c>
      <c r="I1360">
        <v>20</v>
      </c>
      <c r="J1360">
        <v>20</v>
      </c>
      <c r="K1360" s="6">
        <v>99.65</v>
      </c>
      <c r="L1360" s="6">
        <v>0</v>
      </c>
      <c r="M1360" s="6">
        <v>99.65</v>
      </c>
      <c r="N1360">
        <v>0</v>
      </c>
      <c r="O1360" s="6">
        <v>0</v>
      </c>
      <c r="P1360">
        <v>0</v>
      </c>
      <c r="Q1360" s="8">
        <v>577.36</v>
      </c>
      <c r="R1360" s="8">
        <v>575.36</v>
      </c>
      <c r="S1360" s="10" t="s">
        <v>487</v>
      </c>
    </row>
    <row r="1361" spans="1:19" hidden="1" x14ac:dyDescent="0.25">
      <c r="A1361" t="s">
        <v>134</v>
      </c>
      <c r="B1361" t="s">
        <v>78</v>
      </c>
      <c r="C1361" t="s">
        <v>128</v>
      </c>
      <c r="D1361" t="s">
        <v>531</v>
      </c>
      <c r="E1361" t="s">
        <v>90</v>
      </c>
      <c r="F1361" t="s">
        <v>90</v>
      </c>
      <c r="G1361">
        <v>0</v>
      </c>
      <c r="H1361">
        <v>24</v>
      </c>
      <c r="I1361">
        <v>24</v>
      </c>
      <c r="J1361">
        <v>24</v>
      </c>
      <c r="K1361" s="6">
        <v>100</v>
      </c>
      <c r="L1361" s="6">
        <v>0</v>
      </c>
      <c r="M1361" s="6">
        <v>100</v>
      </c>
      <c r="N1361">
        <v>0</v>
      </c>
      <c r="O1361" s="6">
        <v>0</v>
      </c>
      <c r="P1361">
        <v>0</v>
      </c>
      <c r="Q1361" s="8">
        <v>594.74</v>
      </c>
      <c r="R1361" s="8">
        <v>594.74</v>
      </c>
      <c r="S1361" s="9" t="s">
        <v>601</v>
      </c>
    </row>
    <row r="1362" spans="1:19" hidden="1" x14ac:dyDescent="0.25">
      <c r="A1362" t="s">
        <v>134</v>
      </c>
      <c r="B1362" t="s">
        <v>78</v>
      </c>
      <c r="C1362" t="s">
        <v>128</v>
      </c>
      <c r="D1362" t="s">
        <v>531</v>
      </c>
      <c r="E1362" t="s">
        <v>90</v>
      </c>
      <c r="F1362" t="s">
        <v>91</v>
      </c>
      <c r="G1362">
        <v>1</v>
      </c>
      <c r="H1362">
        <v>24</v>
      </c>
      <c r="I1362">
        <v>24</v>
      </c>
      <c r="J1362">
        <v>24</v>
      </c>
      <c r="K1362" s="6">
        <v>100</v>
      </c>
      <c r="L1362" s="6">
        <v>0</v>
      </c>
      <c r="M1362" s="6">
        <v>100</v>
      </c>
      <c r="N1362">
        <v>0</v>
      </c>
      <c r="O1362" s="6">
        <v>0</v>
      </c>
      <c r="P1362">
        <v>0</v>
      </c>
      <c r="Q1362" s="8">
        <v>594.74</v>
      </c>
      <c r="R1362" s="8">
        <v>594.74</v>
      </c>
      <c r="S1362" s="10" t="s">
        <v>602</v>
      </c>
    </row>
    <row r="1363" spans="1:19" hidden="1" x14ac:dyDescent="0.25">
      <c r="A1363" t="s">
        <v>134</v>
      </c>
      <c r="B1363" t="s">
        <v>78</v>
      </c>
      <c r="C1363" t="s">
        <v>128</v>
      </c>
      <c r="D1363" t="s">
        <v>531</v>
      </c>
      <c r="E1363" t="s">
        <v>90</v>
      </c>
      <c r="F1363" t="s">
        <v>94</v>
      </c>
      <c r="G1363">
        <v>2</v>
      </c>
      <c r="H1363">
        <v>24</v>
      </c>
      <c r="I1363">
        <v>24</v>
      </c>
      <c r="J1363">
        <v>24</v>
      </c>
      <c r="K1363" s="6">
        <v>99.85</v>
      </c>
      <c r="L1363" s="6">
        <v>0</v>
      </c>
      <c r="M1363" s="6">
        <v>99.85</v>
      </c>
      <c r="N1363">
        <v>0</v>
      </c>
      <c r="O1363" s="6">
        <v>0</v>
      </c>
      <c r="P1363">
        <v>0</v>
      </c>
      <c r="Q1363" s="8">
        <v>594.74</v>
      </c>
      <c r="R1363" s="8">
        <v>593.85</v>
      </c>
      <c r="S1363" s="10" t="s">
        <v>602</v>
      </c>
    </row>
    <row r="1364" spans="1:19" hidden="1" x14ac:dyDescent="0.25">
      <c r="A1364" t="s">
        <v>134</v>
      </c>
      <c r="B1364" t="s">
        <v>78</v>
      </c>
      <c r="C1364" t="s">
        <v>128</v>
      </c>
      <c r="D1364" t="s">
        <v>531</v>
      </c>
      <c r="E1364" t="s">
        <v>90</v>
      </c>
      <c r="F1364" t="s">
        <v>96</v>
      </c>
      <c r="G1364">
        <v>6</v>
      </c>
      <c r="H1364">
        <v>24</v>
      </c>
      <c r="I1364">
        <v>24</v>
      </c>
      <c r="J1364">
        <v>24</v>
      </c>
      <c r="K1364" s="6">
        <v>99.85</v>
      </c>
      <c r="L1364" s="6">
        <v>0</v>
      </c>
      <c r="M1364" s="6">
        <v>99.85</v>
      </c>
      <c r="N1364">
        <v>0</v>
      </c>
      <c r="O1364" s="6">
        <v>0</v>
      </c>
      <c r="P1364">
        <v>0</v>
      </c>
      <c r="Q1364" s="8">
        <v>594.74</v>
      </c>
      <c r="R1364" s="8">
        <v>593.85</v>
      </c>
      <c r="S1364" s="10" t="s">
        <v>602</v>
      </c>
    </row>
    <row r="1365" spans="1:19" hidden="1" x14ac:dyDescent="0.25">
      <c r="A1365" t="s">
        <v>134</v>
      </c>
      <c r="B1365" t="s">
        <v>78</v>
      </c>
      <c r="C1365" t="s">
        <v>128</v>
      </c>
      <c r="D1365" t="s">
        <v>531</v>
      </c>
      <c r="E1365" t="s">
        <v>90</v>
      </c>
      <c r="F1365" t="s">
        <v>6</v>
      </c>
      <c r="G1365">
        <v>13</v>
      </c>
      <c r="H1365">
        <v>24</v>
      </c>
      <c r="I1365">
        <v>24</v>
      </c>
      <c r="J1365">
        <v>24</v>
      </c>
      <c r="K1365" s="6">
        <v>98.94</v>
      </c>
      <c r="L1365" s="6">
        <v>0</v>
      </c>
      <c r="M1365" s="6">
        <v>98.94</v>
      </c>
      <c r="N1365">
        <v>0</v>
      </c>
      <c r="O1365" s="6">
        <v>0</v>
      </c>
      <c r="P1365">
        <v>0</v>
      </c>
      <c r="Q1365" s="8">
        <v>594.74</v>
      </c>
      <c r="R1365" s="8">
        <v>588.42999999999995</v>
      </c>
      <c r="S1365" s="10" t="s">
        <v>602</v>
      </c>
    </row>
    <row r="1366" spans="1:19" hidden="1" x14ac:dyDescent="0.25">
      <c r="A1366" t="s">
        <v>134</v>
      </c>
      <c r="B1366" t="s">
        <v>78</v>
      </c>
      <c r="C1366" t="s">
        <v>128</v>
      </c>
      <c r="D1366" t="s">
        <v>532</v>
      </c>
      <c r="E1366" t="s">
        <v>90</v>
      </c>
      <c r="F1366" t="s">
        <v>90</v>
      </c>
      <c r="G1366">
        <v>0</v>
      </c>
      <c r="H1366">
        <v>20</v>
      </c>
      <c r="I1366">
        <v>20</v>
      </c>
      <c r="J1366">
        <v>20</v>
      </c>
      <c r="K1366" s="6">
        <v>100</v>
      </c>
      <c r="L1366" s="6">
        <v>0</v>
      </c>
      <c r="M1366" s="6">
        <v>100</v>
      </c>
      <c r="N1366">
        <v>0</v>
      </c>
      <c r="O1366" s="6">
        <v>0</v>
      </c>
      <c r="P1366">
        <v>0</v>
      </c>
      <c r="Q1366" s="8">
        <v>567.04999999999995</v>
      </c>
      <c r="R1366" s="8">
        <v>567.04999999999995</v>
      </c>
      <c r="S1366" s="9" t="s">
        <v>622</v>
      </c>
    </row>
    <row r="1367" spans="1:19" hidden="1" x14ac:dyDescent="0.25">
      <c r="A1367" t="s">
        <v>134</v>
      </c>
      <c r="B1367" t="s">
        <v>78</v>
      </c>
      <c r="C1367" t="s">
        <v>128</v>
      </c>
      <c r="D1367" t="s">
        <v>532</v>
      </c>
      <c r="E1367" t="s">
        <v>90</v>
      </c>
      <c r="F1367" t="s">
        <v>91</v>
      </c>
      <c r="G1367">
        <v>1</v>
      </c>
      <c r="H1367">
        <v>20</v>
      </c>
      <c r="I1367">
        <v>20</v>
      </c>
      <c r="J1367">
        <v>20</v>
      </c>
      <c r="K1367" s="6">
        <v>100</v>
      </c>
      <c r="L1367" s="6">
        <v>0</v>
      </c>
      <c r="M1367" s="6">
        <v>100</v>
      </c>
      <c r="N1367">
        <v>0</v>
      </c>
      <c r="O1367" s="6">
        <v>0</v>
      </c>
      <c r="P1367">
        <v>0</v>
      </c>
      <c r="Q1367" s="8">
        <v>567.04999999999995</v>
      </c>
      <c r="R1367" s="8">
        <v>567.04999999999995</v>
      </c>
      <c r="S1367" s="10" t="s">
        <v>487</v>
      </c>
    </row>
    <row r="1368" spans="1:19" hidden="1" x14ac:dyDescent="0.25">
      <c r="A1368" t="s">
        <v>134</v>
      </c>
      <c r="B1368" t="s">
        <v>78</v>
      </c>
      <c r="C1368" t="s">
        <v>128</v>
      </c>
      <c r="D1368" t="s">
        <v>532</v>
      </c>
      <c r="E1368" t="s">
        <v>90</v>
      </c>
      <c r="F1368" t="s">
        <v>94</v>
      </c>
      <c r="G1368">
        <v>2</v>
      </c>
      <c r="H1368">
        <v>20</v>
      </c>
      <c r="I1368">
        <v>20</v>
      </c>
      <c r="J1368">
        <v>20</v>
      </c>
      <c r="K1368" s="6">
        <v>99.9</v>
      </c>
      <c r="L1368" s="6">
        <v>0</v>
      </c>
      <c r="M1368" s="6">
        <v>99.9</v>
      </c>
      <c r="N1368">
        <v>0</v>
      </c>
      <c r="O1368" s="6">
        <v>0</v>
      </c>
      <c r="P1368">
        <v>0</v>
      </c>
      <c r="Q1368" s="8">
        <v>567.04999999999995</v>
      </c>
      <c r="R1368" s="8">
        <v>566.48</v>
      </c>
      <c r="S1368" s="10" t="s">
        <v>487</v>
      </c>
    </row>
    <row r="1369" spans="1:19" hidden="1" x14ac:dyDescent="0.25">
      <c r="A1369" t="s">
        <v>134</v>
      </c>
      <c r="B1369" t="s">
        <v>78</v>
      </c>
      <c r="C1369" t="s">
        <v>128</v>
      </c>
      <c r="D1369" t="s">
        <v>532</v>
      </c>
      <c r="E1369" t="s">
        <v>90</v>
      </c>
      <c r="F1369" t="s">
        <v>96</v>
      </c>
      <c r="G1369">
        <v>6</v>
      </c>
      <c r="H1369">
        <v>20</v>
      </c>
      <c r="I1369">
        <v>20</v>
      </c>
      <c r="J1369">
        <v>20</v>
      </c>
      <c r="K1369" s="6">
        <v>99.37</v>
      </c>
      <c r="L1369" s="6">
        <v>0</v>
      </c>
      <c r="M1369" s="6">
        <v>99.37</v>
      </c>
      <c r="N1369">
        <v>0</v>
      </c>
      <c r="O1369" s="6">
        <v>0</v>
      </c>
      <c r="P1369">
        <v>0</v>
      </c>
      <c r="Q1369" s="8">
        <v>567.04999999999995</v>
      </c>
      <c r="R1369" s="8">
        <v>563.48</v>
      </c>
      <c r="S1369" s="10" t="s">
        <v>487</v>
      </c>
    </row>
    <row r="1370" spans="1:19" hidden="1" x14ac:dyDescent="0.25">
      <c r="A1370" t="s">
        <v>134</v>
      </c>
      <c r="B1370" t="s">
        <v>78</v>
      </c>
      <c r="C1370" t="s">
        <v>128</v>
      </c>
      <c r="D1370" t="s">
        <v>532</v>
      </c>
      <c r="E1370" t="s">
        <v>90</v>
      </c>
      <c r="F1370" t="s">
        <v>6</v>
      </c>
      <c r="G1370">
        <v>13</v>
      </c>
      <c r="H1370">
        <v>20</v>
      </c>
      <c r="I1370">
        <v>20</v>
      </c>
      <c r="J1370">
        <v>20</v>
      </c>
      <c r="K1370" s="6">
        <v>98.59</v>
      </c>
      <c r="L1370" s="6">
        <v>-1.53</v>
      </c>
      <c r="M1370" s="6">
        <v>98.59</v>
      </c>
      <c r="N1370">
        <v>0</v>
      </c>
      <c r="O1370" s="6">
        <v>0</v>
      </c>
      <c r="P1370">
        <v>0</v>
      </c>
      <c r="Q1370" s="8">
        <v>567.04999999999995</v>
      </c>
      <c r="R1370" s="8">
        <v>559.04999999999995</v>
      </c>
      <c r="S1370" s="10" t="s">
        <v>487</v>
      </c>
    </row>
    <row r="1371" spans="1:19" hidden="1" x14ac:dyDescent="0.25">
      <c r="A1371" t="s">
        <v>134</v>
      </c>
      <c r="B1371" t="s">
        <v>78</v>
      </c>
      <c r="C1371" t="s">
        <v>128</v>
      </c>
      <c r="D1371" t="s">
        <v>533</v>
      </c>
      <c r="E1371" t="s">
        <v>94</v>
      </c>
      <c r="F1371" t="s">
        <v>94</v>
      </c>
      <c r="G1371">
        <v>0</v>
      </c>
      <c r="H1371">
        <v>14</v>
      </c>
      <c r="I1371">
        <v>14</v>
      </c>
      <c r="J1371">
        <v>14</v>
      </c>
      <c r="K1371" s="6">
        <v>100</v>
      </c>
      <c r="L1371" s="6">
        <v>0</v>
      </c>
      <c r="M1371" s="6">
        <v>100</v>
      </c>
      <c r="N1371">
        <v>0</v>
      </c>
      <c r="O1371" s="6">
        <v>0</v>
      </c>
      <c r="P1371">
        <v>0</v>
      </c>
      <c r="Q1371" s="8">
        <v>557.66</v>
      </c>
      <c r="R1371" s="8">
        <v>557.66</v>
      </c>
      <c r="S1371" s="9" t="s">
        <v>617</v>
      </c>
    </row>
    <row r="1372" spans="1:19" hidden="1" x14ac:dyDescent="0.25">
      <c r="A1372" t="s">
        <v>134</v>
      </c>
      <c r="B1372" t="s">
        <v>78</v>
      </c>
      <c r="C1372" t="s">
        <v>128</v>
      </c>
      <c r="D1372" t="s">
        <v>533</v>
      </c>
      <c r="E1372" t="s">
        <v>94</v>
      </c>
      <c r="F1372" t="s">
        <v>96</v>
      </c>
      <c r="G1372">
        <v>4</v>
      </c>
      <c r="H1372">
        <v>14</v>
      </c>
      <c r="I1372">
        <v>14</v>
      </c>
      <c r="J1372">
        <v>14</v>
      </c>
      <c r="K1372" s="6">
        <v>100</v>
      </c>
      <c r="L1372" s="6">
        <v>0</v>
      </c>
      <c r="M1372" s="6">
        <v>100</v>
      </c>
      <c r="N1372">
        <v>0</v>
      </c>
      <c r="O1372" s="6">
        <v>0</v>
      </c>
      <c r="P1372">
        <v>0</v>
      </c>
      <c r="Q1372" s="8">
        <v>557.66</v>
      </c>
      <c r="R1372" s="8">
        <v>557.66</v>
      </c>
      <c r="S1372" s="10" t="s">
        <v>607</v>
      </c>
    </row>
    <row r="1373" spans="1:19" hidden="1" x14ac:dyDescent="0.25">
      <c r="A1373" t="s">
        <v>134</v>
      </c>
      <c r="B1373" t="s">
        <v>78</v>
      </c>
      <c r="C1373" t="s">
        <v>128</v>
      </c>
      <c r="D1373" t="s">
        <v>533</v>
      </c>
      <c r="E1373" t="s">
        <v>94</v>
      </c>
      <c r="F1373" t="s">
        <v>6</v>
      </c>
      <c r="G1373">
        <v>11</v>
      </c>
      <c r="H1373">
        <v>14</v>
      </c>
      <c r="I1373">
        <v>14</v>
      </c>
      <c r="J1373">
        <v>14</v>
      </c>
      <c r="K1373" s="6">
        <v>99.69</v>
      </c>
      <c r="L1373" s="6">
        <v>0</v>
      </c>
      <c r="M1373" s="6">
        <v>99.69</v>
      </c>
      <c r="N1373">
        <v>0</v>
      </c>
      <c r="O1373" s="6">
        <v>0</v>
      </c>
      <c r="P1373">
        <v>0</v>
      </c>
      <c r="Q1373" s="8">
        <v>557.66</v>
      </c>
      <c r="R1373" s="8">
        <v>555.94000000000005</v>
      </c>
      <c r="S1373" s="10" t="s">
        <v>607</v>
      </c>
    </row>
    <row r="1374" spans="1:19" hidden="1" x14ac:dyDescent="0.25">
      <c r="A1374" t="s">
        <v>134</v>
      </c>
      <c r="B1374" t="s">
        <v>78</v>
      </c>
      <c r="C1374" t="s">
        <v>128</v>
      </c>
      <c r="D1374" t="s">
        <v>545</v>
      </c>
      <c r="E1374" t="s">
        <v>94</v>
      </c>
      <c r="F1374" t="s">
        <v>94</v>
      </c>
      <c r="G1374">
        <v>0</v>
      </c>
      <c r="H1374">
        <v>6</v>
      </c>
      <c r="I1374">
        <v>6</v>
      </c>
      <c r="J1374">
        <v>6</v>
      </c>
      <c r="K1374" s="6">
        <v>100</v>
      </c>
      <c r="L1374" s="6">
        <v>0</v>
      </c>
      <c r="M1374" s="6">
        <v>100</v>
      </c>
      <c r="N1374">
        <v>0</v>
      </c>
      <c r="O1374" s="6">
        <v>0</v>
      </c>
      <c r="P1374">
        <v>0</v>
      </c>
      <c r="Q1374" s="8">
        <v>528.77</v>
      </c>
      <c r="R1374" s="8">
        <v>528.77</v>
      </c>
      <c r="S1374" s="9" t="s">
        <v>534</v>
      </c>
    </row>
    <row r="1375" spans="1:19" hidden="1" x14ac:dyDescent="0.25">
      <c r="A1375" t="s">
        <v>134</v>
      </c>
      <c r="B1375" t="s">
        <v>78</v>
      </c>
      <c r="C1375" t="s">
        <v>128</v>
      </c>
      <c r="D1375" t="s">
        <v>545</v>
      </c>
      <c r="E1375" t="s">
        <v>94</v>
      </c>
      <c r="F1375" t="s">
        <v>96</v>
      </c>
      <c r="G1375">
        <v>4</v>
      </c>
      <c r="H1375">
        <v>6</v>
      </c>
      <c r="I1375">
        <v>6</v>
      </c>
      <c r="J1375">
        <v>6</v>
      </c>
      <c r="K1375" s="6">
        <v>100</v>
      </c>
      <c r="L1375" s="6">
        <v>0</v>
      </c>
      <c r="M1375" s="6">
        <v>100</v>
      </c>
      <c r="N1375">
        <v>0</v>
      </c>
      <c r="O1375" s="6">
        <v>0</v>
      </c>
      <c r="P1375">
        <v>0</v>
      </c>
      <c r="Q1375" s="8">
        <v>528.77</v>
      </c>
      <c r="R1375" s="8">
        <v>528.77</v>
      </c>
      <c r="S1375" s="9" t="s">
        <v>535</v>
      </c>
    </row>
    <row r="1376" spans="1:19" hidden="1" x14ac:dyDescent="0.25">
      <c r="A1376" t="s">
        <v>134</v>
      </c>
      <c r="B1376" t="s">
        <v>78</v>
      </c>
      <c r="C1376" t="s">
        <v>128</v>
      </c>
      <c r="D1376" t="s">
        <v>545</v>
      </c>
      <c r="E1376" t="s">
        <v>94</v>
      </c>
      <c r="F1376" t="s">
        <v>6</v>
      </c>
      <c r="G1376">
        <v>11</v>
      </c>
      <c r="H1376">
        <v>6</v>
      </c>
      <c r="I1376">
        <v>6</v>
      </c>
      <c r="J1376">
        <v>6</v>
      </c>
      <c r="K1376" s="6">
        <v>100</v>
      </c>
      <c r="L1376" s="6">
        <v>0</v>
      </c>
      <c r="M1376" s="6">
        <v>100</v>
      </c>
      <c r="N1376">
        <v>0</v>
      </c>
      <c r="O1376" s="6">
        <v>0</v>
      </c>
      <c r="P1376">
        <v>0</v>
      </c>
      <c r="Q1376" s="8">
        <v>528.77</v>
      </c>
      <c r="R1376" s="8">
        <v>528.77</v>
      </c>
      <c r="S1376" s="9" t="s">
        <v>535</v>
      </c>
    </row>
    <row r="1377" spans="1:19" hidden="1" x14ac:dyDescent="0.25">
      <c r="A1377" t="s">
        <v>134</v>
      </c>
      <c r="B1377" t="s">
        <v>78</v>
      </c>
      <c r="C1377" t="s">
        <v>128</v>
      </c>
      <c r="D1377" t="s">
        <v>570</v>
      </c>
      <c r="E1377" t="s">
        <v>94</v>
      </c>
      <c r="F1377" t="s">
        <v>94</v>
      </c>
      <c r="G1377">
        <v>0</v>
      </c>
      <c r="H1377">
        <v>6</v>
      </c>
      <c r="I1377">
        <v>6</v>
      </c>
      <c r="J1377">
        <v>6</v>
      </c>
      <c r="K1377" s="6">
        <v>100</v>
      </c>
      <c r="L1377" s="6">
        <v>0</v>
      </c>
      <c r="M1377" s="6">
        <v>100</v>
      </c>
      <c r="N1377">
        <v>0</v>
      </c>
      <c r="O1377" s="6">
        <v>0</v>
      </c>
      <c r="P1377">
        <v>0</v>
      </c>
      <c r="Q1377" s="8">
        <v>523.9</v>
      </c>
      <c r="R1377" s="8">
        <v>523.9</v>
      </c>
      <c r="S1377" s="9" t="s">
        <v>534</v>
      </c>
    </row>
    <row r="1378" spans="1:19" hidden="1" x14ac:dyDescent="0.25">
      <c r="A1378" t="s">
        <v>134</v>
      </c>
      <c r="B1378" t="s">
        <v>78</v>
      </c>
      <c r="C1378" t="s">
        <v>128</v>
      </c>
      <c r="D1378" t="s">
        <v>570</v>
      </c>
      <c r="E1378" t="s">
        <v>94</v>
      </c>
      <c r="F1378" t="s">
        <v>96</v>
      </c>
      <c r="G1378">
        <v>4</v>
      </c>
      <c r="H1378">
        <v>6</v>
      </c>
      <c r="I1378">
        <v>6</v>
      </c>
      <c r="J1378">
        <v>6</v>
      </c>
      <c r="K1378" s="6">
        <v>100</v>
      </c>
      <c r="L1378" s="6">
        <v>0</v>
      </c>
      <c r="M1378" s="6">
        <v>100</v>
      </c>
      <c r="N1378">
        <v>0</v>
      </c>
      <c r="O1378" s="6">
        <v>0</v>
      </c>
      <c r="P1378">
        <v>0</v>
      </c>
      <c r="Q1378" s="8">
        <v>523.9</v>
      </c>
      <c r="R1378" s="8">
        <v>523.9</v>
      </c>
      <c r="S1378" s="9" t="s">
        <v>535</v>
      </c>
    </row>
    <row r="1379" spans="1:19" hidden="1" x14ac:dyDescent="0.25">
      <c r="A1379" t="s">
        <v>134</v>
      </c>
      <c r="B1379" t="s">
        <v>78</v>
      </c>
      <c r="C1379" t="s">
        <v>128</v>
      </c>
      <c r="D1379" t="s">
        <v>570</v>
      </c>
      <c r="E1379" t="s">
        <v>94</v>
      </c>
      <c r="F1379" t="s">
        <v>6</v>
      </c>
      <c r="G1379">
        <v>11</v>
      </c>
      <c r="H1379">
        <v>6</v>
      </c>
      <c r="I1379">
        <v>6</v>
      </c>
      <c r="J1379">
        <v>6</v>
      </c>
      <c r="K1379" s="6">
        <v>100</v>
      </c>
      <c r="L1379" s="6">
        <v>0</v>
      </c>
      <c r="M1379" s="6">
        <v>100</v>
      </c>
      <c r="N1379">
        <v>0</v>
      </c>
      <c r="O1379" s="6">
        <v>0</v>
      </c>
      <c r="P1379">
        <v>0</v>
      </c>
      <c r="Q1379" s="8">
        <v>523.9</v>
      </c>
      <c r="R1379" s="8">
        <v>523.9</v>
      </c>
      <c r="S1379" s="9" t="s">
        <v>535</v>
      </c>
    </row>
    <row r="1380" spans="1:19" hidden="1" x14ac:dyDescent="0.25">
      <c r="A1380" t="s">
        <v>134</v>
      </c>
      <c r="B1380" t="s">
        <v>78</v>
      </c>
      <c r="C1380" t="s">
        <v>128</v>
      </c>
      <c r="D1380" t="s">
        <v>572</v>
      </c>
      <c r="E1380" t="s">
        <v>94</v>
      </c>
      <c r="F1380" t="s">
        <v>94</v>
      </c>
      <c r="G1380">
        <v>0</v>
      </c>
      <c r="H1380">
        <v>2</v>
      </c>
      <c r="I1380">
        <v>2</v>
      </c>
      <c r="J1380">
        <v>2</v>
      </c>
      <c r="K1380" s="6">
        <v>100</v>
      </c>
      <c r="L1380" s="6">
        <v>0</v>
      </c>
      <c r="M1380" s="6">
        <v>100</v>
      </c>
      <c r="N1380">
        <v>0</v>
      </c>
      <c r="O1380" s="6">
        <v>0</v>
      </c>
      <c r="P1380">
        <v>0</v>
      </c>
      <c r="Q1380" s="8">
        <v>498.8</v>
      </c>
      <c r="R1380" s="8">
        <v>498.8</v>
      </c>
      <c r="S1380" s="9" t="s">
        <v>536</v>
      </c>
    </row>
    <row r="1381" spans="1:19" hidden="1" x14ac:dyDescent="0.25">
      <c r="A1381" t="s">
        <v>134</v>
      </c>
      <c r="B1381" t="s">
        <v>78</v>
      </c>
      <c r="C1381" t="s">
        <v>128</v>
      </c>
      <c r="D1381" t="s">
        <v>572</v>
      </c>
      <c r="E1381" t="s">
        <v>94</v>
      </c>
      <c r="F1381" t="s">
        <v>96</v>
      </c>
      <c r="G1381">
        <v>4</v>
      </c>
      <c r="H1381">
        <v>2</v>
      </c>
      <c r="I1381">
        <v>2</v>
      </c>
      <c r="J1381">
        <v>2</v>
      </c>
      <c r="K1381" s="6">
        <v>100</v>
      </c>
      <c r="L1381" s="6">
        <v>0</v>
      </c>
      <c r="M1381" s="6">
        <v>100</v>
      </c>
      <c r="N1381">
        <v>0</v>
      </c>
      <c r="O1381" s="6">
        <v>0</v>
      </c>
      <c r="P1381">
        <v>0</v>
      </c>
      <c r="Q1381" s="8">
        <v>498.8</v>
      </c>
      <c r="R1381" s="8">
        <v>498.8</v>
      </c>
      <c r="S1381" s="9" t="s">
        <v>537</v>
      </c>
    </row>
    <row r="1382" spans="1:19" hidden="1" x14ac:dyDescent="0.25">
      <c r="A1382" t="s">
        <v>134</v>
      </c>
      <c r="B1382" t="s">
        <v>78</v>
      </c>
      <c r="C1382" t="s">
        <v>128</v>
      </c>
      <c r="D1382" t="s">
        <v>572</v>
      </c>
      <c r="E1382" t="s">
        <v>94</v>
      </c>
      <c r="F1382" t="s">
        <v>6</v>
      </c>
      <c r="G1382">
        <v>11</v>
      </c>
      <c r="H1382">
        <v>2</v>
      </c>
      <c r="I1382">
        <v>2</v>
      </c>
      <c r="J1382">
        <v>2</v>
      </c>
      <c r="K1382" s="6">
        <v>97.39</v>
      </c>
      <c r="L1382" s="6">
        <v>-2.6</v>
      </c>
      <c r="M1382" s="6">
        <v>97.39</v>
      </c>
      <c r="N1382">
        <v>0</v>
      </c>
      <c r="O1382" s="6">
        <v>0</v>
      </c>
      <c r="P1382">
        <v>0</v>
      </c>
      <c r="Q1382" s="8">
        <v>498.8</v>
      </c>
      <c r="R1382" s="8">
        <v>485.8</v>
      </c>
      <c r="S1382" s="9" t="s">
        <v>537</v>
      </c>
    </row>
    <row r="1383" spans="1:19" hidden="1" x14ac:dyDescent="0.25">
      <c r="A1383" t="s">
        <v>134</v>
      </c>
      <c r="B1383" t="s">
        <v>78</v>
      </c>
      <c r="C1383" t="s">
        <v>128</v>
      </c>
      <c r="D1383" t="s">
        <v>578</v>
      </c>
      <c r="E1383" t="s">
        <v>94</v>
      </c>
      <c r="F1383" t="s">
        <v>94</v>
      </c>
      <c r="G1383">
        <v>0</v>
      </c>
      <c r="H1383">
        <v>1</v>
      </c>
      <c r="I1383">
        <v>1</v>
      </c>
      <c r="J1383">
        <v>1</v>
      </c>
      <c r="K1383" s="6">
        <v>100</v>
      </c>
      <c r="L1383" s="6">
        <v>0</v>
      </c>
      <c r="M1383" s="6">
        <v>100</v>
      </c>
      <c r="N1383">
        <v>0</v>
      </c>
      <c r="O1383" s="6">
        <v>0</v>
      </c>
      <c r="P1383">
        <v>0</v>
      </c>
      <c r="Q1383" s="8">
        <v>598.42999999999995</v>
      </c>
      <c r="R1383" s="8">
        <v>598.42999999999995</v>
      </c>
      <c r="S1383" s="9" t="s">
        <v>540</v>
      </c>
    </row>
    <row r="1384" spans="1:19" hidden="1" x14ac:dyDescent="0.25">
      <c r="A1384" t="s">
        <v>134</v>
      </c>
      <c r="B1384" t="s">
        <v>78</v>
      </c>
      <c r="C1384" t="s">
        <v>128</v>
      </c>
      <c r="D1384" t="s">
        <v>578</v>
      </c>
      <c r="E1384" t="s">
        <v>94</v>
      </c>
      <c r="F1384" t="s">
        <v>96</v>
      </c>
      <c r="G1384">
        <v>4</v>
      </c>
      <c r="H1384">
        <v>1</v>
      </c>
      <c r="I1384">
        <v>1</v>
      </c>
      <c r="J1384">
        <v>1</v>
      </c>
      <c r="K1384" s="6">
        <v>100</v>
      </c>
      <c r="L1384" s="6">
        <v>0</v>
      </c>
      <c r="M1384" s="6">
        <v>100</v>
      </c>
      <c r="N1384">
        <v>0</v>
      </c>
      <c r="O1384" s="6">
        <v>0</v>
      </c>
      <c r="P1384">
        <v>0</v>
      </c>
      <c r="Q1384" s="8">
        <v>598.42999999999995</v>
      </c>
      <c r="R1384" s="8">
        <v>598.42999999999995</v>
      </c>
      <c r="S1384" s="9" t="s">
        <v>541</v>
      </c>
    </row>
    <row r="1385" spans="1:19" hidden="1" x14ac:dyDescent="0.25">
      <c r="A1385" t="s">
        <v>134</v>
      </c>
      <c r="B1385" t="s">
        <v>78</v>
      </c>
      <c r="C1385" t="s">
        <v>128</v>
      </c>
      <c r="D1385" t="s">
        <v>578</v>
      </c>
      <c r="E1385" t="s">
        <v>94</v>
      </c>
      <c r="F1385" t="s">
        <v>6</v>
      </c>
      <c r="G1385">
        <v>11</v>
      </c>
      <c r="H1385">
        <v>1</v>
      </c>
      <c r="I1385">
        <v>1</v>
      </c>
      <c r="J1385">
        <v>1</v>
      </c>
      <c r="K1385" s="6">
        <v>100</v>
      </c>
      <c r="L1385" s="6">
        <v>0</v>
      </c>
      <c r="M1385" s="6">
        <v>100</v>
      </c>
      <c r="N1385">
        <v>0</v>
      </c>
      <c r="O1385" s="6">
        <v>0</v>
      </c>
      <c r="P1385">
        <v>0</v>
      </c>
      <c r="Q1385" s="8">
        <v>598.42999999999995</v>
      </c>
      <c r="R1385" s="8">
        <v>598.42999999999995</v>
      </c>
      <c r="S1385" s="9" t="s">
        <v>541</v>
      </c>
    </row>
    <row r="1386" spans="1:19" hidden="1" x14ac:dyDescent="0.25">
      <c r="A1386" t="s">
        <v>134</v>
      </c>
      <c r="B1386" t="s">
        <v>78</v>
      </c>
      <c r="C1386" t="s">
        <v>128</v>
      </c>
      <c r="D1386" t="s">
        <v>580</v>
      </c>
      <c r="E1386" t="s">
        <v>94</v>
      </c>
      <c r="F1386" t="s">
        <v>94</v>
      </c>
      <c r="G1386">
        <v>0</v>
      </c>
      <c r="H1386">
        <v>17</v>
      </c>
      <c r="I1386">
        <v>17</v>
      </c>
      <c r="J1386">
        <v>17</v>
      </c>
      <c r="K1386" s="6">
        <v>100</v>
      </c>
      <c r="L1386" s="6">
        <v>0</v>
      </c>
      <c r="M1386" s="6">
        <v>100</v>
      </c>
      <c r="N1386">
        <v>0</v>
      </c>
      <c r="O1386" s="6">
        <v>0</v>
      </c>
      <c r="P1386">
        <v>0</v>
      </c>
      <c r="Q1386" s="8">
        <v>522.66</v>
      </c>
      <c r="R1386" s="8">
        <v>522.66</v>
      </c>
      <c r="S1386" s="9" t="s">
        <v>615</v>
      </c>
    </row>
    <row r="1387" spans="1:19" hidden="1" x14ac:dyDescent="0.25">
      <c r="A1387" t="s">
        <v>134</v>
      </c>
      <c r="B1387" t="s">
        <v>78</v>
      </c>
      <c r="C1387" t="s">
        <v>128</v>
      </c>
      <c r="D1387" t="s">
        <v>580</v>
      </c>
      <c r="E1387" t="s">
        <v>94</v>
      </c>
      <c r="F1387" t="s">
        <v>96</v>
      </c>
      <c r="G1387">
        <v>4</v>
      </c>
      <c r="H1387">
        <v>17</v>
      </c>
      <c r="I1387">
        <v>17</v>
      </c>
      <c r="J1387">
        <v>17</v>
      </c>
      <c r="K1387" s="6">
        <v>100</v>
      </c>
      <c r="L1387" s="6">
        <v>0</v>
      </c>
      <c r="M1387" s="6">
        <v>100</v>
      </c>
      <c r="N1387">
        <v>0</v>
      </c>
      <c r="O1387" s="6">
        <v>0</v>
      </c>
      <c r="P1387">
        <v>0</v>
      </c>
      <c r="Q1387" s="8">
        <v>522.66</v>
      </c>
      <c r="R1387" s="8">
        <v>522.66</v>
      </c>
      <c r="S1387" s="10" t="s">
        <v>623</v>
      </c>
    </row>
    <row r="1388" spans="1:19" hidden="1" x14ac:dyDescent="0.25">
      <c r="A1388" t="s">
        <v>134</v>
      </c>
      <c r="B1388" t="s">
        <v>78</v>
      </c>
      <c r="C1388" t="s">
        <v>128</v>
      </c>
      <c r="D1388" t="s">
        <v>580</v>
      </c>
      <c r="E1388" t="s">
        <v>94</v>
      </c>
      <c r="F1388" t="s">
        <v>6</v>
      </c>
      <c r="G1388">
        <v>11</v>
      </c>
      <c r="H1388">
        <v>17</v>
      </c>
      <c r="I1388">
        <v>17</v>
      </c>
      <c r="J1388">
        <v>17</v>
      </c>
      <c r="K1388" s="6">
        <v>104.82</v>
      </c>
      <c r="L1388" s="6">
        <v>6.36</v>
      </c>
      <c r="M1388" s="6">
        <v>104.82</v>
      </c>
      <c r="N1388">
        <v>0</v>
      </c>
      <c r="O1388" s="6">
        <v>0</v>
      </c>
      <c r="P1388">
        <v>0</v>
      </c>
      <c r="Q1388" s="8">
        <v>522.66</v>
      </c>
      <c r="R1388" s="8">
        <v>547.87</v>
      </c>
      <c r="S1388" s="10" t="s">
        <v>623</v>
      </c>
    </row>
    <row r="1389" spans="1:19" hidden="1" x14ac:dyDescent="0.25">
      <c r="A1389" t="s">
        <v>134</v>
      </c>
      <c r="B1389" t="s">
        <v>78</v>
      </c>
      <c r="C1389" t="s">
        <v>128</v>
      </c>
      <c r="D1389" t="s">
        <v>582</v>
      </c>
      <c r="E1389" t="s">
        <v>94</v>
      </c>
      <c r="F1389" t="s">
        <v>94</v>
      </c>
      <c r="G1389">
        <v>0</v>
      </c>
      <c r="H1389">
        <v>20</v>
      </c>
      <c r="I1389">
        <v>20</v>
      </c>
      <c r="J1389">
        <v>20</v>
      </c>
      <c r="K1389" s="6">
        <v>100</v>
      </c>
      <c r="L1389" s="6">
        <v>0</v>
      </c>
      <c r="M1389" s="6">
        <v>100</v>
      </c>
      <c r="N1389">
        <v>0</v>
      </c>
      <c r="O1389" s="6">
        <v>0</v>
      </c>
      <c r="P1389">
        <v>0</v>
      </c>
      <c r="Q1389" s="8">
        <v>521.71</v>
      </c>
      <c r="R1389" s="8">
        <v>521.71</v>
      </c>
      <c r="S1389" s="9" t="s">
        <v>622</v>
      </c>
    </row>
    <row r="1390" spans="1:19" hidden="1" x14ac:dyDescent="0.25">
      <c r="A1390" t="s">
        <v>134</v>
      </c>
      <c r="B1390" t="s">
        <v>78</v>
      </c>
      <c r="C1390" t="s">
        <v>128</v>
      </c>
      <c r="D1390" t="s">
        <v>582</v>
      </c>
      <c r="E1390" t="s">
        <v>94</v>
      </c>
      <c r="F1390" t="s">
        <v>96</v>
      </c>
      <c r="G1390">
        <v>4</v>
      </c>
      <c r="H1390">
        <v>20</v>
      </c>
      <c r="I1390">
        <v>20</v>
      </c>
      <c r="J1390">
        <v>20</v>
      </c>
      <c r="K1390" s="6">
        <v>100</v>
      </c>
      <c r="L1390" s="6">
        <v>0</v>
      </c>
      <c r="M1390" s="6">
        <v>100</v>
      </c>
      <c r="N1390">
        <v>0</v>
      </c>
      <c r="O1390" s="6">
        <v>0</v>
      </c>
      <c r="P1390">
        <v>0</v>
      </c>
      <c r="Q1390" s="8">
        <v>521.71</v>
      </c>
      <c r="R1390" s="8">
        <v>521.71</v>
      </c>
      <c r="S1390" s="10" t="s">
        <v>487</v>
      </c>
    </row>
    <row r="1391" spans="1:19" hidden="1" x14ac:dyDescent="0.25">
      <c r="A1391" t="s">
        <v>134</v>
      </c>
      <c r="B1391" t="s">
        <v>78</v>
      </c>
      <c r="C1391" t="s">
        <v>128</v>
      </c>
      <c r="D1391" t="s">
        <v>582</v>
      </c>
      <c r="E1391" t="s">
        <v>94</v>
      </c>
      <c r="F1391" t="s">
        <v>6</v>
      </c>
      <c r="G1391">
        <v>11</v>
      </c>
      <c r="H1391">
        <v>20</v>
      </c>
      <c r="I1391">
        <v>20</v>
      </c>
      <c r="J1391">
        <v>20</v>
      </c>
      <c r="K1391" s="6">
        <v>106.3</v>
      </c>
      <c r="L1391" s="6">
        <v>6.49</v>
      </c>
      <c r="M1391" s="6">
        <v>106.3</v>
      </c>
      <c r="N1391">
        <v>0</v>
      </c>
      <c r="O1391" s="6">
        <v>0</v>
      </c>
      <c r="P1391">
        <v>0</v>
      </c>
      <c r="Q1391" s="8">
        <v>521.71</v>
      </c>
      <c r="R1391" s="8">
        <v>554.57000000000005</v>
      </c>
      <c r="S1391" s="10" t="s">
        <v>487</v>
      </c>
    </row>
    <row r="1392" spans="1:19" hidden="1" x14ac:dyDescent="0.25">
      <c r="A1392" t="s">
        <v>134</v>
      </c>
      <c r="B1392" t="s">
        <v>78</v>
      </c>
      <c r="C1392" t="s">
        <v>128</v>
      </c>
      <c r="D1392" t="s">
        <v>583</v>
      </c>
      <c r="E1392" t="s">
        <v>94</v>
      </c>
      <c r="F1392" t="s">
        <v>94</v>
      </c>
      <c r="G1392">
        <v>0</v>
      </c>
      <c r="H1392">
        <v>22</v>
      </c>
      <c r="I1392">
        <v>22</v>
      </c>
      <c r="J1392">
        <v>22</v>
      </c>
      <c r="K1392" s="6">
        <v>100</v>
      </c>
      <c r="L1392" s="6">
        <v>0</v>
      </c>
      <c r="M1392" s="6">
        <v>100</v>
      </c>
      <c r="N1392">
        <v>0</v>
      </c>
      <c r="O1392" s="6">
        <v>0</v>
      </c>
      <c r="P1392">
        <v>0</v>
      </c>
      <c r="Q1392" s="8">
        <v>577.65</v>
      </c>
      <c r="R1392" s="8">
        <v>577.65</v>
      </c>
      <c r="S1392" s="9" t="s">
        <v>614</v>
      </c>
    </row>
    <row r="1393" spans="1:19" hidden="1" x14ac:dyDescent="0.25">
      <c r="A1393" t="s">
        <v>134</v>
      </c>
      <c r="B1393" t="s">
        <v>78</v>
      </c>
      <c r="C1393" t="s">
        <v>128</v>
      </c>
      <c r="D1393" t="s">
        <v>583</v>
      </c>
      <c r="E1393" t="s">
        <v>94</v>
      </c>
      <c r="F1393" t="s">
        <v>96</v>
      </c>
      <c r="G1393">
        <v>4</v>
      </c>
      <c r="H1393">
        <v>22</v>
      </c>
      <c r="I1393">
        <v>22</v>
      </c>
      <c r="J1393">
        <v>22</v>
      </c>
      <c r="K1393" s="6">
        <v>100</v>
      </c>
      <c r="L1393" s="6">
        <v>0</v>
      </c>
      <c r="M1393" s="6">
        <v>100</v>
      </c>
      <c r="N1393">
        <v>0</v>
      </c>
      <c r="O1393" s="6">
        <v>0</v>
      </c>
      <c r="P1393">
        <v>0</v>
      </c>
      <c r="Q1393" s="8">
        <v>577.65</v>
      </c>
      <c r="R1393" s="8">
        <v>577.65</v>
      </c>
      <c r="S1393" s="10" t="s">
        <v>485</v>
      </c>
    </row>
    <row r="1394" spans="1:19" hidden="1" x14ac:dyDescent="0.25">
      <c r="A1394" t="s">
        <v>134</v>
      </c>
      <c r="B1394" t="s">
        <v>78</v>
      </c>
      <c r="C1394" t="s">
        <v>128</v>
      </c>
      <c r="D1394" t="s">
        <v>583</v>
      </c>
      <c r="E1394" t="s">
        <v>94</v>
      </c>
      <c r="F1394" t="s">
        <v>6</v>
      </c>
      <c r="G1394">
        <v>11</v>
      </c>
      <c r="H1394">
        <v>22</v>
      </c>
      <c r="I1394">
        <v>22</v>
      </c>
      <c r="J1394">
        <v>22</v>
      </c>
      <c r="K1394" s="6">
        <v>105.68</v>
      </c>
      <c r="L1394" s="6">
        <v>6.13</v>
      </c>
      <c r="M1394" s="6">
        <v>105.68</v>
      </c>
      <c r="N1394">
        <v>0</v>
      </c>
      <c r="O1394" s="6">
        <v>0</v>
      </c>
      <c r="P1394">
        <v>0</v>
      </c>
      <c r="Q1394" s="8">
        <v>577.65</v>
      </c>
      <c r="R1394" s="8">
        <v>610.44000000000005</v>
      </c>
      <c r="S1394" s="10" t="s">
        <v>485</v>
      </c>
    </row>
    <row r="1395" spans="1:19" hidden="1" x14ac:dyDescent="0.25">
      <c r="A1395" t="s">
        <v>134</v>
      </c>
      <c r="B1395" t="s">
        <v>78</v>
      </c>
      <c r="C1395" t="s">
        <v>128</v>
      </c>
      <c r="D1395" t="s">
        <v>585</v>
      </c>
      <c r="E1395" t="s">
        <v>94</v>
      </c>
      <c r="F1395" t="s">
        <v>94</v>
      </c>
      <c r="G1395">
        <v>0</v>
      </c>
      <c r="H1395">
        <v>23</v>
      </c>
      <c r="I1395">
        <v>23</v>
      </c>
      <c r="J1395">
        <v>23</v>
      </c>
      <c r="K1395" s="6">
        <v>100</v>
      </c>
      <c r="L1395" s="6">
        <v>0</v>
      </c>
      <c r="M1395" s="6">
        <v>100</v>
      </c>
      <c r="N1395">
        <v>0</v>
      </c>
      <c r="O1395" s="6">
        <v>0</v>
      </c>
      <c r="P1395">
        <v>0</v>
      </c>
      <c r="Q1395" s="8">
        <v>583.46</v>
      </c>
      <c r="R1395" s="8">
        <v>583.46</v>
      </c>
      <c r="S1395" s="9" t="s">
        <v>621</v>
      </c>
    </row>
    <row r="1396" spans="1:19" hidden="1" x14ac:dyDescent="0.25">
      <c r="A1396" t="s">
        <v>134</v>
      </c>
      <c r="B1396" t="s">
        <v>78</v>
      </c>
      <c r="C1396" t="s">
        <v>128</v>
      </c>
      <c r="D1396" t="s">
        <v>585</v>
      </c>
      <c r="E1396" t="s">
        <v>94</v>
      </c>
      <c r="F1396" t="s">
        <v>96</v>
      </c>
      <c r="G1396">
        <v>4</v>
      </c>
      <c r="H1396">
        <v>23</v>
      </c>
      <c r="I1396">
        <v>23</v>
      </c>
      <c r="J1396">
        <v>23</v>
      </c>
      <c r="K1396" s="6">
        <v>100</v>
      </c>
      <c r="L1396" s="6">
        <v>0</v>
      </c>
      <c r="M1396" s="6">
        <v>100</v>
      </c>
      <c r="N1396">
        <v>0</v>
      </c>
      <c r="O1396" s="6">
        <v>0</v>
      </c>
      <c r="P1396">
        <v>0</v>
      </c>
      <c r="Q1396" s="8">
        <v>583.46</v>
      </c>
      <c r="R1396" s="8">
        <v>583.46</v>
      </c>
      <c r="S1396" s="10" t="s">
        <v>132</v>
      </c>
    </row>
    <row r="1397" spans="1:19" hidden="1" x14ac:dyDescent="0.25">
      <c r="A1397" t="s">
        <v>134</v>
      </c>
      <c r="B1397" t="s">
        <v>78</v>
      </c>
      <c r="C1397" t="s">
        <v>128</v>
      </c>
      <c r="D1397" t="s">
        <v>585</v>
      </c>
      <c r="E1397" t="s">
        <v>94</v>
      </c>
      <c r="F1397" t="s">
        <v>6</v>
      </c>
      <c r="G1397">
        <v>11</v>
      </c>
      <c r="H1397">
        <v>23</v>
      </c>
      <c r="I1397">
        <v>23</v>
      </c>
      <c r="J1397">
        <v>23</v>
      </c>
      <c r="K1397" s="6">
        <v>105.64</v>
      </c>
      <c r="L1397" s="6">
        <v>5.88</v>
      </c>
      <c r="M1397" s="6">
        <v>105.64</v>
      </c>
      <c r="N1397">
        <v>0</v>
      </c>
      <c r="O1397" s="6">
        <v>0</v>
      </c>
      <c r="P1397">
        <v>0</v>
      </c>
      <c r="Q1397" s="8">
        <v>583.46</v>
      </c>
      <c r="R1397" s="8">
        <v>616.38</v>
      </c>
      <c r="S1397" s="10" t="s">
        <v>132</v>
      </c>
    </row>
    <row r="1398" spans="1:19" hidden="1" x14ac:dyDescent="0.25">
      <c r="A1398" t="s">
        <v>134</v>
      </c>
      <c r="B1398" t="s">
        <v>78</v>
      </c>
      <c r="C1398" t="s">
        <v>128</v>
      </c>
      <c r="D1398" t="s">
        <v>588</v>
      </c>
      <c r="E1398" t="s">
        <v>94</v>
      </c>
      <c r="F1398" t="s">
        <v>94</v>
      </c>
      <c r="G1398">
        <v>0</v>
      </c>
      <c r="H1398">
        <v>21</v>
      </c>
      <c r="I1398">
        <v>21</v>
      </c>
      <c r="J1398">
        <v>21</v>
      </c>
      <c r="K1398" s="6">
        <v>100</v>
      </c>
      <c r="L1398" s="6">
        <v>0</v>
      </c>
      <c r="M1398" s="6">
        <v>100</v>
      </c>
      <c r="N1398">
        <v>0</v>
      </c>
      <c r="O1398" s="6">
        <v>0</v>
      </c>
      <c r="P1398">
        <v>0</v>
      </c>
      <c r="Q1398" s="8">
        <v>559.08000000000004</v>
      </c>
      <c r="R1398" s="8">
        <v>559.08000000000004</v>
      </c>
      <c r="S1398" s="9" t="s">
        <v>624</v>
      </c>
    </row>
    <row r="1399" spans="1:19" hidden="1" x14ac:dyDescent="0.25">
      <c r="A1399" t="s">
        <v>134</v>
      </c>
      <c r="B1399" t="s">
        <v>78</v>
      </c>
      <c r="C1399" t="s">
        <v>128</v>
      </c>
      <c r="D1399" t="s">
        <v>588</v>
      </c>
      <c r="E1399" t="s">
        <v>94</v>
      </c>
      <c r="F1399" t="s">
        <v>96</v>
      </c>
      <c r="G1399">
        <v>4</v>
      </c>
      <c r="H1399">
        <v>21</v>
      </c>
      <c r="I1399">
        <v>21</v>
      </c>
      <c r="J1399">
        <v>21</v>
      </c>
      <c r="K1399" s="6">
        <v>100</v>
      </c>
      <c r="L1399" s="6">
        <v>0</v>
      </c>
      <c r="M1399" s="6">
        <v>100</v>
      </c>
      <c r="N1399">
        <v>0</v>
      </c>
      <c r="O1399" s="6">
        <v>0</v>
      </c>
      <c r="P1399">
        <v>0</v>
      </c>
      <c r="Q1399" s="8">
        <v>559.08000000000004</v>
      </c>
      <c r="R1399" s="8">
        <v>559.08000000000004</v>
      </c>
      <c r="S1399" s="10" t="s">
        <v>625</v>
      </c>
    </row>
    <row r="1400" spans="1:19" hidden="1" x14ac:dyDescent="0.25">
      <c r="A1400" t="s">
        <v>134</v>
      </c>
      <c r="B1400" t="s">
        <v>78</v>
      </c>
      <c r="C1400" t="s">
        <v>128</v>
      </c>
      <c r="D1400" t="s">
        <v>588</v>
      </c>
      <c r="E1400" t="s">
        <v>94</v>
      </c>
      <c r="F1400" t="s">
        <v>6</v>
      </c>
      <c r="G1400">
        <v>11</v>
      </c>
      <c r="H1400">
        <v>21</v>
      </c>
      <c r="I1400">
        <v>21</v>
      </c>
      <c r="J1400">
        <v>21</v>
      </c>
      <c r="K1400" s="6">
        <v>105.51</v>
      </c>
      <c r="L1400" s="6">
        <v>5.84</v>
      </c>
      <c r="M1400" s="6">
        <v>105.51</v>
      </c>
      <c r="N1400">
        <v>0</v>
      </c>
      <c r="O1400" s="6">
        <v>0</v>
      </c>
      <c r="P1400">
        <v>0</v>
      </c>
      <c r="Q1400" s="8">
        <v>559.08000000000004</v>
      </c>
      <c r="R1400" s="8">
        <v>589.9</v>
      </c>
      <c r="S1400" s="10" t="s">
        <v>625</v>
      </c>
    </row>
    <row r="1401" spans="1:19" hidden="1" x14ac:dyDescent="0.25">
      <c r="A1401" t="s">
        <v>134</v>
      </c>
      <c r="B1401" t="s">
        <v>78</v>
      </c>
      <c r="C1401" t="s">
        <v>128</v>
      </c>
      <c r="D1401" t="s">
        <v>589</v>
      </c>
      <c r="E1401" t="s">
        <v>94</v>
      </c>
      <c r="F1401" t="s">
        <v>94</v>
      </c>
      <c r="G1401">
        <v>0</v>
      </c>
      <c r="H1401">
        <v>12</v>
      </c>
      <c r="I1401">
        <v>12</v>
      </c>
      <c r="J1401">
        <v>12</v>
      </c>
      <c r="K1401" s="6">
        <v>100</v>
      </c>
      <c r="L1401" s="6">
        <v>0</v>
      </c>
      <c r="M1401" s="6">
        <v>100</v>
      </c>
      <c r="N1401">
        <v>0</v>
      </c>
      <c r="O1401" s="6">
        <v>0</v>
      </c>
      <c r="P1401">
        <v>0</v>
      </c>
      <c r="Q1401" s="8">
        <v>521.29999999999995</v>
      </c>
      <c r="R1401" s="8">
        <v>521.29999999999995</v>
      </c>
      <c r="S1401" s="9" t="s">
        <v>586</v>
      </c>
    </row>
    <row r="1402" spans="1:19" hidden="1" x14ac:dyDescent="0.25">
      <c r="A1402" t="s">
        <v>134</v>
      </c>
      <c r="B1402" t="s">
        <v>78</v>
      </c>
      <c r="C1402" t="s">
        <v>128</v>
      </c>
      <c r="D1402" t="s">
        <v>589</v>
      </c>
      <c r="E1402" t="s">
        <v>94</v>
      </c>
      <c r="F1402" t="s">
        <v>96</v>
      </c>
      <c r="G1402">
        <v>4</v>
      </c>
      <c r="H1402">
        <v>12</v>
      </c>
      <c r="I1402">
        <v>12</v>
      </c>
      <c r="J1402">
        <v>12</v>
      </c>
      <c r="K1402" s="6">
        <v>100</v>
      </c>
      <c r="L1402" s="6">
        <v>0</v>
      </c>
      <c r="M1402" s="6">
        <v>100</v>
      </c>
      <c r="N1402">
        <v>0</v>
      </c>
      <c r="O1402" s="6">
        <v>0</v>
      </c>
      <c r="P1402">
        <v>0</v>
      </c>
      <c r="Q1402" s="8">
        <v>521.29999999999995</v>
      </c>
      <c r="R1402" s="8">
        <v>521.29999999999995</v>
      </c>
      <c r="S1402" s="10" t="s">
        <v>587</v>
      </c>
    </row>
    <row r="1403" spans="1:19" hidden="1" x14ac:dyDescent="0.25">
      <c r="A1403" t="s">
        <v>134</v>
      </c>
      <c r="B1403" t="s">
        <v>78</v>
      </c>
      <c r="C1403" t="s">
        <v>128</v>
      </c>
      <c r="D1403" t="s">
        <v>589</v>
      </c>
      <c r="E1403" t="s">
        <v>94</v>
      </c>
      <c r="F1403" t="s">
        <v>6</v>
      </c>
      <c r="G1403">
        <v>11</v>
      </c>
      <c r="H1403">
        <v>12</v>
      </c>
      <c r="I1403">
        <v>12</v>
      </c>
      <c r="J1403">
        <v>12</v>
      </c>
      <c r="K1403" s="6">
        <v>104.32</v>
      </c>
      <c r="L1403" s="6">
        <v>4.3600000000000003</v>
      </c>
      <c r="M1403" s="6">
        <v>104.32</v>
      </c>
      <c r="N1403">
        <v>0</v>
      </c>
      <c r="O1403" s="6">
        <v>0</v>
      </c>
      <c r="P1403">
        <v>0</v>
      </c>
      <c r="Q1403" s="8">
        <v>521.29999999999995</v>
      </c>
      <c r="R1403" s="8">
        <v>543.79999999999995</v>
      </c>
      <c r="S1403" s="10" t="s">
        <v>587</v>
      </c>
    </row>
    <row r="1404" spans="1:19" hidden="1" x14ac:dyDescent="0.25">
      <c r="A1404" t="s">
        <v>134</v>
      </c>
      <c r="B1404" t="s">
        <v>78</v>
      </c>
      <c r="C1404" t="s">
        <v>128</v>
      </c>
      <c r="D1404" t="s">
        <v>590</v>
      </c>
      <c r="E1404" t="s">
        <v>94</v>
      </c>
      <c r="F1404" t="s">
        <v>94</v>
      </c>
      <c r="G1404">
        <v>0</v>
      </c>
      <c r="H1404">
        <v>2</v>
      </c>
      <c r="I1404">
        <v>2</v>
      </c>
      <c r="J1404">
        <v>2</v>
      </c>
      <c r="K1404" s="6">
        <v>100</v>
      </c>
      <c r="L1404" s="6">
        <v>0</v>
      </c>
      <c r="M1404" s="6">
        <v>100</v>
      </c>
      <c r="N1404">
        <v>0</v>
      </c>
      <c r="O1404" s="6">
        <v>0</v>
      </c>
      <c r="P1404">
        <v>0</v>
      </c>
      <c r="Q1404" s="8">
        <v>554.29999999999995</v>
      </c>
      <c r="R1404" s="8">
        <v>554.29999999999995</v>
      </c>
      <c r="S1404" s="9" t="s">
        <v>536</v>
      </c>
    </row>
    <row r="1405" spans="1:19" hidden="1" x14ac:dyDescent="0.25">
      <c r="A1405" t="s">
        <v>134</v>
      </c>
      <c r="B1405" t="s">
        <v>78</v>
      </c>
      <c r="C1405" t="s">
        <v>128</v>
      </c>
      <c r="D1405" t="s">
        <v>590</v>
      </c>
      <c r="E1405" t="s">
        <v>94</v>
      </c>
      <c r="F1405" t="s">
        <v>96</v>
      </c>
      <c r="G1405">
        <v>4</v>
      </c>
      <c r="H1405">
        <v>2</v>
      </c>
      <c r="I1405">
        <v>2</v>
      </c>
      <c r="J1405">
        <v>2</v>
      </c>
      <c r="K1405" s="6">
        <v>100</v>
      </c>
      <c r="L1405" s="6">
        <v>0</v>
      </c>
      <c r="M1405" s="6">
        <v>100</v>
      </c>
      <c r="N1405">
        <v>0</v>
      </c>
      <c r="O1405" s="6">
        <v>0</v>
      </c>
      <c r="P1405">
        <v>0</v>
      </c>
      <c r="Q1405" s="8">
        <v>554.29999999999995</v>
      </c>
      <c r="R1405" s="8">
        <v>554.29999999999995</v>
      </c>
      <c r="S1405" s="9" t="s">
        <v>537</v>
      </c>
    </row>
    <row r="1406" spans="1:19" hidden="1" x14ac:dyDescent="0.25">
      <c r="A1406" t="s">
        <v>134</v>
      </c>
      <c r="B1406" t="s">
        <v>78</v>
      </c>
      <c r="C1406" t="s">
        <v>128</v>
      </c>
      <c r="D1406" t="s">
        <v>590</v>
      </c>
      <c r="E1406" t="s">
        <v>94</v>
      </c>
      <c r="F1406" t="s">
        <v>6</v>
      </c>
      <c r="G1406">
        <v>11</v>
      </c>
      <c r="H1406">
        <v>2</v>
      </c>
      <c r="I1406">
        <v>2</v>
      </c>
      <c r="J1406">
        <v>2</v>
      </c>
      <c r="K1406" s="6">
        <v>104.06</v>
      </c>
      <c r="L1406" s="6">
        <v>4.0999999999999996</v>
      </c>
      <c r="M1406" s="6">
        <v>104.06</v>
      </c>
      <c r="N1406">
        <v>0</v>
      </c>
      <c r="O1406" s="6">
        <v>0</v>
      </c>
      <c r="P1406">
        <v>0</v>
      </c>
      <c r="Q1406" s="8">
        <v>554.29999999999995</v>
      </c>
      <c r="R1406" s="8">
        <v>576.79999999999995</v>
      </c>
      <c r="S1406" s="9" t="s">
        <v>537</v>
      </c>
    </row>
    <row r="1407" spans="1:19" hidden="1" x14ac:dyDescent="0.25">
      <c r="A1407" t="s">
        <v>134</v>
      </c>
      <c r="B1407" t="s">
        <v>75</v>
      </c>
      <c r="C1407" t="s">
        <v>124</v>
      </c>
      <c r="D1407" t="s">
        <v>539</v>
      </c>
      <c r="E1407" t="s">
        <v>91</v>
      </c>
      <c r="F1407" t="s">
        <v>91</v>
      </c>
      <c r="G1407">
        <v>0</v>
      </c>
      <c r="H1407">
        <v>39</v>
      </c>
      <c r="I1407">
        <v>39</v>
      </c>
      <c r="J1407">
        <v>39</v>
      </c>
      <c r="K1407" s="6">
        <v>100</v>
      </c>
      <c r="L1407" s="6">
        <v>0</v>
      </c>
      <c r="M1407" s="6">
        <v>100</v>
      </c>
      <c r="N1407">
        <v>0</v>
      </c>
      <c r="O1407" s="6">
        <v>0</v>
      </c>
      <c r="P1407">
        <v>0</v>
      </c>
      <c r="Q1407" s="8">
        <v>158.19999999999999</v>
      </c>
      <c r="R1407" s="8">
        <v>158.19999999999999</v>
      </c>
      <c r="S1407" s="9" t="s">
        <v>626</v>
      </c>
    </row>
    <row r="1408" spans="1:19" hidden="1" x14ac:dyDescent="0.25">
      <c r="A1408" t="s">
        <v>134</v>
      </c>
      <c r="B1408" t="s">
        <v>75</v>
      </c>
      <c r="C1408" t="s">
        <v>124</v>
      </c>
      <c r="D1408" t="s">
        <v>539</v>
      </c>
      <c r="E1408" t="s">
        <v>91</v>
      </c>
      <c r="F1408" t="s">
        <v>94</v>
      </c>
      <c r="G1408">
        <v>1</v>
      </c>
      <c r="H1408">
        <v>39</v>
      </c>
      <c r="I1408">
        <v>39</v>
      </c>
      <c r="J1408">
        <v>38</v>
      </c>
      <c r="K1408" s="6">
        <v>98.88</v>
      </c>
      <c r="L1408" s="6">
        <v>0</v>
      </c>
      <c r="M1408" s="6">
        <v>99</v>
      </c>
      <c r="N1408">
        <v>0.12</v>
      </c>
      <c r="O1408" s="6">
        <v>2.6</v>
      </c>
      <c r="P1408">
        <v>1</v>
      </c>
      <c r="Q1408" s="8">
        <v>157.86000000000001</v>
      </c>
      <c r="R1408" s="8">
        <v>156.09</v>
      </c>
      <c r="S1408" t="s">
        <v>32</v>
      </c>
    </row>
    <row r="1409" spans="1:19" hidden="1" x14ac:dyDescent="0.25">
      <c r="A1409" t="s">
        <v>134</v>
      </c>
      <c r="B1409" t="s">
        <v>75</v>
      </c>
      <c r="C1409" t="s">
        <v>124</v>
      </c>
      <c r="D1409" t="s">
        <v>539</v>
      </c>
      <c r="E1409" t="s">
        <v>91</v>
      </c>
      <c r="F1409" t="s">
        <v>96</v>
      </c>
      <c r="G1409">
        <v>5</v>
      </c>
      <c r="H1409">
        <v>39</v>
      </c>
      <c r="I1409">
        <v>35</v>
      </c>
      <c r="J1409">
        <v>33</v>
      </c>
      <c r="K1409" s="6">
        <v>100.24</v>
      </c>
      <c r="L1409" s="6">
        <v>0</v>
      </c>
      <c r="M1409" s="6">
        <v>96.86</v>
      </c>
      <c r="N1409">
        <v>-3.38</v>
      </c>
      <c r="O1409" s="6">
        <v>15.4</v>
      </c>
      <c r="P1409">
        <v>2</v>
      </c>
      <c r="Q1409" s="8">
        <v>148.80000000000001</v>
      </c>
      <c r="R1409" s="8">
        <v>149.15</v>
      </c>
      <c r="S1409" t="s">
        <v>32</v>
      </c>
    </row>
    <row r="1410" spans="1:19" hidden="1" x14ac:dyDescent="0.25">
      <c r="A1410" t="s">
        <v>134</v>
      </c>
      <c r="B1410" t="s">
        <v>75</v>
      </c>
      <c r="C1410" t="s">
        <v>124</v>
      </c>
      <c r="D1410" t="s">
        <v>539</v>
      </c>
      <c r="E1410" t="s">
        <v>91</v>
      </c>
      <c r="F1410" t="s">
        <v>6</v>
      </c>
      <c r="G1410">
        <v>12</v>
      </c>
      <c r="H1410">
        <v>39</v>
      </c>
      <c r="I1410">
        <v>29</v>
      </c>
      <c r="J1410">
        <v>29</v>
      </c>
      <c r="K1410" s="6">
        <v>103.06</v>
      </c>
      <c r="L1410" s="6">
        <v>2.71</v>
      </c>
      <c r="M1410" s="6">
        <v>98.75</v>
      </c>
      <c r="N1410">
        <v>-4.3099999999999996</v>
      </c>
      <c r="O1410" s="6">
        <v>25.6</v>
      </c>
      <c r="P1410">
        <v>0</v>
      </c>
      <c r="Q1410" s="8">
        <v>151.59</v>
      </c>
      <c r="R1410" s="8">
        <v>156.22999999999999</v>
      </c>
      <c r="S1410" s="10" t="s">
        <v>565</v>
      </c>
    </row>
    <row r="1411" spans="1:19" hidden="1" x14ac:dyDescent="0.25">
      <c r="A1411" t="s">
        <v>134</v>
      </c>
      <c r="B1411" t="s">
        <v>75</v>
      </c>
      <c r="C1411" t="s">
        <v>124</v>
      </c>
      <c r="D1411" t="s">
        <v>552</v>
      </c>
      <c r="E1411" t="s">
        <v>91</v>
      </c>
      <c r="F1411" t="s">
        <v>91</v>
      </c>
      <c r="G1411">
        <v>0</v>
      </c>
      <c r="H1411">
        <v>97</v>
      </c>
      <c r="I1411">
        <v>97</v>
      </c>
      <c r="J1411">
        <v>97</v>
      </c>
      <c r="K1411" s="6">
        <v>100</v>
      </c>
      <c r="L1411" s="6">
        <v>0</v>
      </c>
      <c r="M1411" s="6">
        <v>100</v>
      </c>
      <c r="N1411">
        <v>0</v>
      </c>
      <c r="O1411" s="6">
        <v>0</v>
      </c>
      <c r="P1411">
        <v>0</v>
      </c>
      <c r="Q1411" s="8">
        <v>162.96</v>
      </c>
      <c r="R1411" s="8">
        <v>162.96</v>
      </c>
      <c r="S1411" s="9" t="s">
        <v>569</v>
      </c>
    </row>
    <row r="1412" spans="1:19" hidden="1" x14ac:dyDescent="0.25">
      <c r="A1412" t="s">
        <v>134</v>
      </c>
      <c r="B1412" t="s">
        <v>75</v>
      </c>
      <c r="C1412" t="s">
        <v>124</v>
      </c>
      <c r="D1412" t="s">
        <v>552</v>
      </c>
      <c r="E1412" t="s">
        <v>91</v>
      </c>
      <c r="F1412" t="s">
        <v>94</v>
      </c>
      <c r="G1412">
        <v>1</v>
      </c>
      <c r="H1412">
        <v>97</v>
      </c>
      <c r="I1412">
        <v>97</v>
      </c>
      <c r="J1412">
        <v>97</v>
      </c>
      <c r="K1412" s="6">
        <v>96.9</v>
      </c>
      <c r="L1412" s="6">
        <v>-1.28</v>
      </c>
      <c r="M1412" s="6">
        <v>96.9</v>
      </c>
      <c r="N1412">
        <v>0</v>
      </c>
      <c r="O1412" s="6">
        <v>0</v>
      </c>
      <c r="P1412">
        <v>0</v>
      </c>
      <c r="Q1412" s="8">
        <v>162.96</v>
      </c>
      <c r="R1412" s="8">
        <v>157.91999999999999</v>
      </c>
      <c r="S1412" t="s">
        <v>32</v>
      </c>
    </row>
    <row r="1413" spans="1:19" hidden="1" x14ac:dyDescent="0.25">
      <c r="A1413" t="s">
        <v>134</v>
      </c>
      <c r="B1413" t="s">
        <v>75</v>
      </c>
      <c r="C1413" t="s">
        <v>124</v>
      </c>
      <c r="D1413" t="s">
        <v>552</v>
      </c>
      <c r="E1413" t="s">
        <v>91</v>
      </c>
      <c r="F1413" t="s">
        <v>96</v>
      </c>
      <c r="G1413">
        <v>5</v>
      </c>
      <c r="H1413">
        <v>97</v>
      </c>
      <c r="I1413">
        <v>97</v>
      </c>
      <c r="J1413">
        <v>97</v>
      </c>
      <c r="K1413" s="6">
        <v>97.62</v>
      </c>
      <c r="L1413" s="6">
        <v>-1.1100000000000001</v>
      </c>
      <c r="M1413" s="6">
        <v>97.62</v>
      </c>
      <c r="N1413">
        <v>0</v>
      </c>
      <c r="O1413" s="6">
        <v>0</v>
      </c>
      <c r="P1413">
        <v>0</v>
      </c>
      <c r="Q1413" s="8">
        <v>162.96</v>
      </c>
      <c r="R1413" s="8">
        <v>159.08000000000001</v>
      </c>
      <c r="S1413" t="s">
        <v>32</v>
      </c>
    </row>
    <row r="1414" spans="1:19" hidden="1" x14ac:dyDescent="0.25">
      <c r="A1414" t="s">
        <v>134</v>
      </c>
      <c r="B1414" t="s">
        <v>75</v>
      </c>
      <c r="C1414" t="s">
        <v>124</v>
      </c>
      <c r="D1414" t="s">
        <v>552</v>
      </c>
      <c r="E1414" t="s">
        <v>91</v>
      </c>
      <c r="F1414" t="s">
        <v>6</v>
      </c>
      <c r="G1414">
        <v>12</v>
      </c>
      <c r="H1414">
        <v>97</v>
      </c>
      <c r="I1414">
        <v>104</v>
      </c>
      <c r="J1414">
        <v>96</v>
      </c>
      <c r="K1414" s="6">
        <v>96.81</v>
      </c>
      <c r="L1414" s="6">
        <v>-2.4700000000000002</v>
      </c>
      <c r="M1414" s="6">
        <v>94.58</v>
      </c>
      <c r="N1414">
        <v>-2.23</v>
      </c>
      <c r="O1414" s="6">
        <v>1</v>
      </c>
      <c r="P1414">
        <v>8</v>
      </c>
      <c r="Q1414" s="8">
        <v>161.74</v>
      </c>
      <c r="R1414" s="8">
        <v>156.59</v>
      </c>
      <c r="S1414" t="s">
        <v>32</v>
      </c>
    </row>
    <row r="1415" spans="1:19" hidden="1" x14ac:dyDescent="0.25">
      <c r="A1415" t="s">
        <v>134</v>
      </c>
      <c r="B1415" t="s">
        <v>75</v>
      </c>
      <c r="C1415" t="s">
        <v>124</v>
      </c>
      <c r="D1415" t="s">
        <v>554</v>
      </c>
      <c r="E1415" t="s">
        <v>91</v>
      </c>
      <c r="F1415" t="s">
        <v>91</v>
      </c>
      <c r="G1415">
        <v>0</v>
      </c>
      <c r="H1415">
        <v>72</v>
      </c>
      <c r="I1415">
        <v>72</v>
      </c>
      <c r="J1415">
        <v>72</v>
      </c>
      <c r="K1415" s="6">
        <v>100</v>
      </c>
      <c r="L1415" s="6">
        <v>0</v>
      </c>
      <c r="M1415" s="6">
        <v>100</v>
      </c>
      <c r="N1415">
        <v>0</v>
      </c>
      <c r="O1415" s="6">
        <v>0</v>
      </c>
      <c r="P1415">
        <v>0</v>
      </c>
      <c r="Q1415" s="8">
        <v>225.62</v>
      </c>
      <c r="R1415" s="8">
        <v>225.62</v>
      </c>
      <c r="S1415" s="9" t="s">
        <v>594</v>
      </c>
    </row>
    <row r="1416" spans="1:19" hidden="1" x14ac:dyDescent="0.25">
      <c r="A1416" t="s">
        <v>134</v>
      </c>
      <c r="B1416" t="s">
        <v>75</v>
      </c>
      <c r="C1416" t="s">
        <v>124</v>
      </c>
      <c r="D1416" t="s">
        <v>554</v>
      </c>
      <c r="E1416" t="s">
        <v>91</v>
      </c>
      <c r="F1416" t="s">
        <v>94</v>
      </c>
      <c r="G1416">
        <v>1</v>
      </c>
      <c r="H1416">
        <v>72</v>
      </c>
      <c r="I1416">
        <v>72</v>
      </c>
      <c r="J1416">
        <v>72</v>
      </c>
      <c r="K1416" s="6">
        <v>99.39</v>
      </c>
      <c r="L1416" s="6">
        <v>0</v>
      </c>
      <c r="M1416" s="6">
        <v>99.39</v>
      </c>
      <c r="N1416">
        <v>0</v>
      </c>
      <c r="O1416" s="6">
        <v>0</v>
      </c>
      <c r="P1416">
        <v>0</v>
      </c>
      <c r="Q1416" s="8">
        <v>225.62</v>
      </c>
      <c r="R1416" s="8">
        <v>224.25</v>
      </c>
      <c r="S1416" t="s">
        <v>32</v>
      </c>
    </row>
    <row r="1417" spans="1:19" hidden="1" x14ac:dyDescent="0.25">
      <c r="A1417" t="s">
        <v>134</v>
      </c>
      <c r="B1417" t="s">
        <v>75</v>
      </c>
      <c r="C1417" t="s">
        <v>124</v>
      </c>
      <c r="D1417" t="s">
        <v>554</v>
      </c>
      <c r="E1417" t="s">
        <v>91</v>
      </c>
      <c r="F1417" t="s">
        <v>96</v>
      </c>
      <c r="G1417">
        <v>5</v>
      </c>
      <c r="H1417">
        <v>72</v>
      </c>
      <c r="I1417">
        <v>71</v>
      </c>
      <c r="J1417">
        <v>71</v>
      </c>
      <c r="K1417" s="6">
        <v>98.61</v>
      </c>
      <c r="L1417" s="6">
        <v>0</v>
      </c>
      <c r="M1417" s="6">
        <v>98.58</v>
      </c>
      <c r="N1417">
        <v>-0.03</v>
      </c>
      <c r="O1417" s="6">
        <v>1.4</v>
      </c>
      <c r="P1417">
        <v>0</v>
      </c>
      <c r="Q1417" s="8">
        <v>225.54</v>
      </c>
      <c r="R1417" s="8">
        <v>222.42</v>
      </c>
      <c r="S1417" t="s">
        <v>32</v>
      </c>
    </row>
    <row r="1418" spans="1:19" hidden="1" x14ac:dyDescent="0.25">
      <c r="A1418" t="s">
        <v>134</v>
      </c>
      <c r="B1418" t="s">
        <v>75</v>
      </c>
      <c r="C1418" t="s">
        <v>124</v>
      </c>
      <c r="D1418" t="s">
        <v>554</v>
      </c>
      <c r="E1418" t="s">
        <v>91</v>
      </c>
      <c r="F1418" t="s">
        <v>6</v>
      </c>
      <c r="G1418">
        <v>12</v>
      </c>
      <c r="H1418">
        <v>72</v>
      </c>
      <c r="I1418">
        <v>73</v>
      </c>
      <c r="J1418">
        <v>69</v>
      </c>
      <c r="K1418" s="6">
        <v>98.03</v>
      </c>
      <c r="L1418" s="6">
        <v>-1.32</v>
      </c>
      <c r="M1418" s="6">
        <v>95.85</v>
      </c>
      <c r="N1418">
        <v>-2.1800000000000002</v>
      </c>
      <c r="O1418" s="6">
        <v>4.2</v>
      </c>
      <c r="P1418">
        <v>4</v>
      </c>
      <c r="Q1418" s="8">
        <v>226.08</v>
      </c>
      <c r="R1418" s="8">
        <v>221.64</v>
      </c>
      <c r="S1418" t="s">
        <v>32</v>
      </c>
    </row>
    <row r="1419" spans="1:19" hidden="1" x14ac:dyDescent="0.25">
      <c r="A1419" t="s">
        <v>134</v>
      </c>
      <c r="B1419" t="s">
        <v>75</v>
      </c>
      <c r="C1419" t="s">
        <v>124</v>
      </c>
      <c r="D1419" t="s">
        <v>555</v>
      </c>
      <c r="E1419" t="s">
        <v>90</v>
      </c>
      <c r="F1419" t="s">
        <v>90</v>
      </c>
      <c r="G1419">
        <v>0</v>
      </c>
      <c r="H1419">
        <v>120</v>
      </c>
      <c r="I1419">
        <v>120</v>
      </c>
      <c r="J1419">
        <v>120</v>
      </c>
      <c r="K1419" s="6">
        <v>100</v>
      </c>
      <c r="L1419" s="6">
        <v>0</v>
      </c>
      <c r="M1419" s="6">
        <v>100</v>
      </c>
      <c r="N1419">
        <v>0</v>
      </c>
      <c r="O1419" s="6">
        <v>0</v>
      </c>
      <c r="P1419">
        <v>0</v>
      </c>
      <c r="Q1419" s="8">
        <v>173.39</v>
      </c>
      <c r="R1419" s="8">
        <v>173.39</v>
      </c>
      <c r="S1419" s="9" t="s">
        <v>627</v>
      </c>
    </row>
    <row r="1420" spans="1:19" hidden="1" x14ac:dyDescent="0.25">
      <c r="A1420" t="s">
        <v>134</v>
      </c>
      <c r="B1420" t="s">
        <v>75</v>
      </c>
      <c r="C1420" t="s">
        <v>124</v>
      </c>
      <c r="D1420" t="s">
        <v>555</v>
      </c>
      <c r="E1420" t="s">
        <v>90</v>
      </c>
      <c r="F1420" t="s">
        <v>91</v>
      </c>
      <c r="G1420">
        <v>1</v>
      </c>
      <c r="H1420">
        <v>120</v>
      </c>
      <c r="I1420">
        <v>120</v>
      </c>
      <c r="J1420">
        <v>120</v>
      </c>
      <c r="K1420" s="6">
        <v>100.09</v>
      </c>
      <c r="L1420" s="6">
        <v>0</v>
      </c>
      <c r="M1420" s="6">
        <v>100.09</v>
      </c>
      <c r="N1420">
        <v>0</v>
      </c>
      <c r="O1420" s="6">
        <v>0</v>
      </c>
      <c r="P1420">
        <v>0</v>
      </c>
      <c r="Q1420" s="8">
        <v>173.39</v>
      </c>
      <c r="R1420" s="8">
        <v>173.54</v>
      </c>
      <c r="S1420" t="s">
        <v>32</v>
      </c>
    </row>
    <row r="1421" spans="1:19" hidden="1" x14ac:dyDescent="0.25">
      <c r="A1421" t="s">
        <v>134</v>
      </c>
      <c r="B1421" t="s">
        <v>75</v>
      </c>
      <c r="C1421" t="s">
        <v>124</v>
      </c>
      <c r="D1421" t="s">
        <v>555</v>
      </c>
      <c r="E1421" t="s">
        <v>90</v>
      </c>
      <c r="F1421" t="s">
        <v>94</v>
      </c>
      <c r="G1421">
        <v>2</v>
      </c>
      <c r="H1421">
        <v>120</v>
      </c>
      <c r="I1421">
        <v>120</v>
      </c>
      <c r="J1421">
        <v>120</v>
      </c>
      <c r="K1421" s="6">
        <v>97.79</v>
      </c>
      <c r="L1421" s="6">
        <v>-1.96</v>
      </c>
      <c r="M1421" s="6">
        <v>97.79</v>
      </c>
      <c r="N1421">
        <v>0</v>
      </c>
      <c r="O1421" s="6">
        <v>0</v>
      </c>
      <c r="P1421">
        <v>0</v>
      </c>
      <c r="Q1421" s="8">
        <v>173.39</v>
      </c>
      <c r="R1421" s="8">
        <v>169.56</v>
      </c>
      <c r="S1421" t="s">
        <v>32</v>
      </c>
    </row>
    <row r="1422" spans="1:19" hidden="1" x14ac:dyDescent="0.25">
      <c r="A1422" t="s">
        <v>134</v>
      </c>
      <c r="B1422" t="s">
        <v>75</v>
      </c>
      <c r="C1422" t="s">
        <v>124</v>
      </c>
      <c r="D1422" t="s">
        <v>555</v>
      </c>
      <c r="E1422" t="s">
        <v>90</v>
      </c>
      <c r="F1422" t="s">
        <v>96</v>
      </c>
      <c r="G1422">
        <v>6</v>
      </c>
      <c r="H1422">
        <v>120</v>
      </c>
      <c r="I1422">
        <v>120</v>
      </c>
      <c r="J1422">
        <v>120</v>
      </c>
      <c r="K1422" s="6">
        <v>97.78</v>
      </c>
      <c r="L1422" s="6">
        <v>-1.96</v>
      </c>
      <c r="M1422" s="6">
        <v>97.78</v>
      </c>
      <c r="N1422">
        <v>0</v>
      </c>
      <c r="O1422" s="6">
        <v>0</v>
      </c>
      <c r="P1422">
        <v>0</v>
      </c>
      <c r="Q1422" s="8">
        <v>173.39</v>
      </c>
      <c r="R1422" s="8">
        <v>169.54</v>
      </c>
      <c r="S1422" t="s">
        <v>32</v>
      </c>
    </row>
    <row r="1423" spans="1:19" hidden="1" x14ac:dyDescent="0.25">
      <c r="A1423" t="s">
        <v>134</v>
      </c>
      <c r="B1423" t="s">
        <v>75</v>
      </c>
      <c r="C1423" t="s">
        <v>124</v>
      </c>
      <c r="D1423" t="s">
        <v>555</v>
      </c>
      <c r="E1423" t="s">
        <v>90</v>
      </c>
      <c r="F1423" t="s">
        <v>6</v>
      </c>
      <c r="G1423">
        <v>13</v>
      </c>
      <c r="H1423">
        <v>120</v>
      </c>
      <c r="I1423">
        <v>119</v>
      </c>
      <c r="J1423">
        <v>119</v>
      </c>
      <c r="K1423" s="6">
        <v>96.65</v>
      </c>
      <c r="L1423" s="6">
        <v>-3.45</v>
      </c>
      <c r="M1423" s="6">
        <v>96.22</v>
      </c>
      <c r="N1423">
        <v>-0.43</v>
      </c>
      <c r="O1423" s="6">
        <v>0.8</v>
      </c>
      <c r="P1423">
        <v>0</v>
      </c>
      <c r="Q1423" s="8">
        <v>172.62</v>
      </c>
      <c r="R1423" s="8">
        <v>166.84</v>
      </c>
      <c r="S1423" t="s">
        <v>32</v>
      </c>
    </row>
    <row r="1424" spans="1:19" hidden="1" x14ac:dyDescent="0.25">
      <c r="A1424" t="s">
        <v>134</v>
      </c>
      <c r="B1424" t="s">
        <v>75</v>
      </c>
      <c r="C1424" t="s">
        <v>124</v>
      </c>
      <c r="D1424" t="s">
        <v>557</v>
      </c>
      <c r="E1424" t="s">
        <v>90</v>
      </c>
      <c r="F1424" t="s">
        <v>90</v>
      </c>
      <c r="G1424">
        <v>0</v>
      </c>
      <c r="H1424">
        <v>105</v>
      </c>
      <c r="I1424">
        <v>105</v>
      </c>
      <c r="J1424">
        <v>105</v>
      </c>
      <c r="K1424" s="6">
        <v>100</v>
      </c>
      <c r="L1424" s="6">
        <v>0</v>
      </c>
      <c r="M1424" s="6">
        <v>100</v>
      </c>
      <c r="N1424">
        <v>0</v>
      </c>
      <c r="O1424" s="6">
        <v>0</v>
      </c>
      <c r="P1424">
        <v>0</v>
      </c>
      <c r="Q1424" s="8">
        <v>193.31</v>
      </c>
      <c r="R1424" s="8">
        <v>193.31</v>
      </c>
      <c r="S1424" s="9" t="s">
        <v>553</v>
      </c>
    </row>
    <row r="1425" spans="1:19" hidden="1" x14ac:dyDescent="0.25">
      <c r="A1425" t="s">
        <v>134</v>
      </c>
      <c r="B1425" t="s">
        <v>75</v>
      </c>
      <c r="C1425" t="s">
        <v>124</v>
      </c>
      <c r="D1425" t="s">
        <v>557</v>
      </c>
      <c r="E1425" t="s">
        <v>90</v>
      </c>
      <c r="F1425" t="s">
        <v>91</v>
      </c>
      <c r="G1425">
        <v>1</v>
      </c>
      <c r="H1425">
        <v>105</v>
      </c>
      <c r="I1425">
        <v>105</v>
      </c>
      <c r="J1425">
        <v>105</v>
      </c>
      <c r="K1425" s="6">
        <v>99.93</v>
      </c>
      <c r="L1425" s="6">
        <v>0</v>
      </c>
      <c r="M1425" s="6">
        <v>99.93</v>
      </c>
      <c r="N1425">
        <v>0</v>
      </c>
      <c r="O1425" s="6">
        <v>0</v>
      </c>
      <c r="P1425">
        <v>0</v>
      </c>
      <c r="Q1425" s="8">
        <v>193.31</v>
      </c>
      <c r="R1425" s="8">
        <v>193.17</v>
      </c>
      <c r="S1425" t="s">
        <v>32</v>
      </c>
    </row>
    <row r="1426" spans="1:19" hidden="1" x14ac:dyDescent="0.25">
      <c r="A1426" t="s">
        <v>134</v>
      </c>
      <c r="B1426" t="s">
        <v>75</v>
      </c>
      <c r="C1426" t="s">
        <v>124</v>
      </c>
      <c r="D1426" t="s">
        <v>557</v>
      </c>
      <c r="E1426" t="s">
        <v>90</v>
      </c>
      <c r="F1426" t="s">
        <v>94</v>
      </c>
      <c r="G1426">
        <v>2</v>
      </c>
      <c r="H1426">
        <v>105</v>
      </c>
      <c r="I1426">
        <v>105</v>
      </c>
      <c r="J1426">
        <v>105</v>
      </c>
      <c r="K1426" s="6">
        <v>98.41</v>
      </c>
      <c r="L1426" s="6">
        <v>-0.84</v>
      </c>
      <c r="M1426" s="6">
        <v>98.41</v>
      </c>
      <c r="N1426">
        <v>0</v>
      </c>
      <c r="O1426" s="6">
        <v>0</v>
      </c>
      <c r="P1426">
        <v>0</v>
      </c>
      <c r="Q1426" s="8">
        <v>193.31</v>
      </c>
      <c r="R1426" s="8">
        <v>190.23</v>
      </c>
      <c r="S1426" t="s">
        <v>32</v>
      </c>
    </row>
    <row r="1427" spans="1:19" hidden="1" x14ac:dyDescent="0.25">
      <c r="A1427" t="s">
        <v>134</v>
      </c>
      <c r="B1427" t="s">
        <v>75</v>
      </c>
      <c r="C1427" t="s">
        <v>124</v>
      </c>
      <c r="D1427" t="s">
        <v>557</v>
      </c>
      <c r="E1427" t="s">
        <v>90</v>
      </c>
      <c r="F1427" t="s">
        <v>96</v>
      </c>
      <c r="G1427">
        <v>6</v>
      </c>
      <c r="H1427">
        <v>105</v>
      </c>
      <c r="I1427">
        <v>105</v>
      </c>
      <c r="J1427">
        <v>105</v>
      </c>
      <c r="K1427" s="6">
        <v>98.46</v>
      </c>
      <c r="L1427" s="6">
        <v>-0.91</v>
      </c>
      <c r="M1427" s="6">
        <v>98.46</v>
      </c>
      <c r="N1427">
        <v>0</v>
      </c>
      <c r="O1427" s="6">
        <v>0</v>
      </c>
      <c r="P1427">
        <v>0</v>
      </c>
      <c r="Q1427" s="8">
        <v>193.31</v>
      </c>
      <c r="R1427" s="8">
        <v>190.34</v>
      </c>
      <c r="S1427" t="s">
        <v>32</v>
      </c>
    </row>
    <row r="1428" spans="1:19" hidden="1" x14ac:dyDescent="0.25">
      <c r="A1428" t="s">
        <v>134</v>
      </c>
      <c r="B1428" t="s">
        <v>75</v>
      </c>
      <c r="C1428" t="s">
        <v>124</v>
      </c>
      <c r="D1428" t="s">
        <v>557</v>
      </c>
      <c r="E1428" t="s">
        <v>90</v>
      </c>
      <c r="F1428" t="s">
        <v>6</v>
      </c>
      <c r="G1428">
        <v>13</v>
      </c>
      <c r="H1428">
        <v>105</v>
      </c>
      <c r="I1428">
        <v>105</v>
      </c>
      <c r="J1428">
        <v>105</v>
      </c>
      <c r="K1428" s="6">
        <v>97.79</v>
      </c>
      <c r="L1428" s="6">
        <v>-1.49</v>
      </c>
      <c r="M1428" s="6">
        <v>97.79</v>
      </c>
      <c r="N1428">
        <v>0</v>
      </c>
      <c r="O1428" s="6">
        <v>0</v>
      </c>
      <c r="P1428">
        <v>0</v>
      </c>
      <c r="Q1428" s="8">
        <v>193.31</v>
      </c>
      <c r="R1428" s="8">
        <v>189.04</v>
      </c>
      <c r="S1428" t="s">
        <v>32</v>
      </c>
    </row>
    <row r="1429" spans="1:19" hidden="1" x14ac:dyDescent="0.25">
      <c r="A1429" t="s">
        <v>134</v>
      </c>
      <c r="B1429" t="s">
        <v>75</v>
      </c>
      <c r="C1429" t="s">
        <v>124</v>
      </c>
      <c r="D1429" t="s">
        <v>560</v>
      </c>
      <c r="E1429" t="s">
        <v>90</v>
      </c>
      <c r="F1429" t="s">
        <v>90</v>
      </c>
      <c r="G1429">
        <v>0</v>
      </c>
      <c r="H1429">
        <v>122</v>
      </c>
      <c r="I1429">
        <v>122</v>
      </c>
      <c r="J1429">
        <v>122</v>
      </c>
      <c r="K1429" s="6">
        <v>100</v>
      </c>
      <c r="L1429" s="6">
        <v>0</v>
      </c>
      <c r="M1429" s="6">
        <v>100</v>
      </c>
      <c r="N1429">
        <v>0</v>
      </c>
      <c r="O1429" s="6">
        <v>0</v>
      </c>
      <c r="P1429">
        <v>0</v>
      </c>
      <c r="Q1429" s="8">
        <v>194.3</v>
      </c>
      <c r="R1429" s="8">
        <v>194.3</v>
      </c>
      <c r="S1429" s="9" t="s">
        <v>628</v>
      </c>
    </row>
    <row r="1430" spans="1:19" hidden="1" x14ac:dyDescent="0.25">
      <c r="A1430" t="s">
        <v>134</v>
      </c>
      <c r="B1430" t="s">
        <v>75</v>
      </c>
      <c r="C1430" t="s">
        <v>124</v>
      </c>
      <c r="D1430" t="s">
        <v>560</v>
      </c>
      <c r="E1430" t="s">
        <v>90</v>
      </c>
      <c r="F1430" t="s">
        <v>91</v>
      </c>
      <c r="G1430">
        <v>1</v>
      </c>
      <c r="H1430">
        <v>122</v>
      </c>
      <c r="I1430">
        <v>122</v>
      </c>
      <c r="J1430">
        <v>122</v>
      </c>
      <c r="K1430" s="6">
        <v>100.17</v>
      </c>
      <c r="L1430" s="6">
        <v>0</v>
      </c>
      <c r="M1430" s="6">
        <v>100.17</v>
      </c>
      <c r="N1430">
        <v>0</v>
      </c>
      <c r="O1430" s="6">
        <v>0</v>
      </c>
      <c r="P1430">
        <v>0</v>
      </c>
      <c r="Q1430" s="8">
        <v>194.3</v>
      </c>
      <c r="R1430" s="8">
        <v>194.64</v>
      </c>
      <c r="S1430" t="s">
        <v>32</v>
      </c>
    </row>
    <row r="1431" spans="1:19" hidden="1" x14ac:dyDescent="0.25">
      <c r="A1431" t="s">
        <v>134</v>
      </c>
      <c r="B1431" t="s">
        <v>75</v>
      </c>
      <c r="C1431" t="s">
        <v>124</v>
      </c>
      <c r="D1431" t="s">
        <v>560</v>
      </c>
      <c r="E1431" t="s">
        <v>90</v>
      </c>
      <c r="F1431" t="s">
        <v>94</v>
      </c>
      <c r="G1431">
        <v>2</v>
      </c>
      <c r="H1431">
        <v>122</v>
      </c>
      <c r="I1431">
        <v>122</v>
      </c>
      <c r="J1431">
        <v>122</v>
      </c>
      <c r="K1431" s="6">
        <v>98.56</v>
      </c>
      <c r="L1431" s="6">
        <v>0</v>
      </c>
      <c r="M1431" s="6">
        <v>98.56</v>
      </c>
      <c r="N1431">
        <v>0</v>
      </c>
      <c r="O1431" s="6">
        <v>0</v>
      </c>
      <c r="P1431">
        <v>0</v>
      </c>
      <c r="Q1431" s="8">
        <v>194.3</v>
      </c>
      <c r="R1431" s="8">
        <v>191.5</v>
      </c>
      <c r="S1431" t="s">
        <v>32</v>
      </c>
    </row>
    <row r="1432" spans="1:19" hidden="1" x14ac:dyDescent="0.25">
      <c r="A1432" t="s">
        <v>134</v>
      </c>
      <c r="B1432" t="s">
        <v>75</v>
      </c>
      <c r="C1432" t="s">
        <v>124</v>
      </c>
      <c r="D1432" t="s">
        <v>560</v>
      </c>
      <c r="E1432" t="s">
        <v>90</v>
      </c>
      <c r="F1432" t="s">
        <v>96</v>
      </c>
      <c r="G1432">
        <v>6</v>
      </c>
      <c r="H1432">
        <v>122</v>
      </c>
      <c r="I1432">
        <v>122</v>
      </c>
      <c r="J1432">
        <v>122</v>
      </c>
      <c r="K1432" s="6">
        <v>98.66</v>
      </c>
      <c r="L1432" s="6">
        <v>0</v>
      </c>
      <c r="M1432" s="6">
        <v>98.66</v>
      </c>
      <c r="N1432">
        <v>0</v>
      </c>
      <c r="O1432" s="6">
        <v>0</v>
      </c>
      <c r="P1432">
        <v>0</v>
      </c>
      <c r="Q1432" s="8">
        <v>194.3</v>
      </c>
      <c r="R1432" s="8">
        <v>191.7</v>
      </c>
      <c r="S1432" t="s">
        <v>32</v>
      </c>
    </row>
    <row r="1433" spans="1:19" hidden="1" x14ac:dyDescent="0.25">
      <c r="A1433" t="s">
        <v>134</v>
      </c>
      <c r="B1433" t="s">
        <v>75</v>
      </c>
      <c r="C1433" t="s">
        <v>124</v>
      </c>
      <c r="D1433" t="s">
        <v>560</v>
      </c>
      <c r="E1433" t="s">
        <v>90</v>
      </c>
      <c r="F1433" t="s">
        <v>6</v>
      </c>
      <c r="G1433">
        <v>13</v>
      </c>
      <c r="H1433">
        <v>122</v>
      </c>
      <c r="I1433">
        <v>122</v>
      </c>
      <c r="J1433">
        <v>122</v>
      </c>
      <c r="K1433" s="6">
        <v>98.02</v>
      </c>
      <c r="L1433" s="6">
        <v>-1.7</v>
      </c>
      <c r="M1433" s="6">
        <v>98.02</v>
      </c>
      <c r="N1433">
        <v>0</v>
      </c>
      <c r="O1433" s="6">
        <v>0</v>
      </c>
      <c r="P1433">
        <v>0</v>
      </c>
      <c r="Q1433" s="8">
        <v>194.3</v>
      </c>
      <c r="R1433" s="8">
        <v>190.45</v>
      </c>
      <c r="S1433" t="s">
        <v>32</v>
      </c>
    </row>
    <row r="1434" spans="1:19" hidden="1" x14ac:dyDescent="0.25">
      <c r="A1434" t="s">
        <v>134</v>
      </c>
      <c r="B1434" t="s">
        <v>75</v>
      </c>
      <c r="C1434" t="s">
        <v>124</v>
      </c>
      <c r="D1434" t="s">
        <v>524</v>
      </c>
      <c r="E1434" t="s">
        <v>90</v>
      </c>
      <c r="F1434" t="s">
        <v>90</v>
      </c>
      <c r="G1434">
        <v>0</v>
      </c>
      <c r="H1434">
        <v>58</v>
      </c>
      <c r="I1434">
        <v>58</v>
      </c>
      <c r="J1434">
        <v>58</v>
      </c>
      <c r="K1434" s="6">
        <v>100</v>
      </c>
      <c r="L1434" s="6">
        <v>0</v>
      </c>
      <c r="M1434" s="6">
        <v>100</v>
      </c>
      <c r="N1434">
        <v>0</v>
      </c>
      <c r="O1434" s="6">
        <v>0</v>
      </c>
      <c r="P1434">
        <v>0</v>
      </c>
      <c r="Q1434" s="8">
        <v>190.06</v>
      </c>
      <c r="R1434" s="8">
        <v>190.06</v>
      </c>
      <c r="S1434" s="9" t="s">
        <v>629</v>
      </c>
    </row>
    <row r="1435" spans="1:19" hidden="1" x14ac:dyDescent="0.25">
      <c r="A1435" t="s">
        <v>134</v>
      </c>
      <c r="B1435" t="s">
        <v>75</v>
      </c>
      <c r="C1435" t="s">
        <v>124</v>
      </c>
      <c r="D1435" t="s">
        <v>524</v>
      </c>
      <c r="E1435" t="s">
        <v>90</v>
      </c>
      <c r="F1435" t="s">
        <v>91</v>
      </c>
      <c r="G1435">
        <v>1</v>
      </c>
      <c r="H1435">
        <v>58</v>
      </c>
      <c r="I1435">
        <v>58</v>
      </c>
      <c r="J1435">
        <v>58</v>
      </c>
      <c r="K1435" s="6">
        <v>100.49</v>
      </c>
      <c r="L1435" s="6">
        <v>0</v>
      </c>
      <c r="M1435" s="6">
        <v>100.49</v>
      </c>
      <c r="N1435">
        <v>0</v>
      </c>
      <c r="O1435" s="6">
        <v>0</v>
      </c>
      <c r="P1435">
        <v>0</v>
      </c>
      <c r="Q1435" s="8">
        <v>190.06</v>
      </c>
      <c r="R1435" s="8">
        <v>190.98</v>
      </c>
      <c r="S1435" t="s">
        <v>32</v>
      </c>
    </row>
    <row r="1436" spans="1:19" hidden="1" x14ac:dyDescent="0.25">
      <c r="A1436" t="s">
        <v>134</v>
      </c>
      <c r="B1436" t="s">
        <v>75</v>
      </c>
      <c r="C1436" t="s">
        <v>124</v>
      </c>
      <c r="D1436" t="s">
        <v>524</v>
      </c>
      <c r="E1436" t="s">
        <v>90</v>
      </c>
      <c r="F1436" t="s">
        <v>94</v>
      </c>
      <c r="G1436">
        <v>2</v>
      </c>
      <c r="H1436">
        <v>58</v>
      </c>
      <c r="I1436">
        <v>58</v>
      </c>
      <c r="J1436">
        <v>58</v>
      </c>
      <c r="K1436" s="6">
        <v>98.74</v>
      </c>
      <c r="L1436" s="6">
        <v>-0.67</v>
      </c>
      <c r="M1436" s="6">
        <v>98.74</v>
      </c>
      <c r="N1436">
        <v>0</v>
      </c>
      <c r="O1436" s="6">
        <v>0</v>
      </c>
      <c r="P1436">
        <v>0</v>
      </c>
      <c r="Q1436" s="8">
        <v>190.06</v>
      </c>
      <c r="R1436" s="8">
        <v>187.66</v>
      </c>
      <c r="S1436" t="s">
        <v>32</v>
      </c>
    </row>
    <row r="1437" spans="1:19" hidden="1" x14ac:dyDescent="0.25">
      <c r="A1437" t="s">
        <v>134</v>
      </c>
      <c r="B1437" t="s">
        <v>75</v>
      </c>
      <c r="C1437" t="s">
        <v>124</v>
      </c>
      <c r="D1437" t="s">
        <v>524</v>
      </c>
      <c r="E1437" t="s">
        <v>90</v>
      </c>
      <c r="F1437" t="s">
        <v>96</v>
      </c>
      <c r="G1437">
        <v>6</v>
      </c>
      <c r="H1437">
        <v>58</v>
      </c>
      <c r="I1437">
        <v>58</v>
      </c>
      <c r="J1437">
        <v>58</v>
      </c>
      <c r="K1437" s="6">
        <v>98.99</v>
      </c>
      <c r="L1437" s="6">
        <v>-1.1000000000000001</v>
      </c>
      <c r="M1437" s="6">
        <v>98.99</v>
      </c>
      <c r="N1437">
        <v>0</v>
      </c>
      <c r="O1437" s="6">
        <v>0</v>
      </c>
      <c r="P1437">
        <v>0</v>
      </c>
      <c r="Q1437" s="8">
        <v>190.06</v>
      </c>
      <c r="R1437" s="8">
        <v>188.14</v>
      </c>
      <c r="S1437" t="s">
        <v>32</v>
      </c>
    </row>
    <row r="1438" spans="1:19" hidden="1" x14ac:dyDescent="0.25">
      <c r="A1438" t="s">
        <v>134</v>
      </c>
      <c r="B1438" t="s">
        <v>75</v>
      </c>
      <c r="C1438" t="s">
        <v>124</v>
      </c>
      <c r="D1438" t="s">
        <v>524</v>
      </c>
      <c r="E1438" t="s">
        <v>90</v>
      </c>
      <c r="F1438" t="s">
        <v>6</v>
      </c>
      <c r="G1438">
        <v>13</v>
      </c>
      <c r="H1438">
        <v>58</v>
      </c>
      <c r="I1438">
        <v>58</v>
      </c>
      <c r="J1438">
        <v>58</v>
      </c>
      <c r="K1438" s="6">
        <v>98.6</v>
      </c>
      <c r="L1438" s="6">
        <v>-1.91</v>
      </c>
      <c r="M1438" s="6">
        <v>98.6</v>
      </c>
      <c r="N1438">
        <v>0</v>
      </c>
      <c r="O1438" s="6">
        <v>0</v>
      </c>
      <c r="P1438">
        <v>0</v>
      </c>
      <c r="Q1438" s="8">
        <v>190.06</v>
      </c>
      <c r="R1438" s="8">
        <v>187.4</v>
      </c>
      <c r="S1438" t="s">
        <v>32</v>
      </c>
    </row>
    <row r="1439" spans="1:19" hidden="1" x14ac:dyDescent="0.25">
      <c r="A1439" t="s">
        <v>134</v>
      </c>
      <c r="B1439" t="s">
        <v>75</v>
      </c>
      <c r="C1439" t="s">
        <v>124</v>
      </c>
      <c r="D1439" t="s">
        <v>527</v>
      </c>
      <c r="E1439" t="s">
        <v>90</v>
      </c>
      <c r="F1439" t="s">
        <v>90</v>
      </c>
      <c r="G1439">
        <v>0</v>
      </c>
      <c r="H1439">
        <v>48</v>
      </c>
      <c r="I1439">
        <v>48</v>
      </c>
      <c r="J1439">
        <v>48</v>
      </c>
      <c r="K1439" s="6">
        <v>100</v>
      </c>
      <c r="L1439" s="6">
        <v>0</v>
      </c>
      <c r="M1439" s="6">
        <v>100</v>
      </c>
      <c r="N1439">
        <v>0</v>
      </c>
      <c r="O1439" s="6">
        <v>0</v>
      </c>
      <c r="P1439">
        <v>0</v>
      </c>
      <c r="Q1439" s="8">
        <v>193.69</v>
      </c>
      <c r="R1439" s="8">
        <v>193.69</v>
      </c>
      <c r="S1439" s="9" t="s">
        <v>630</v>
      </c>
    </row>
    <row r="1440" spans="1:19" hidden="1" x14ac:dyDescent="0.25">
      <c r="A1440" t="s">
        <v>134</v>
      </c>
      <c r="B1440" t="s">
        <v>75</v>
      </c>
      <c r="C1440" t="s">
        <v>124</v>
      </c>
      <c r="D1440" t="s">
        <v>527</v>
      </c>
      <c r="E1440" t="s">
        <v>90</v>
      </c>
      <c r="F1440" t="s">
        <v>91</v>
      </c>
      <c r="G1440">
        <v>1</v>
      </c>
      <c r="H1440">
        <v>48</v>
      </c>
      <c r="I1440">
        <v>48</v>
      </c>
      <c r="J1440">
        <v>48</v>
      </c>
      <c r="K1440" s="6">
        <v>100.11</v>
      </c>
      <c r="L1440" s="6">
        <v>0</v>
      </c>
      <c r="M1440" s="6">
        <v>100.11</v>
      </c>
      <c r="N1440">
        <v>0</v>
      </c>
      <c r="O1440" s="6">
        <v>0</v>
      </c>
      <c r="P1440">
        <v>0</v>
      </c>
      <c r="Q1440" s="8">
        <v>193.69</v>
      </c>
      <c r="R1440" s="8">
        <v>193.89</v>
      </c>
      <c r="S1440" t="s">
        <v>32</v>
      </c>
    </row>
    <row r="1441" spans="1:19" hidden="1" x14ac:dyDescent="0.25">
      <c r="A1441" t="s">
        <v>134</v>
      </c>
      <c r="B1441" t="s">
        <v>75</v>
      </c>
      <c r="C1441" t="s">
        <v>124</v>
      </c>
      <c r="D1441" t="s">
        <v>527</v>
      </c>
      <c r="E1441" t="s">
        <v>90</v>
      </c>
      <c r="F1441" t="s">
        <v>94</v>
      </c>
      <c r="G1441">
        <v>2</v>
      </c>
      <c r="H1441">
        <v>48</v>
      </c>
      <c r="I1441">
        <v>48</v>
      </c>
      <c r="J1441">
        <v>48</v>
      </c>
      <c r="K1441" s="6">
        <v>100.06</v>
      </c>
      <c r="L1441" s="6">
        <v>0</v>
      </c>
      <c r="M1441" s="6">
        <v>100.06</v>
      </c>
      <c r="N1441">
        <v>0</v>
      </c>
      <c r="O1441" s="6">
        <v>0</v>
      </c>
      <c r="P1441">
        <v>0</v>
      </c>
      <c r="Q1441" s="8">
        <v>193.69</v>
      </c>
      <c r="R1441" s="8">
        <v>193.81</v>
      </c>
      <c r="S1441" t="s">
        <v>32</v>
      </c>
    </row>
    <row r="1442" spans="1:19" hidden="1" x14ac:dyDescent="0.25">
      <c r="A1442" t="s">
        <v>134</v>
      </c>
      <c r="B1442" t="s">
        <v>75</v>
      </c>
      <c r="C1442" t="s">
        <v>124</v>
      </c>
      <c r="D1442" t="s">
        <v>527</v>
      </c>
      <c r="E1442" t="s">
        <v>90</v>
      </c>
      <c r="F1442" t="s">
        <v>96</v>
      </c>
      <c r="G1442">
        <v>6</v>
      </c>
      <c r="H1442">
        <v>48</v>
      </c>
      <c r="I1442">
        <v>48</v>
      </c>
      <c r="J1442">
        <v>48</v>
      </c>
      <c r="K1442" s="6">
        <v>100.06</v>
      </c>
      <c r="L1442" s="6">
        <v>0</v>
      </c>
      <c r="M1442" s="6">
        <v>100.06</v>
      </c>
      <c r="N1442">
        <v>0</v>
      </c>
      <c r="O1442" s="6">
        <v>0</v>
      </c>
      <c r="P1442">
        <v>0</v>
      </c>
      <c r="Q1442" s="8">
        <v>193.69</v>
      </c>
      <c r="R1442" s="8">
        <v>193.81</v>
      </c>
      <c r="S1442" t="s">
        <v>32</v>
      </c>
    </row>
    <row r="1443" spans="1:19" hidden="1" x14ac:dyDescent="0.25">
      <c r="A1443" t="s">
        <v>134</v>
      </c>
      <c r="B1443" t="s">
        <v>75</v>
      </c>
      <c r="C1443" t="s">
        <v>124</v>
      </c>
      <c r="D1443" t="s">
        <v>527</v>
      </c>
      <c r="E1443" t="s">
        <v>90</v>
      </c>
      <c r="F1443" t="s">
        <v>6</v>
      </c>
      <c r="G1443">
        <v>13</v>
      </c>
      <c r="H1443">
        <v>48</v>
      </c>
      <c r="I1443">
        <v>48</v>
      </c>
      <c r="J1443">
        <v>48</v>
      </c>
      <c r="K1443" s="6">
        <v>99.91</v>
      </c>
      <c r="L1443" s="6">
        <v>0</v>
      </c>
      <c r="M1443" s="6">
        <v>99.91</v>
      </c>
      <c r="N1443">
        <v>0</v>
      </c>
      <c r="O1443" s="6">
        <v>0</v>
      </c>
      <c r="P1443">
        <v>0</v>
      </c>
      <c r="Q1443" s="8">
        <v>193.69</v>
      </c>
      <c r="R1443" s="8">
        <v>193.51</v>
      </c>
      <c r="S1443" t="s">
        <v>32</v>
      </c>
    </row>
    <row r="1444" spans="1:19" hidden="1" x14ac:dyDescent="0.25">
      <c r="A1444" t="s">
        <v>134</v>
      </c>
      <c r="B1444" t="s">
        <v>75</v>
      </c>
      <c r="C1444" t="s">
        <v>124</v>
      </c>
      <c r="D1444" t="s">
        <v>530</v>
      </c>
      <c r="E1444" t="s">
        <v>90</v>
      </c>
      <c r="F1444" t="s">
        <v>90</v>
      </c>
      <c r="G1444">
        <v>0</v>
      </c>
      <c r="H1444">
        <v>42</v>
      </c>
      <c r="I1444">
        <v>42</v>
      </c>
      <c r="J1444">
        <v>42</v>
      </c>
      <c r="K1444" s="6">
        <v>100</v>
      </c>
      <c r="L1444" s="6">
        <v>0</v>
      </c>
      <c r="M1444" s="6">
        <v>100</v>
      </c>
      <c r="N1444">
        <v>0</v>
      </c>
      <c r="O1444" s="6">
        <v>0</v>
      </c>
      <c r="P1444">
        <v>0</v>
      </c>
      <c r="Q1444" s="8">
        <v>228.88</v>
      </c>
      <c r="R1444" s="8">
        <v>228.88</v>
      </c>
      <c r="S1444" s="9" t="s">
        <v>631</v>
      </c>
    </row>
    <row r="1445" spans="1:19" hidden="1" x14ac:dyDescent="0.25">
      <c r="A1445" t="s">
        <v>134</v>
      </c>
      <c r="B1445" t="s">
        <v>75</v>
      </c>
      <c r="C1445" t="s">
        <v>124</v>
      </c>
      <c r="D1445" t="s">
        <v>530</v>
      </c>
      <c r="E1445" t="s">
        <v>90</v>
      </c>
      <c r="F1445" t="s">
        <v>91</v>
      </c>
      <c r="G1445">
        <v>1</v>
      </c>
      <c r="H1445">
        <v>42</v>
      </c>
      <c r="I1445">
        <v>42</v>
      </c>
      <c r="J1445">
        <v>42</v>
      </c>
      <c r="K1445" s="6">
        <v>100</v>
      </c>
      <c r="L1445" s="6">
        <v>0</v>
      </c>
      <c r="M1445" s="6">
        <v>100</v>
      </c>
      <c r="N1445">
        <v>0</v>
      </c>
      <c r="O1445" s="6">
        <v>0</v>
      </c>
      <c r="P1445">
        <v>0</v>
      </c>
      <c r="Q1445" s="8">
        <v>228.88</v>
      </c>
      <c r="R1445" s="8">
        <v>228.88</v>
      </c>
      <c r="S1445" t="s">
        <v>32</v>
      </c>
    </row>
    <row r="1446" spans="1:19" hidden="1" x14ac:dyDescent="0.25">
      <c r="A1446" t="s">
        <v>134</v>
      </c>
      <c r="B1446" t="s">
        <v>75</v>
      </c>
      <c r="C1446" t="s">
        <v>124</v>
      </c>
      <c r="D1446" t="s">
        <v>530</v>
      </c>
      <c r="E1446" t="s">
        <v>90</v>
      </c>
      <c r="F1446" t="s">
        <v>94</v>
      </c>
      <c r="G1446">
        <v>2</v>
      </c>
      <c r="H1446">
        <v>42</v>
      </c>
      <c r="I1446">
        <v>42</v>
      </c>
      <c r="J1446">
        <v>42</v>
      </c>
      <c r="K1446" s="6">
        <v>100.15</v>
      </c>
      <c r="L1446" s="6">
        <v>0</v>
      </c>
      <c r="M1446" s="6">
        <v>100.15</v>
      </c>
      <c r="N1446">
        <v>0</v>
      </c>
      <c r="O1446" s="6">
        <v>0</v>
      </c>
      <c r="P1446">
        <v>0</v>
      </c>
      <c r="Q1446" s="8">
        <v>228.88</v>
      </c>
      <c r="R1446" s="8">
        <v>229.22</v>
      </c>
      <c r="S1446" t="s">
        <v>32</v>
      </c>
    </row>
    <row r="1447" spans="1:19" hidden="1" x14ac:dyDescent="0.25">
      <c r="A1447" t="s">
        <v>134</v>
      </c>
      <c r="B1447" t="s">
        <v>75</v>
      </c>
      <c r="C1447" t="s">
        <v>124</v>
      </c>
      <c r="D1447" t="s">
        <v>530</v>
      </c>
      <c r="E1447" t="s">
        <v>90</v>
      </c>
      <c r="F1447" t="s">
        <v>96</v>
      </c>
      <c r="G1447">
        <v>6</v>
      </c>
      <c r="H1447">
        <v>42</v>
      </c>
      <c r="I1447">
        <v>42</v>
      </c>
      <c r="J1447">
        <v>42</v>
      </c>
      <c r="K1447" s="6">
        <v>100.15</v>
      </c>
      <c r="L1447" s="6">
        <v>0</v>
      </c>
      <c r="M1447" s="6">
        <v>100.15</v>
      </c>
      <c r="N1447">
        <v>0</v>
      </c>
      <c r="O1447" s="6">
        <v>0</v>
      </c>
      <c r="P1447">
        <v>0</v>
      </c>
      <c r="Q1447" s="8">
        <v>228.88</v>
      </c>
      <c r="R1447" s="8">
        <v>229.22</v>
      </c>
      <c r="S1447" t="s">
        <v>32</v>
      </c>
    </row>
    <row r="1448" spans="1:19" hidden="1" x14ac:dyDescent="0.25">
      <c r="A1448" t="s">
        <v>134</v>
      </c>
      <c r="B1448" t="s">
        <v>75</v>
      </c>
      <c r="C1448" t="s">
        <v>124</v>
      </c>
      <c r="D1448" t="s">
        <v>530</v>
      </c>
      <c r="E1448" t="s">
        <v>90</v>
      </c>
      <c r="F1448" t="s">
        <v>6</v>
      </c>
      <c r="G1448">
        <v>13</v>
      </c>
      <c r="H1448">
        <v>42</v>
      </c>
      <c r="I1448">
        <v>42</v>
      </c>
      <c r="J1448">
        <v>42</v>
      </c>
      <c r="K1448" s="6">
        <v>99.85</v>
      </c>
      <c r="L1448" s="6">
        <v>0</v>
      </c>
      <c r="M1448" s="6">
        <v>99.85</v>
      </c>
      <c r="N1448">
        <v>0</v>
      </c>
      <c r="O1448" s="6">
        <v>0</v>
      </c>
      <c r="P1448">
        <v>0</v>
      </c>
      <c r="Q1448" s="8">
        <v>228.88</v>
      </c>
      <c r="R1448" s="8">
        <v>228.54</v>
      </c>
      <c r="S1448" t="s">
        <v>32</v>
      </c>
    </row>
    <row r="1449" spans="1:19" hidden="1" x14ac:dyDescent="0.25">
      <c r="A1449" t="s">
        <v>134</v>
      </c>
      <c r="B1449" t="s">
        <v>75</v>
      </c>
      <c r="C1449" t="s">
        <v>124</v>
      </c>
      <c r="D1449" t="s">
        <v>531</v>
      </c>
      <c r="E1449" t="s">
        <v>90</v>
      </c>
      <c r="F1449" t="s">
        <v>90</v>
      </c>
      <c r="G1449">
        <v>0</v>
      </c>
      <c r="H1449">
        <v>50</v>
      </c>
      <c r="I1449">
        <v>50</v>
      </c>
      <c r="J1449">
        <v>50</v>
      </c>
      <c r="K1449" s="6">
        <v>100</v>
      </c>
      <c r="L1449" s="6">
        <v>0</v>
      </c>
      <c r="M1449" s="6">
        <v>100</v>
      </c>
      <c r="N1449">
        <v>0</v>
      </c>
      <c r="O1449" s="6">
        <v>0</v>
      </c>
      <c r="P1449">
        <v>0</v>
      </c>
      <c r="Q1449" s="8">
        <v>240.64</v>
      </c>
      <c r="R1449" s="8">
        <v>240.64</v>
      </c>
      <c r="S1449" s="9" t="s">
        <v>632</v>
      </c>
    </row>
    <row r="1450" spans="1:19" hidden="1" x14ac:dyDescent="0.25">
      <c r="A1450" t="s">
        <v>134</v>
      </c>
      <c r="B1450" t="s">
        <v>75</v>
      </c>
      <c r="C1450" t="s">
        <v>124</v>
      </c>
      <c r="D1450" t="s">
        <v>531</v>
      </c>
      <c r="E1450" t="s">
        <v>90</v>
      </c>
      <c r="F1450" t="s">
        <v>91</v>
      </c>
      <c r="G1450">
        <v>1</v>
      </c>
      <c r="H1450">
        <v>50</v>
      </c>
      <c r="I1450">
        <v>50</v>
      </c>
      <c r="J1450">
        <v>50</v>
      </c>
      <c r="K1450" s="6">
        <v>100</v>
      </c>
      <c r="L1450" s="6">
        <v>0</v>
      </c>
      <c r="M1450" s="6">
        <v>100</v>
      </c>
      <c r="N1450">
        <v>0</v>
      </c>
      <c r="O1450" s="6">
        <v>0</v>
      </c>
      <c r="P1450">
        <v>0</v>
      </c>
      <c r="Q1450" s="8">
        <v>240.64</v>
      </c>
      <c r="R1450" s="8">
        <v>240.64</v>
      </c>
      <c r="S1450" t="s">
        <v>32</v>
      </c>
    </row>
    <row r="1451" spans="1:19" hidden="1" x14ac:dyDescent="0.25">
      <c r="A1451" t="s">
        <v>134</v>
      </c>
      <c r="B1451" t="s">
        <v>75</v>
      </c>
      <c r="C1451" t="s">
        <v>124</v>
      </c>
      <c r="D1451" t="s">
        <v>531</v>
      </c>
      <c r="E1451" t="s">
        <v>90</v>
      </c>
      <c r="F1451" t="s">
        <v>94</v>
      </c>
      <c r="G1451">
        <v>2</v>
      </c>
      <c r="H1451">
        <v>50</v>
      </c>
      <c r="I1451">
        <v>50</v>
      </c>
      <c r="J1451">
        <v>50</v>
      </c>
      <c r="K1451" s="6">
        <v>99.57</v>
      </c>
      <c r="L1451" s="6">
        <v>0</v>
      </c>
      <c r="M1451" s="6">
        <v>99.57</v>
      </c>
      <c r="N1451">
        <v>0</v>
      </c>
      <c r="O1451" s="6">
        <v>0</v>
      </c>
      <c r="P1451">
        <v>0</v>
      </c>
      <c r="Q1451" s="8">
        <v>240.64</v>
      </c>
      <c r="R1451" s="8">
        <v>239.61</v>
      </c>
      <c r="S1451" t="s">
        <v>32</v>
      </c>
    </row>
    <row r="1452" spans="1:19" hidden="1" x14ac:dyDescent="0.25">
      <c r="A1452" t="s">
        <v>134</v>
      </c>
      <c r="B1452" t="s">
        <v>75</v>
      </c>
      <c r="C1452" t="s">
        <v>124</v>
      </c>
      <c r="D1452" t="s">
        <v>531</v>
      </c>
      <c r="E1452" t="s">
        <v>90</v>
      </c>
      <c r="F1452" t="s">
        <v>96</v>
      </c>
      <c r="G1452">
        <v>6</v>
      </c>
      <c r="H1452">
        <v>50</v>
      </c>
      <c r="I1452">
        <v>50</v>
      </c>
      <c r="J1452">
        <v>50</v>
      </c>
      <c r="K1452" s="6">
        <v>99.57</v>
      </c>
      <c r="L1452" s="6">
        <v>0</v>
      </c>
      <c r="M1452" s="6">
        <v>99.57</v>
      </c>
      <c r="N1452">
        <v>0</v>
      </c>
      <c r="O1452" s="6">
        <v>0</v>
      </c>
      <c r="P1452">
        <v>0</v>
      </c>
      <c r="Q1452" s="8">
        <v>240.64</v>
      </c>
      <c r="R1452" s="8">
        <v>239.61</v>
      </c>
      <c r="S1452" t="s">
        <v>32</v>
      </c>
    </row>
    <row r="1453" spans="1:19" hidden="1" x14ac:dyDescent="0.25">
      <c r="A1453" t="s">
        <v>134</v>
      </c>
      <c r="B1453" t="s">
        <v>75</v>
      </c>
      <c r="C1453" t="s">
        <v>124</v>
      </c>
      <c r="D1453" t="s">
        <v>531</v>
      </c>
      <c r="E1453" t="s">
        <v>90</v>
      </c>
      <c r="F1453" t="s">
        <v>6</v>
      </c>
      <c r="G1453">
        <v>13</v>
      </c>
      <c r="H1453">
        <v>50</v>
      </c>
      <c r="I1453">
        <v>50</v>
      </c>
      <c r="J1453">
        <v>50</v>
      </c>
      <c r="K1453" s="6">
        <v>99.21</v>
      </c>
      <c r="L1453" s="6">
        <v>0</v>
      </c>
      <c r="M1453" s="6">
        <v>99.21</v>
      </c>
      <c r="N1453">
        <v>0</v>
      </c>
      <c r="O1453" s="6">
        <v>0</v>
      </c>
      <c r="P1453">
        <v>0</v>
      </c>
      <c r="Q1453" s="8">
        <v>240.64</v>
      </c>
      <c r="R1453" s="8">
        <v>238.75</v>
      </c>
      <c r="S1453" t="s">
        <v>32</v>
      </c>
    </row>
    <row r="1454" spans="1:19" hidden="1" x14ac:dyDescent="0.25">
      <c r="A1454" t="s">
        <v>134</v>
      </c>
      <c r="B1454" t="s">
        <v>75</v>
      </c>
      <c r="C1454" t="s">
        <v>124</v>
      </c>
      <c r="D1454" t="s">
        <v>532</v>
      </c>
      <c r="E1454" t="s">
        <v>90</v>
      </c>
      <c r="F1454" t="s">
        <v>90</v>
      </c>
      <c r="G1454">
        <v>0</v>
      </c>
      <c r="H1454">
        <v>48</v>
      </c>
      <c r="I1454">
        <v>48</v>
      </c>
      <c r="J1454">
        <v>48</v>
      </c>
      <c r="K1454" s="6">
        <v>100</v>
      </c>
      <c r="L1454" s="6">
        <v>0</v>
      </c>
      <c r="M1454" s="6">
        <v>100</v>
      </c>
      <c r="N1454">
        <v>0</v>
      </c>
      <c r="O1454" s="6">
        <v>0</v>
      </c>
      <c r="P1454">
        <v>0</v>
      </c>
      <c r="Q1454" s="8">
        <v>217.43</v>
      </c>
      <c r="R1454" s="8">
        <v>217.43</v>
      </c>
      <c r="S1454" s="9" t="s">
        <v>630</v>
      </c>
    </row>
    <row r="1455" spans="1:19" hidden="1" x14ac:dyDescent="0.25">
      <c r="A1455" t="s">
        <v>134</v>
      </c>
      <c r="B1455" t="s">
        <v>75</v>
      </c>
      <c r="C1455" t="s">
        <v>124</v>
      </c>
      <c r="D1455" t="s">
        <v>532</v>
      </c>
      <c r="E1455" t="s">
        <v>90</v>
      </c>
      <c r="F1455" t="s">
        <v>91</v>
      </c>
      <c r="G1455">
        <v>1</v>
      </c>
      <c r="H1455">
        <v>48</v>
      </c>
      <c r="I1455">
        <v>48</v>
      </c>
      <c r="J1455">
        <v>48</v>
      </c>
      <c r="K1455" s="6">
        <v>100</v>
      </c>
      <c r="L1455" s="6">
        <v>0</v>
      </c>
      <c r="M1455" s="6">
        <v>100</v>
      </c>
      <c r="N1455">
        <v>0</v>
      </c>
      <c r="O1455" s="6">
        <v>0</v>
      </c>
      <c r="P1455">
        <v>0</v>
      </c>
      <c r="Q1455" s="8">
        <v>217.43</v>
      </c>
      <c r="R1455" s="8">
        <v>217.43</v>
      </c>
      <c r="S1455" t="s">
        <v>32</v>
      </c>
    </row>
    <row r="1456" spans="1:19" hidden="1" x14ac:dyDescent="0.25">
      <c r="A1456" t="s">
        <v>134</v>
      </c>
      <c r="B1456" t="s">
        <v>75</v>
      </c>
      <c r="C1456" t="s">
        <v>124</v>
      </c>
      <c r="D1456" t="s">
        <v>532</v>
      </c>
      <c r="E1456" t="s">
        <v>90</v>
      </c>
      <c r="F1456" t="s">
        <v>94</v>
      </c>
      <c r="G1456">
        <v>2</v>
      </c>
      <c r="H1456">
        <v>48</v>
      </c>
      <c r="I1456">
        <v>48</v>
      </c>
      <c r="J1456">
        <v>48</v>
      </c>
      <c r="K1456" s="6">
        <v>99.65</v>
      </c>
      <c r="L1456" s="6">
        <v>0</v>
      </c>
      <c r="M1456" s="6">
        <v>99.65</v>
      </c>
      <c r="N1456">
        <v>0</v>
      </c>
      <c r="O1456" s="6">
        <v>0</v>
      </c>
      <c r="P1456">
        <v>0</v>
      </c>
      <c r="Q1456" s="8">
        <v>217.43</v>
      </c>
      <c r="R1456" s="8">
        <v>216.66</v>
      </c>
      <c r="S1456" t="s">
        <v>32</v>
      </c>
    </row>
    <row r="1457" spans="1:19" hidden="1" x14ac:dyDescent="0.25">
      <c r="A1457" t="s">
        <v>134</v>
      </c>
      <c r="B1457" t="s">
        <v>75</v>
      </c>
      <c r="C1457" t="s">
        <v>124</v>
      </c>
      <c r="D1457" t="s">
        <v>532</v>
      </c>
      <c r="E1457" t="s">
        <v>90</v>
      </c>
      <c r="F1457" t="s">
        <v>96</v>
      </c>
      <c r="G1457">
        <v>6</v>
      </c>
      <c r="H1457">
        <v>48</v>
      </c>
      <c r="I1457">
        <v>48</v>
      </c>
      <c r="J1457">
        <v>48</v>
      </c>
      <c r="K1457" s="6">
        <v>99.65</v>
      </c>
      <c r="L1457" s="6">
        <v>0</v>
      </c>
      <c r="M1457" s="6">
        <v>99.65</v>
      </c>
      <c r="N1457">
        <v>0</v>
      </c>
      <c r="O1457" s="6">
        <v>0</v>
      </c>
      <c r="P1457">
        <v>0</v>
      </c>
      <c r="Q1457" s="8">
        <v>217.43</v>
      </c>
      <c r="R1457" s="8">
        <v>216.66</v>
      </c>
      <c r="S1457" t="s">
        <v>32</v>
      </c>
    </row>
    <row r="1458" spans="1:19" hidden="1" x14ac:dyDescent="0.25">
      <c r="A1458" t="s">
        <v>134</v>
      </c>
      <c r="B1458" t="s">
        <v>75</v>
      </c>
      <c r="C1458" t="s">
        <v>124</v>
      </c>
      <c r="D1458" t="s">
        <v>532</v>
      </c>
      <c r="E1458" t="s">
        <v>90</v>
      </c>
      <c r="F1458" t="s">
        <v>6</v>
      </c>
      <c r="G1458">
        <v>13</v>
      </c>
      <c r="H1458">
        <v>48</v>
      </c>
      <c r="I1458">
        <v>48</v>
      </c>
      <c r="J1458">
        <v>48</v>
      </c>
      <c r="K1458" s="6">
        <v>99.3</v>
      </c>
      <c r="L1458" s="6">
        <v>0</v>
      </c>
      <c r="M1458" s="6">
        <v>99.3</v>
      </c>
      <c r="N1458">
        <v>0</v>
      </c>
      <c r="O1458" s="6">
        <v>0</v>
      </c>
      <c r="P1458">
        <v>0</v>
      </c>
      <c r="Q1458" s="8">
        <v>217.43</v>
      </c>
      <c r="R1458" s="8">
        <v>215.92</v>
      </c>
      <c r="S1458" t="s">
        <v>32</v>
      </c>
    </row>
    <row r="1459" spans="1:19" hidden="1" x14ac:dyDescent="0.25">
      <c r="A1459" t="s">
        <v>134</v>
      </c>
      <c r="B1459" t="s">
        <v>75</v>
      </c>
      <c r="C1459" t="s">
        <v>124</v>
      </c>
      <c r="D1459" t="s">
        <v>533</v>
      </c>
      <c r="E1459" t="s">
        <v>94</v>
      </c>
      <c r="F1459" t="s">
        <v>94</v>
      </c>
      <c r="G1459">
        <v>0</v>
      </c>
      <c r="H1459">
        <v>46</v>
      </c>
      <c r="I1459">
        <v>46</v>
      </c>
      <c r="J1459">
        <v>46</v>
      </c>
      <c r="K1459" s="6">
        <v>100</v>
      </c>
      <c r="L1459" s="6">
        <v>0</v>
      </c>
      <c r="M1459" s="6">
        <v>100</v>
      </c>
      <c r="N1459">
        <v>0</v>
      </c>
      <c r="O1459" s="6">
        <v>0</v>
      </c>
      <c r="P1459">
        <v>0</v>
      </c>
      <c r="Q1459" s="8">
        <v>196.7</v>
      </c>
      <c r="R1459" s="8">
        <v>196.7</v>
      </c>
      <c r="S1459" s="9" t="s">
        <v>633</v>
      </c>
    </row>
    <row r="1460" spans="1:19" hidden="1" x14ac:dyDescent="0.25">
      <c r="A1460" t="s">
        <v>134</v>
      </c>
      <c r="B1460" t="s">
        <v>75</v>
      </c>
      <c r="C1460" t="s">
        <v>124</v>
      </c>
      <c r="D1460" t="s">
        <v>533</v>
      </c>
      <c r="E1460" t="s">
        <v>94</v>
      </c>
      <c r="F1460" t="s">
        <v>96</v>
      </c>
      <c r="G1460">
        <v>4</v>
      </c>
      <c r="H1460">
        <v>46</v>
      </c>
      <c r="I1460">
        <v>46</v>
      </c>
      <c r="J1460">
        <v>46</v>
      </c>
      <c r="K1460" s="6">
        <v>100</v>
      </c>
      <c r="L1460" s="6">
        <v>0</v>
      </c>
      <c r="M1460" s="6">
        <v>100</v>
      </c>
      <c r="N1460">
        <v>0</v>
      </c>
      <c r="O1460" s="6">
        <v>0</v>
      </c>
      <c r="P1460">
        <v>0</v>
      </c>
      <c r="Q1460" s="8">
        <v>196.7</v>
      </c>
      <c r="R1460" s="8">
        <v>196.7</v>
      </c>
      <c r="S1460" t="s">
        <v>32</v>
      </c>
    </row>
    <row r="1461" spans="1:19" hidden="1" x14ac:dyDescent="0.25">
      <c r="A1461" t="s">
        <v>134</v>
      </c>
      <c r="B1461" t="s">
        <v>75</v>
      </c>
      <c r="C1461" t="s">
        <v>124</v>
      </c>
      <c r="D1461" t="s">
        <v>533</v>
      </c>
      <c r="E1461" t="s">
        <v>94</v>
      </c>
      <c r="F1461" t="s">
        <v>6</v>
      </c>
      <c r="G1461">
        <v>11</v>
      </c>
      <c r="H1461">
        <v>46</v>
      </c>
      <c r="I1461">
        <v>46</v>
      </c>
      <c r="J1461">
        <v>46</v>
      </c>
      <c r="K1461" s="6">
        <v>99.79</v>
      </c>
      <c r="L1461" s="6">
        <v>0</v>
      </c>
      <c r="M1461" s="6">
        <v>99.79</v>
      </c>
      <c r="N1461">
        <v>0</v>
      </c>
      <c r="O1461" s="6">
        <v>0</v>
      </c>
      <c r="P1461">
        <v>0</v>
      </c>
      <c r="Q1461" s="8">
        <v>196.7</v>
      </c>
      <c r="R1461" s="8">
        <v>196.29</v>
      </c>
      <c r="S1461" t="s">
        <v>32</v>
      </c>
    </row>
    <row r="1462" spans="1:19" hidden="1" x14ac:dyDescent="0.25">
      <c r="A1462" t="s">
        <v>134</v>
      </c>
      <c r="B1462" t="s">
        <v>75</v>
      </c>
      <c r="C1462" t="s">
        <v>124</v>
      </c>
      <c r="D1462" t="s">
        <v>545</v>
      </c>
      <c r="E1462" t="s">
        <v>94</v>
      </c>
      <c r="F1462" t="s">
        <v>94</v>
      </c>
      <c r="G1462">
        <v>0</v>
      </c>
      <c r="H1462">
        <v>62</v>
      </c>
      <c r="I1462">
        <v>62</v>
      </c>
      <c r="J1462">
        <v>62</v>
      </c>
      <c r="K1462" s="6">
        <v>100</v>
      </c>
      <c r="L1462" s="6">
        <v>0</v>
      </c>
      <c r="M1462" s="6">
        <v>100</v>
      </c>
      <c r="N1462">
        <v>0</v>
      </c>
      <c r="O1462" s="6">
        <v>0</v>
      </c>
      <c r="P1462">
        <v>0</v>
      </c>
      <c r="Q1462" s="8">
        <v>198.92</v>
      </c>
      <c r="R1462" s="8">
        <v>198.92</v>
      </c>
      <c r="S1462" s="9" t="s">
        <v>634</v>
      </c>
    </row>
    <row r="1463" spans="1:19" hidden="1" x14ac:dyDescent="0.25">
      <c r="A1463" t="s">
        <v>134</v>
      </c>
      <c r="B1463" t="s">
        <v>75</v>
      </c>
      <c r="C1463" t="s">
        <v>124</v>
      </c>
      <c r="D1463" t="s">
        <v>545</v>
      </c>
      <c r="E1463" t="s">
        <v>94</v>
      </c>
      <c r="F1463" t="s">
        <v>96</v>
      </c>
      <c r="G1463">
        <v>4</v>
      </c>
      <c r="H1463">
        <v>62</v>
      </c>
      <c r="I1463">
        <v>62</v>
      </c>
      <c r="J1463">
        <v>62</v>
      </c>
      <c r="K1463" s="6">
        <v>100</v>
      </c>
      <c r="L1463" s="6">
        <v>0</v>
      </c>
      <c r="M1463" s="6">
        <v>100</v>
      </c>
      <c r="N1463">
        <v>0</v>
      </c>
      <c r="O1463" s="6">
        <v>0</v>
      </c>
      <c r="P1463">
        <v>0</v>
      </c>
      <c r="Q1463" s="8">
        <v>198.92</v>
      </c>
      <c r="R1463" s="8">
        <v>198.92</v>
      </c>
      <c r="S1463" t="s">
        <v>32</v>
      </c>
    </row>
    <row r="1464" spans="1:19" hidden="1" x14ac:dyDescent="0.25">
      <c r="A1464" t="s">
        <v>134</v>
      </c>
      <c r="B1464" t="s">
        <v>75</v>
      </c>
      <c r="C1464" t="s">
        <v>124</v>
      </c>
      <c r="D1464" t="s">
        <v>545</v>
      </c>
      <c r="E1464" t="s">
        <v>94</v>
      </c>
      <c r="F1464" t="s">
        <v>6</v>
      </c>
      <c r="G1464">
        <v>11</v>
      </c>
      <c r="H1464">
        <v>62</v>
      </c>
      <c r="I1464">
        <v>62</v>
      </c>
      <c r="J1464">
        <v>62</v>
      </c>
      <c r="K1464" s="6">
        <v>100.03</v>
      </c>
      <c r="L1464" s="6">
        <v>0</v>
      </c>
      <c r="M1464" s="6">
        <v>100.03</v>
      </c>
      <c r="N1464">
        <v>0</v>
      </c>
      <c r="O1464" s="6">
        <v>0</v>
      </c>
      <c r="P1464">
        <v>0</v>
      </c>
      <c r="Q1464" s="8">
        <v>198.92</v>
      </c>
      <c r="R1464" s="8">
        <v>198.98</v>
      </c>
      <c r="S1464" t="s">
        <v>32</v>
      </c>
    </row>
    <row r="1465" spans="1:19" hidden="1" x14ac:dyDescent="0.25">
      <c r="A1465" t="s">
        <v>134</v>
      </c>
      <c r="B1465" t="s">
        <v>75</v>
      </c>
      <c r="C1465" t="s">
        <v>124</v>
      </c>
      <c r="D1465" t="s">
        <v>570</v>
      </c>
      <c r="E1465" t="s">
        <v>94</v>
      </c>
      <c r="F1465" t="s">
        <v>94</v>
      </c>
      <c r="G1465">
        <v>0</v>
      </c>
      <c r="H1465">
        <v>98</v>
      </c>
      <c r="I1465">
        <v>98</v>
      </c>
      <c r="J1465">
        <v>98</v>
      </c>
      <c r="K1465" s="6">
        <v>100</v>
      </c>
      <c r="L1465" s="6">
        <v>0</v>
      </c>
      <c r="M1465" s="6">
        <v>100</v>
      </c>
      <c r="N1465">
        <v>0</v>
      </c>
      <c r="O1465" s="6">
        <v>0</v>
      </c>
      <c r="P1465">
        <v>0</v>
      </c>
      <c r="Q1465" s="8">
        <v>216.35</v>
      </c>
      <c r="R1465" s="8">
        <v>216.35</v>
      </c>
      <c r="S1465" s="9" t="s">
        <v>635</v>
      </c>
    </row>
    <row r="1466" spans="1:19" hidden="1" x14ac:dyDescent="0.25">
      <c r="A1466" t="s">
        <v>134</v>
      </c>
      <c r="B1466" t="s">
        <v>75</v>
      </c>
      <c r="C1466" t="s">
        <v>124</v>
      </c>
      <c r="D1466" t="s">
        <v>570</v>
      </c>
      <c r="E1466" t="s">
        <v>94</v>
      </c>
      <c r="F1466" t="s">
        <v>96</v>
      </c>
      <c r="G1466">
        <v>4</v>
      </c>
      <c r="H1466">
        <v>98</v>
      </c>
      <c r="I1466">
        <v>98</v>
      </c>
      <c r="J1466">
        <v>98</v>
      </c>
      <c r="K1466" s="6">
        <v>99.87</v>
      </c>
      <c r="L1466" s="6">
        <v>0</v>
      </c>
      <c r="M1466" s="6">
        <v>99.87</v>
      </c>
      <c r="N1466">
        <v>0</v>
      </c>
      <c r="O1466" s="6">
        <v>0</v>
      </c>
      <c r="P1466">
        <v>0</v>
      </c>
      <c r="Q1466" s="8">
        <v>216.35</v>
      </c>
      <c r="R1466" s="8">
        <v>216.06</v>
      </c>
      <c r="S1466" t="s">
        <v>32</v>
      </c>
    </row>
    <row r="1467" spans="1:19" hidden="1" x14ac:dyDescent="0.25">
      <c r="A1467" t="s">
        <v>134</v>
      </c>
      <c r="B1467" t="s">
        <v>75</v>
      </c>
      <c r="C1467" t="s">
        <v>124</v>
      </c>
      <c r="D1467" t="s">
        <v>570</v>
      </c>
      <c r="E1467" t="s">
        <v>94</v>
      </c>
      <c r="F1467" t="s">
        <v>6</v>
      </c>
      <c r="G1467">
        <v>11</v>
      </c>
      <c r="H1467">
        <v>98</v>
      </c>
      <c r="I1467">
        <v>98</v>
      </c>
      <c r="J1467">
        <v>98</v>
      </c>
      <c r="K1467" s="6">
        <v>99.68</v>
      </c>
      <c r="L1467" s="6">
        <v>0</v>
      </c>
      <c r="M1467" s="6">
        <v>99.68</v>
      </c>
      <c r="N1467">
        <v>0</v>
      </c>
      <c r="O1467" s="6">
        <v>0</v>
      </c>
      <c r="P1467">
        <v>0</v>
      </c>
      <c r="Q1467" s="8">
        <v>216.35</v>
      </c>
      <c r="R1467" s="8">
        <v>215.65</v>
      </c>
      <c r="S1467" t="s">
        <v>32</v>
      </c>
    </row>
    <row r="1468" spans="1:19" hidden="1" x14ac:dyDescent="0.25">
      <c r="A1468" t="s">
        <v>134</v>
      </c>
      <c r="B1468" t="s">
        <v>75</v>
      </c>
      <c r="C1468" t="s">
        <v>124</v>
      </c>
      <c r="D1468" t="s">
        <v>572</v>
      </c>
      <c r="E1468" t="s">
        <v>94</v>
      </c>
      <c r="F1468" t="s">
        <v>94</v>
      </c>
      <c r="G1468">
        <v>0</v>
      </c>
      <c r="H1468">
        <v>112</v>
      </c>
      <c r="I1468">
        <v>112</v>
      </c>
      <c r="J1468">
        <v>112</v>
      </c>
      <c r="K1468" s="6">
        <v>100</v>
      </c>
      <c r="L1468" s="6">
        <v>0</v>
      </c>
      <c r="M1468" s="6">
        <v>100</v>
      </c>
      <c r="N1468">
        <v>0</v>
      </c>
      <c r="O1468" s="6">
        <v>0</v>
      </c>
      <c r="P1468">
        <v>0</v>
      </c>
      <c r="Q1468" s="8">
        <v>262.32</v>
      </c>
      <c r="R1468" s="8">
        <v>262.32</v>
      </c>
      <c r="S1468" s="9" t="s">
        <v>636</v>
      </c>
    </row>
    <row r="1469" spans="1:19" hidden="1" x14ac:dyDescent="0.25">
      <c r="A1469" t="s">
        <v>134</v>
      </c>
      <c r="B1469" t="s">
        <v>75</v>
      </c>
      <c r="C1469" t="s">
        <v>124</v>
      </c>
      <c r="D1469" t="s">
        <v>572</v>
      </c>
      <c r="E1469" t="s">
        <v>94</v>
      </c>
      <c r="F1469" t="s">
        <v>96</v>
      </c>
      <c r="G1469">
        <v>4</v>
      </c>
      <c r="H1469">
        <v>112</v>
      </c>
      <c r="I1469">
        <v>112</v>
      </c>
      <c r="J1469">
        <v>112</v>
      </c>
      <c r="K1469" s="6">
        <v>99.81</v>
      </c>
      <c r="L1469" s="6">
        <v>0</v>
      </c>
      <c r="M1469" s="6">
        <v>99.81</v>
      </c>
      <c r="N1469">
        <v>0</v>
      </c>
      <c r="O1469" s="6">
        <v>0</v>
      </c>
      <c r="P1469">
        <v>0</v>
      </c>
      <c r="Q1469" s="8">
        <v>262.32</v>
      </c>
      <c r="R1469" s="8">
        <v>261.82</v>
      </c>
      <c r="S1469" t="s">
        <v>32</v>
      </c>
    </row>
    <row r="1470" spans="1:19" hidden="1" x14ac:dyDescent="0.25">
      <c r="A1470" t="s">
        <v>134</v>
      </c>
      <c r="B1470" t="s">
        <v>75</v>
      </c>
      <c r="C1470" t="s">
        <v>124</v>
      </c>
      <c r="D1470" t="s">
        <v>572</v>
      </c>
      <c r="E1470" t="s">
        <v>94</v>
      </c>
      <c r="F1470" t="s">
        <v>6</v>
      </c>
      <c r="G1470">
        <v>11</v>
      </c>
      <c r="H1470">
        <v>112</v>
      </c>
      <c r="I1470">
        <v>112</v>
      </c>
      <c r="J1470">
        <v>112</v>
      </c>
      <c r="K1470" s="6">
        <v>99.63</v>
      </c>
      <c r="L1470" s="6">
        <v>0</v>
      </c>
      <c r="M1470" s="6">
        <v>99.63</v>
      </c>
      <c r="N1470">
        <v>0</v>
      </c>
      <c r="O1470" s="6">
        <v>0</v>
      </c>
      <c r="P1470">
        <v>0</v>
      </c>
      <c r="Q1470" s="8">
        <v>262.32</v>
      </c>
      <c r="R1470" s="8">
        <v>261.35000000000002</v>
      </c>
      <c r="S1470" t="s">
        <v>32</v>
      </c>
    </row>
    <row r="1471" spans="1:19" hidden="1" x14ac:dyDescent="0.25">
      <c r="A1471" t="s">
        <v>134</v>
      </c>
      <c r="B1471" t="s">
        <v>75</v>
      </c>
      <c r="C1471" t="s">
        <v>124</v>
      </c>
      <c r="D1471" t="s">
        <v>574</v>
      </c>
      <c r="E1471" t="s">
        <v>94</v>
      </c>
      <c r="F1471" t="s">
        <v>94</v>
      </c>
      <c r="G1471">
        <v>0</v>
      </c>
      <c r="H1471">
        <v>126</v>
      </c>
      <c r="I1471">
        <v>126</v>
      </c>
      <c r="J1471">
        <v>126</v>
      </c>
      <c r="K1471" s="6">
        <v>100</v>
      </c>
      <c r="L1471" s="6">
        <v>0</v>
      </c>
      <c r="M1471" s="6">
        <v>100</v>
      </c>
      <c r="N1471">
        <v>0</v>
      </c>
      <c r="O1471" s="6">
        <v>0</v>
      </c>
      <c r="P1471">
        <v>0</v>
      </c>
      <c r="Q1471" s="8">
        <v>206.4</v>
      </c>
      <c r="R1471" s="8">
        <v>206.4</v>
      </c>
      <c r="S1471" s="9" t="s">
        <v>637</v>
      </c>
    </row>
    <row r="1472" spans="1:19" hidden="1" x14ac:dyDescent="0.25">
      <c r="A1472" t="s">
        <v>134</v>
      </c>
      <c r="B1472" t="s">
        <v>75</v>
      </c>
      <c r="C1472" t="s">
        <v>124</v>
      </c>
      <c r="D1472" t="s">
        <v>574</v>
      </c>
      <c r="E1472" t="s">
        <v>94</v>
      </c>
      <c r="F1472" t="s">
        <v>96</v>
      </c>
      <c r="G1472">
        <v>4</v>
      </c>
      <c r="H1472">
        <v>126</v>
      </c>
      <c r="I1472">
        <v>126</v>
      </c>
      <c r="J1472">
        <v>126</v>
      </c>
      <c r="K1472" s="6">
        <v>100.01</v>
      </c>
      <c r="L1472" s="6">
        <v>0</v>
      </c>
      <c r="M1472" s="6">
        <v>100.01</v>
      </c>
      <c r="N1472">
        <v>0</v>
      </c>
      <c r="O1472" s="6">
        <v>0</v>
      </c>
      <c r="P1472">
        <v>0</v>
      </c>
      <c r="Q1472" s="8">
        <v>206.4</v>
      </c>
      <c r="R1472" s="8">
        <v>206.42</v>
      </c>
      <c r="S1472" t="s">
        <v>32</v>
      </c>
    </row>
    <row r="1473" spans="1:19" hidden="1" x14ac:dyDescent="0.25">
      <c r="A1473" t="s">
        <v>134</v>
      </c>
      <c r="B1473" t="s">
        <v>75</v>
      </c>
      <c r="C1473" t="s">
        <v>124</v>
      </c>
      <c r="D1473" t="s">
        <v>574</v>
      </c>
      <c r="E1473" t="s">
        <v>94</v>
      </c>
      <c r="F1473" t="s">
        <v>6</v>
      </c>
      <c r="G1473">
        <v>11</v>
      </c>
      <c r="H1473">
        <v>126</v>
      </c>
      <c r="I1473">
        <v>126</v>
      </c>
      <c r="J1473">
        <v>126</v>
      </c>
      <c r="K1473" s="6">
        <v>99.8</v>
      </c>
      <c r="L1473" s="6">
        <v>0</v>
      </c>
      <c r="M1473" s="6">
        <v>99.8</v>
      </c>
      <c r="N1473">
        <v>0</v>
      </c>
      <c r="O1473" s="6">
        <v>0</v>
      </c>
      <c r="P1473">
        <v>0</v>
      </c>
      <c r="Q1473" s="8">
        <v>206.4</v>
      </c>
      <c r="R1473" s="8">
        <v>205.98</v>
      </c>
      <c r="S1473" t="s">
        <v>32</v>
      </c>
    </row>
    <row r="1474" spans="1:19" hidden="1" x14ac:dyDescent="0.25">
      <c r="A1474" t="s">
        <v>134</v>
      </c>
      <c r="B1474" t="s">
        <v>75</v>
      </c>
      <c r="C1474" t="s">
        <v>124</v>
      </c>
      <c r="D1474" t="s">
        <v>576</v>
      </c>
      <c r="E1474" t="s">
        <v>94</v>
      </c>
      <c r="F1474" t="s">
        <v>94</v>
      </c>
      <c r="G1474">
        <v>0</v>
      </c>
      <c r="H1474">
        <v>114</v>
      </c>
      <c r="I1474">
        <v>114</v>
      </c>
      <c r="J1474">
        <v>114</v>
      </c>
      <c r="K1474" s="6">
        <v>100</v>
      </c>
      <c r="L1474" s="6">
        <v>0</v>
      </c>
      <c r="M1474" s="6">
        <v>100</v>
      </c>
      <c r="N1474">
        <v>0</v>
      </c>
      <c r="O1474" s="6">
        <v>0</v>
      </c>
      <c r="P1474">
        <v>0</v>
      </c>
      <c r="Q1474" s="8">
        <v>219.61</v>
      </c>
      <c r="R1474" s="8">
        <v>219.61</v>
      </c>
      <c r="S1474" s="9" t="s">
        <v>579</v>
      </c>
    </row>
    <row r="1475" spans="1:19" hidden="1" x14ac:dyDescent="0.25">
      <c r="A1475" t="s">
        <v>134</v>
      </c>
      <c r="B1475" t="s">
        <v>75</v>
      </c>
      <c r="C1475" t="s">
        <v>124</v>
      </c>
      <c r="D1475" t="s">
        <v>576</v>
      </c>
      <c r="E1475" t="s">
        <v>94</v>
      </c>
      <c r="F1475" t="s">
        <v>96</v>
      </c>
      <c r="G1475">
        <v>4</v>
      </c>
      <c r="H1475">
        <v>114</v>
      </c>
      <c r="I1475">
        <v>114</v>
      </c>
      <c r="J1475">
        <v>114</v>
      </c>
      <c r="K1475" s="6">
        <v>100</v>
      </c>
      <c r="L1475" s="6">
        <v>0</v>
      </c>
      <c r="M1475" s="6">
        <v>100</v>
      </c>
      <c r="N1475">
        <v>0</v>
      </c>
      <c r="O1475" s="6">
        <v>0</v>
      </c>
      <c r="P1475">
        <v>0</v>
      </c>
      <c r="Q1475" s="8">
        <v>219.61</v>
      </c>
      <c r="R1475" s="8">
        <v>219.61</v>
      </c>
      <c r="S1475" t="s">
        <v>32</v>
      </c>
    </row>
    <row r="1476" spans="1:19" hidden="1" x14ac:dyDescent="0.25">
      <c r="A1476" t="s">
        <v>134</v>
      </c>
      <c r="B1476" t="s">
        <v>75</v>
      </c>
      <c r="C1476" t="s">
        <v>124</v>
      </c>
      <c r="D1476" t="s">
        <v>576</v>
      </c>
      <c r="E1476" t="s">
        <v>94</v>
      </c>
      <c r="F1476" t="s">
        <v>6</v>
      </c>
      <c r="G1476">
        <v>11</v>
      </c>
      <c r="H1476">
        <v>114</v>
      </c>
      <c r="I1476">
        <v>114</v>
      </c>
      <c r="J1476">
        <v>114</v>
      </c>
      <c r="K1476" s="6">
        <v>99.83</v>
      </c>
      <c r="L1476" s="6">
        <v>0</v>
      </c>
      <c r="M1476" s="6">
        <v>99.83</v>
      </c>
      <c r="N1476">
        <v>0</v>
      </c>
      <c r="O1476" s="6">
        <v>0</v>
      </c>
      <c r="P1476">
        <v>0</v>
      </c>
      <c r="Q1476" s="8">
        <v>219.61</v>
      </c>
      <c r="R1476" s="8">
        <v>219.24</v>
      </c>
      <c r="S1476" t="s">
        <v>32</v>
      </c>
    </row>
    <row r="1477" spans="1:19" hidden="1" x14ac:dyDescent="0.25">
      <c r="A1477" t="s">
        <v>134</v>
      </c>
      <c r="B1477" t="s">
        <v>75</v>
      </c>
      <c r="C1477" t="s">
        <v>124</v>
      </c>
      <c r="D1477" t="s">
        <v>578</v>
      </c>
      <c r="E1477" t="s">
        <v>94</v>
      </c>
      <c r="F1477" t="s">
        <v>94</v>
      </c>
      <c r="G1477">
        <v>0</v>
      </c>
      <c r="H1477">
        <v>122</v>
      </c>
      <c r="I1477">
        <v>122</v>
      </c>
      <c r="J1477">
        <v>122</v>
      </c>
      <c r="K1477" s="6">
        <v>100</v>
      </c>
      <c r="L1477" s="6">
        <v>0</v>
      </c>
      <c r="M1477" s="6">
        <v>100</v>
      </c>
      <c r="N1477">
        <v>0</v>
      </c>
      <c r="O1477" s="6">
        <v>0</v>
      </c>
      <c r="P1477">
        <v>0</v>
      </c>
      <c r="Q1477" s="8">
        <v>227.59</v>
      </c>
      <c r="R1477" s="8">
        <v>227.59</v>
      </c>
      <c r="S1477" s="9" t="s">
        <v>628</v>
      </c>
    </row>
    <row r="1478" spans="1:19" hidden="1" x14ac:dyDescent="0.25">
      <c r="A1478" t="s">
        <v>134</v>
      </c>
      <c r="B1478" t="s">
        <v>75</v>
      </c>
      <c r="C1478" t="s">
        <v>124</v>
      </c>
      <c r="D1478" t="s">
        <v>578</v>
      </c>
      <c r="E1478" t="s">
        <v>94</v>
      </c>
      <c r="F1478" t="s">
        <v>96</v>
      </c>
      <c r="G1478">
        <v>4</v>
      </c>
      <c r="H1478">
        <v>122</v>
      </c>
      <c r="I1478">
        <v>122</v>
      </c>
      <c r="J1478">
        <v>122</v>
      </c>
      <c r="K1478" s="6">
        <v>100</v>
      </c>
      <c r="L1478" s="6">
        <v>0</v>
      </c>
      <c r="M1478" s="6">
        <v>100</v>
      </c>
      <c r="N1478">
        <v>0</v>
      </c>
      <c r="O1478" s="6">
        <v>0</v>
      </c>
      <c r="P1478">
        <v>0</v>
      </c>
      <c r="Q1478" s="8">
        <v>227.59</v>
      </c>
      <c r="R1478" s="8">
        <v>227.59</v>
      </c>
      <c r="S1478" t="s">
        <v>32</v>
      </c>
    </row>
    <row r="1479" spans="1:19" hidden="1" x14ac:dyDescent="0.25">
      <c r="A1479" t="s">
        <v>134</v>
      </c>
      <c r="B1479" t="s">
        <v>75</v>
      </c>
      <c r="C1479" t="s">
        <v>124</v>
      </c>
      <c r="D1479" t="s">
        <v>578</v>
      </c>
      <c r="E1479" t="s">
        <v>94</v>
      </c>
      <c r="F1479" t="s">
        <v>6</v>
      </c>
      <c r="G1479">
        <v>11</v>
      </c>
      <c r="H1479">
        <v>122</v>
      </c>
      <c r="I1479">
        <v>122</v>
      </c>
      <c r="J1479">
        <v>122</v>
      </c>
      <c r="K1479" s="6">
        <v>99.77</v>
      </c>
      <c r="L1479" s="6">
        <v>0</v>
      </c>
      <c r="M1479" s="6">
        <v>99.77</v>
      </c>
      <c r="N1479">
        <v>0</v>
      </c>
      <c r="O1479" s="6">
        <v>0</v>
      </c>
      <c r="P1479">
        <v>0</v>
      </c>
      <c r="Q1479" s="8">
        <v>227.59</v>
      </c>
      <c r="R1479" s="8">
        <v>227.07</v>
      </c>
      <c r="S1479" t="s">
        <v>32</v>
      </c>
    </row>
    <row r="1480" spans="1:19" hidden="1" x14ac:dyDescent="0.25">
      <c r="A1480" t="s">
        <v>134</v>
      </c>
      <c r="B1480" t="s">
        <v>75</v>
      </c>
      <c r="C1480" t="s">
        <v>124</v>
      </c>
      <c r="D1480" t="s">
        <v>580</v>
      </c>
      <c r="E1480" t="s">
        <v>94</v>
      </c>
      <c r="F1480" t="s">
        <v>94</v>
      </c>
      <c r="G1480">
        <v>0</v>
      </c>
      <c r="H1480">
        <v>76</v>
      </c>
      <c r="I1480">
        <v>76</v>
      </c>
      <c r="J1480">
        <v>76</v>
      </c>
      <c r="K1480" s="6">
        <v>100</v>
      </c>
      <c r="L1480" s="6">
        <v>0</v>
      </c>
      <c r="M1480" s="6">
        <v>100</v>
      </c>
      <c r="N1480">
        <v>0</v>
      </c>
      <c r="O1480" s="6">
        <v>0</v>
      </c>
      <c r="P1480">
        <v>0</v>
      </c>
      <c r="Q1480" s="8">
        <v>229.8</v>
      </c>
      <c r="R1480" s="8">
        <v>229.8</v>
      </c>
      <c r="S1480" s="9" t="s">
        <v>581</v>
      </c>
    </row>
    <row r="1481" spans="1:19" hidden="1" x14ac:dyDescent="0.25">
      <c r="A1481" t="s">
        <v>134</v>
      </c>
      <c r="B1481" t="s">
        <v>75</v>
      </c>
      <c r="C1481" t="s">
        <v>124</v>
      </c>
      <c r="D1481" t="s">
        <v>580</v>
      </c>
      <c r="E1481" t="s">
        <v>94</v>
      </c>
      <c r="F1481" t="s">
        <v>96</v>
      </c>
      <c r="G1481">
        <v>4</v>
      </c>
      <c r="H1481">
        <v>76</v>
      </c>
      <c r="I1481">
        <v>76</v>
      </c>
      <c r="J1481">
        <v>76</v>
      </c>
      <c r="K1481" s="6">
        <v>100</v>
      </c>
      <c r="L1481" s="6">
        <v>0</v>
      </c>
      <c r="M1481" s="6">
        <v>100</v>
      </c>
      <c r="N1481">
        <v>0</v>
      </c>
      <c r="O1481" s="6">
        <v>0</v>
      </c>
      <c r="P1481">
        <v>0</v>
      </c>
      <c r="Q1481" s="8">
        <v>229.8</v>
      </c>
      <c r="R1481" s="8">
        <v>229.8</v>
      </c>
      <c r="S1481" t="s">
        <v>32</v>
      </c>
    </row>
    <row r="1482" spans="1:19" hidden="1" x14ac:dyDescent="0.25">
      <c r="A1482" t="s">
        <v>134</v>
      </c>
      <c r="B1482" t="s">
        <v>75</v>
      </c>
      <c r="C1482" t="s">
        <v>124</v>
      </c>
      <c r="D1482" t="s">
        <v>580</v>
      </c>
      <c r="E1482" t="s">
        <v>94</v>
      </c>
      <c r="F1482" t="s">
        <v>6</v>
      </c>
      <c r="G1482">
        <v>11</v>
      </c>
      <c r="H1482">
        <v>76</v>
      </c>
      <c r="I1482">
        <v>76</v>
      </c>
      <c r="J1482">
        <v>76</v>
      </c>
      <c r="K1482" s="6">
        <v>101.32</v>
      </c>
      <c r="L1482" s="6">
        <v>0</v>
      </c>
      <c r="M1482" s="6">
        <v>101.32</v>
      </c>
      <c r="N1482">
        <v>0</v>
      </c>
      <c r="O1482" s="6">
        <v>0</v>
      </c>
      <c r="P1482">
        <v>0</v>
      </c>
      <c r="Q1482" s="8">
        <v>229.8</v>
      </c>
      <c r="R1482" s="8">
        <v>232.85</v>
      </c>
      <c r="S1482" t="s">
        <v>32</v>
      </c>
    </row>
    <row r="1483" spans="1:19" hidden="1" x14ac:dyDescent="0.25">
      <c r="A1483" t="s">
        <v>134</v>
      </c>
      <c r="B1483" t="s">
        <v>75</v>
      </c>
      <c r="C1483" t="s">
        <v>124</v>
      </c>
      <c r="D1483" t="s">
        <v>582</v>
      </c>
      <c r="E1483" t="s">
        <v>94</v>
      </c>
      <c r="F1483" t="s">
        <v>94</v>
      </c>
      <c r="G1483">
        <v>0</v>
      </c>
      <c r="H1483">
        <v>42</v>
      </c>
      <c r="I1483">
        <v>42</v>
      </c>
      <c r="J1483">
        <v>42</v>
      </c>
      <c r="K1483" s="6">
        <v>100</v>
      </c>
      <c r="L1483" s="6">
        <v>0</v>
      </c>
      <c r="M1483" s="6">
        <v>100</v>
      </c>
      <c r="N1483">
        <v>0</v>
      </c>
      <c r="O1483" s="6">
        <v>0</v>
      </c>
      <c r="P1483">
        <v>0</v>
      </c>
      <c r="Q1483" s="8">
        <v>225.87</v>
      </c>
      <c r="R1483" s="8">
        <v>225.87</v>
      </c>
      <c r="S1483" s="9" t="s">
        <v>631</v>
      </c>
    </row>
    <row r="1484" spans="1:19" hidden="1" x14ac:dyDescent="0.25">
      <c r="A1484" t="s">
        <v>134</v>
      </c>
      <c r="B1484" t="s">
        <v>75</v>
      </c>
      <c r="C1484" t="s">
        <v>124</v>
      </c>
      <c r="D1484" t="s">
        <v>582</v>
      </c>
      <c r="E1484" t="s">
        <v>94</v>
      </c>
      <c r="F1484" t="s">
        <v>96</v>
      </c>
      <c r="G1484">
        <v>4</v>
      </c>
      <c r="H1484">
        <v>42</v>
      </c>
      <c r="I1484">
        <v>42</v>
      </c>
      <c r="J1484">
        <v>42</v>
      </c>
      <c r="K1484" s="6">
        <v>100</v>
      </c>
      <c r="L1484" s="6">
        <v>0</v>
      </c>
      <c r="M1484" s="6">
        <v>100</v>
      </c>
      <c r="N1484">
        <v>0</v>
      </c>
      <c r="O1484" s="6">
        <v>0</v>
      </c>
      <c r="P1484">
        <v>0</v>
      </c>
      <c r="Q1484" s="8">
        <v>225.87</v>
      </c>
      <c r="R1484" s="8">
        <v>225.87</v>
      </c>
      <c r="S1484" t="s">
        <v>32</v>
      </c>
    </row>
    <row r="1485" spans="1:19" hidden="1" x14ac:dyDescent="0.25">
      <c r="A1485" t="s">
        <v>134</v>
      </c>
      <c r="B1485" t="s">
        <v>75</v>
      </c>
      <c r="C1485" t="s">
        <v>124</v>
      </c>
      <c r="D1485" t="s">
        <v>582</v>
      </c>
      <c r="E1485" t="s">
        <v>94</v>
      </c>
      <c r="F1485" t="s">
        <v>6</v>
      </c>
      <c r="G1485">
        <v>11</v>
      </c>
      <c r="H1485">
        <v>42</v>
      </c>
      <c r="I1485">
        <v>42</v>
      </c>
      <c r="J1485">
        <v>42</v>
      </c>
      <c r="K1485" s="6">
        <v>103.08</v>
      </c>
      <c r="L1485" s="6">
        <v>3.51</v>
      </c>
      <c r="M1485" s="6">
        <v>103.08</v>
      </c>
      <c r="N1485">
        <v>0</v>
      </c>
      <c r="O1485" s="6">
        <v>0</v>
      </c>
      <c r="P1485">
        <v>0</v>
      </c>
      <c r="Q1485" s="8">
        <v>225.87</v>
      </c>
      <c r="R1485" s="8">
        <v>232.82</v>
      </c>
      <c r="S1485" t="s">
        <v>32</v>
      </c>
    </row>
    <row r="1486" spans="1:19" hidden="1" x14ac:dyDescent="0.25">
      <c r="A1486" t="s">
        <v>134</v>
      </c>
      <c r="B1486" t="s">
        <v>75</v>
      </c>
      <c r="C1486" t="s">
        <v>124</v>
      </c>
      <c r="D1486" t="s">
        <v>583</v>
      </c>
      <c r="E1486" t="s">
        <v>94</v>
      </c>
      <c r="F1486" t="s">
        <v>94</v>
      </c>
      <c r="G1486">
        <v>0</v>
      </c>
      <c r="H1486">
        <v>42</v>
      </c>
      <c r="I1486">
        <v>42</v>
      </c>
      <c r="J1486">
        <v>42</v>
      </c>
      <c r="K1486" s="6">
        <v>100</v>
      </c>
      <c r="L1486" s="6">
        <v>0</v>
      </c>
      <c r="M1486" s="6">
        <v>100</v>
      </c>
      <c r="N1486">
        <v>0</v>
      </c>
      <c r="O1486" s="6">
        <v>0</v>
      </c>
      <c r="P1486">
        <v>0</v>
      </c>
      <c r="Q1486" s="8">
        <v>254.69</v>
      </c>
      <c r="R1486" s="8">
        <v>254.69</v>
      </c>
      <c r="S1486" s="9" t="s">
        <v>631</v>
      </c>
    </row>
    <row r="1487" spans="1:19" hidden="1" x14ac:dyDescent="0.25">
      <c r="A1487" t="s">
        <v>134</v>
      </c>
      <c r="B1487" t="s">
        <v>75</v>
      </c>
      <c r="C1487" t="s">
        <v>124</v>
      </c>
      <c r="D1487" t="s">
        <v>583</v>
      </c>
      <c r="E1487" t="s">
        <v>94</v>
      </c>
      <c r="F1487" t="s">
        <v>96</v>
      </c>
      <c r="G1487">
        <v>4</v>
      </c>
      <c r="H1487">
        <v>42</v>
      </c>
      <c r="I1487">
        <v>42</v>
      </c>
      <c r="J1487">
        <v>42</v>
      </c>
      <c r="K1487" s="6">
        <v>100</v>
      </c>
      <c r="L1487" s="6">
        <v>0</v>
      </c>
      <c r="M1487" s="6">
        <v>100</v>
      </c>
      <c r="N1487">
        <v>0</v>
      </c>
      <c r="O1487" s="6">
        <v>0</v>
      </c>
      <c r="P1487">
        <v>0</v>
      </c>
      <c r="Q1487" s="8">
        <v>254.69</v>
      </c>
      <c r="R1487" s="8">
        <v>254.69</v>
      </c>
      <c r="S1487" t="s">
        <v>32</v>
      </c>
    </row>
    <row r="1488" spans="1:19" hidden="1" x14ac:dyDescent="0.25">
      <c r="A1488" t="s">
        <v>134</v>
      </c>
      <c r="B1488" t="s">
        <v>75</v>
      </c>
      <c r="C1488" t="s">
        <v>124</v>
      </c>
      <c r="D1488" t="s">
        <v>583</v>
      </c>
      <c r="E1488" t="s">
        <v>94</v>
      </c>
      <c r="F1488" t="s">
        <v>6</v>
      </c>
      <c r="G1488">
        <v>11</v>
      </c>
      <c r="H1488">
        <v>42</v>
      </c>
      <c r="I1488">
        <v>42</v>
      </c>
      <c r="J1488">
        <v>42</v>
      </c>
      <c r="K1488" s="6">
        <v>102.58</v>
      </c>
      <c r="L1488" s="6">
        <v>3.01</v>
      </c>
      <c r="M1488" s="6">
        <v>102.58</v>
      </c>
      <c r="N1488">
        <v>0</v>
      </c>
      <c r="O1488" s="6">
        <v>0</v>
      </c>
      <c r="P1488">
        <v>0</v>
      </c>
      <c r="Q1488" s="8">
        <v>254.69</v>
      </c>
      <c r="R1488" s="8">
        <v>261.27</v>
      </c>
      <c r="S1488" t="s">
        <v>32</v>
      </c>
    </row>
    <row r="1489" spans="1:19" hidden="1" x14ac:dyDescent="0.25">
      <c r="A1489" t="s">
        <v>134</v>
      </c>
      <c r="B1489" t="s">
        <v>75</v>
      </c>
      <c r="C1489" t="s">
        <v>124</v>
      </c>
      <c r="D1489" t="s">
        <v>585</v>
      </c>
      <c r="E1489" t="s">
        <v>94</v>
      </c>
      <c r="F1489" t="s">
        <v>94</v>
      </c>
      <c r="G1489">
        <v>0</v>
      </c>
      <c r="H1489">
        <v>48</v>
      </c>
      <c r="I1489">
        <v>48</v>
      </c>
      <c r="J1489">
        <v>48</v>
      </c>
      <c r="K1489" s="6">
        <v>100</v>
      </c>
      <c r="L1489" s="6">
        <v>0</v>
      </c>
      <c r="M1489" s="6">
        <v>100</v>
      </c>
      <c r="N1489">
        <v>0</v>
      </c>
      <c r="O1489" s="6">
        <v>0</v>
      </c>
      <c r="P1489">
        <v>0</v>
      </c>
      <c r="Q1489" s="8">
        <v>261.91000000000003</v>
      </c>
      <c r="R1489" s="8">
        <v>261.91000000000003</v>
      </c>
      <c r="S1489" s="9" t="s">
        <v>630</v>
      </c>
    </row>
    <row r="1490" spans="1:19" hidden="1" x14ac:dyDescent="0.25">
      <c r="A1490" t="s">
        <v>134</v>
      </c>
      <c r="B1490" t="s">
        <v>75</v>
      </c>
      <c r="C1490" t="s">
        <v>124</v>
      </c>
      <c r="D1490" t="s">
        <v>585</v>
      </c>
      <c r="E1490" t="s">
        <v>94</v>
      </c>
      <c r="F1490" t="s">
        <v>96</v>
      </c>
      <c r="G1490">
        <v>4</v>
      </c>
      <c r="H1490">
        <v>48</v>
      </c>
      <c r="I1490">
        <v>48</v>
      </c>
      <c r="J1490">
        <v>48</v>
      </c>
      <c r="K1490" s="6">
        <v>100</v>
      </c>
      <c r="L1490" s="6">
        <v>0</v>
      </c>
      <c r="M1490" s="6">
        <v>100</v>
      </c>
      <c r="N1490">
        <v>0</v>
      </c>
      <c r="O1490" s="6">
        <v>0</v>
      </c>
      <c r="P1490">
        <v>0</v>
      </c>
      <c r="Q1490" s="8">
        <v>261.91000000000003</v>
      </c>
      <c r="R1490" s="8">
        <v>261.91000000000003</v>
      </c>
      <c r="S1490" t="s">
        <v>32</v>
      </c>
    </row>
    <row r="1491" spans="1:19" hidden="1" x14ac:dyDescent="0.25">
      <c r="A1491" t="s">
        <v>134</v>
      </c>
      <c r="B1491" t="s">
        <v>75</v>
      </c>
      <c r="C1491" t="s">
        <v>124</v>
      </c>
      <c r="D1491" t="s">
        <v>585</v>
      </c>
      <c r="E1491" t="s">
        <v>94</v>
      </c>
      <c r="F1491" t="s">
        <v>6</v>
      </c>
      <c r="G1491">
        <v>11</v>
      </c>
      <c r="H1491">
        <v>48</v>
      </c>
      <c r="I1491">
        <v>48</v>
      </c>
      <c r="J1491">
        <v>48</v>
      </c>
      <c r="K1491" s="6">
        <v>102.75</v>
      </c>
      <c r="L1491" s="6">
        <v>3.04</v>
      </c>
      <c r="M1491" s="6">
        <v>102.75</v>
      </c>
      <c r="N1491">
        <v>0</v>
      </c>
      <c r="O1491" s="6">
        <v>0</v>
      </c>
      <c r="P1491">
        <v>0</v>
      </c>
      <c r="Q1491" s="8">
        <v>261.91000000000003</v>
      </c>
      <c r="R1491" s="8">
        <v>269.10000000000002</v>
      </c>
      <c r="S1491" t="s">
        <v>32</v>
      </c>
    </row>
    <row r="1492" spans="1:19" hidden="1" x14ac:dyDescent="0.25">
      <c r="A1492" t="s">
        <v>134</v>
      </c>
      <c r="B1492" t="s">
        <v>75</v>
      </c>
      <c r="C1492" t="s">
        <v>124</v>
      </c>
      <c r="D1492" t="s">
        <v>588</v>
      </c>
      <c r="E1492" t="s">
        <v>94</v>
      </c>
      <c r="F1492" t="s">
        <v>94</v>
      </c>
      <c r="G1492">
        <v>0</v>
      </c>
      <c r="H1492">
        <v>40</v>
      </c>
      <c r="I1492">
        <v>40</v>
      </c>
      <c r="J1492">
        <v>40</v>
      </c>
      <c r="K1492" s="6">
        <v>100</v>
      </c>
      <c r="L1492" s="6">
        <v>0</v>
      </c>
      <c r="M1492" s="6">
        <v>100</v>
      </c>
      <c r="N1492">
        <v>0</v>
      </c>
      <c r="O1492" s="6">
        <v>0</v>
      </c>
      <c r="P1492">
        <v>0</v>
      </c>
      <c r="Q1492" s="8">
        <v>236.68</v>
      </c>
      <c r="R1492" s="8">
        <v>236.68</v>
      </c>
      <c r="S1492" s="9" t="s">
        <v>638</v>
      </c>
    </row>
    <row r="1493" spans="1:19" hidden="1" x14ac:dyDescent="0.25">
      <c r="A1493" t="s">
        <v>134</v>
      </c>
      <c r="B1493" t="s">
        <v>75</v>
      </c>
      <c r="C1493" t="s">
        <v>124</v>
      </c>
      <c r="D1493" t="s">
        <v>588</v>
      </c>
      <c r="E1493" t="s">
        <v>94</v>
      </c>
      <c r="F1493" t="s">
        <v>96</v>
      </c>
      <c r="G1493">
        <v>4</v>
      </c>
      <c r="H1493">
        <v>40</v>
      </c>
      <c r="I1493">
        <v>40</v>
      </c>
      <c r="J1493">
        <v>40</v>
      </c>
      <c r="K1493" s="6">
        <v>100</v>
      </c>
      <c r="L1493" s="6">
        <v>0</v>
      </c>
      <c r="M1493" s="6">
        <v>100</v>
      </c>
      <c r="N1493">
        <v>0</v>
      </c>
      <c r="O1493" s="6">
        <v>0</v>
      </c>
      <c r="P1493">
        <v>0</v>
      </c>
      <c r="Q1493" s="8">
        <v>236.68</v>
      </c>
      <c r="R1493" s="8">
        <v>236.68</v>
      </c>
      <c r="S1493" t="s">
        <v>32</v>
      </c>
    </row>
    <row r="1494" spans="1:19" hidden="1" x14ac:dyDescent="0.25">
      <c r="A1494" t="s">
        <v>134</v>
      </c>
      <c r="B1494" t="s">
        <v>75</v>
      </c>
      <c r="C1494" t="s">
        <v>124</v>
      </c>
      <c r="D1494" t="s">
        <v>588</v>
      </c>
      <c r="E1494" t="s">
        <v>94</v>
      </c>
      <c r="F1494" t="s">
        <v>6</v>
      </c>
      <c r="G1494">
        <v>11</v>
      </c>
      <c r="H1494">
        <v>40</v>
      </c>
      <c r="I1494">
        <v>40</v>
      </c>
      <c r="J1494">
        <v>40</v>
      </c>
      <c r="K1494" s="6">
        <v>102.92</v>
      </c>
      <c r="L1494" s="6">
        <v>3.52</v>
      </c>
      <c r="M1494" s="6">
        <v>102.92</v>
      </c>
      <c r="N1494">
        <v>0</v>
      </c>
      <c r="O1494" s="6">
        <v>0</v>
      </c>
      <c r="P1494">
        <v>0</v>
      </c>
      <c r="Q1494" s="8">
        <v>236.68</v>
      </c>
      <c r="R1494" s="8">
        <v>243.58</v>
      </c>
      <c r="S1494" t="s">
        <v>32</v>
      </c>
    </row>
    <row r="1495" spans="1:19" hidden="1" x14ac:dyDescent="0.25">
      <c r="A1495" t="s">
        <v>134</v>
      </c>
      <c r="B1495" t="s">
        <v>75</v>
      </c>
      <c r="C1495" t="s">
        <v>124</v>
      </c>
      <c r="D1495" t="s">
        <v>589</v>
      </c>
      <c r="E1495" t="s">
        <v>94</v>
      </c>
      <c r="F1495" t="s">
        <v>94</v>
      </c>
      <c r="G1495">
        <v>0</v>
      </c>
      <c r="H1495">
        <v>46</v>
      </c>
      <c r="I1495">
        <v>46</v>
      </c>
      <c r="J1495">
        <v>46</v>
      </c>
      <c r="K1495" s="6">
        <v>100</v>
      </c>
      <c r="L1495" s="6">
        <v>0</v>
      </c>
      <c r="M1495" s="6">
        <v>100</v>
      </c>
      <c r="N1495">
        <v>0</v>
      </c>
      <c r="O1495" s="6">
        <v>0</v>
      </c>
      <c r="P1495">
        <v>0</v>
      </c>
      <c r="Q1495" s="8">
        <v>215.76</v>
      </c>
      <c r="R1495" s="8">
        <v>215.76</v>
      </c>
      <c r="S1495" s="9" t="s">
        <v>633</v>
      </c>
    </row>
    <row r="1496" spans="1:19" hidden="1" x14ac:dyDescent="0.25">
      <c r="A1496" t="s">
        <v>134</v>
      </c>
      <c r="B1496" t="s">
        <v>75</v>
      </c>
      <c r="C1496" t="s">
        <v>124</v>
      </c>
      <c r="D1496" t="s">
        <v>589</v>
      </c>
      <c r="E1496" t="s">
        <v>94</v>
      </c>
      <c r="F1496" t="s">
        <v>96</v>
      </c>
      <c r="G1496">
        <v>4</v>
      </c>
      <c r="H1496">
        <v>46</v>
      </c>
      <c r="I1496">
        <v>46</v>
      </c>
      <c r="J1496">
        <v>46</v>
      </c>
      <c r="K1496" s="6">
        <v>100</v>
      </c>
      <c r="L1496" s="6">
        <v>0</v>
      </c>
      <c r="M1496" s="6">
        <v>100</v>
      </c>
      <c r="N1496">
        <v>0</v>
      </c>
      <c r="O1496" s="6">
        <v>0</v>
      </c>
      <c r="P1496">
        <v>0</v>
      </c>
      <c r="Q1496" s="8">
        <v>215.76</v>
      </c>
      <c r="R1496" s="8">
        <v>215.76</v>
      </c>
      <c r="S1496" t="s">
        <v>32</v>
      </c>
    </row>
    <row r="1497" spans="1:19" hidden="1" x14ac:dyDescent="0.25">
      <c r="A1497" t="s">
        <v>134</v>
      </c>
      <c r="B1497" t="s">
        <v>75</v>
      </c>
      <c r="C1497" t="s">
        <v>124</v>
      </c>
      <c r="D1497" t="s">
        <v>589</v>
      </c>
      <c r="E1497" t="s">
        <v>94</v>
      </c>
      <c r="F1497" t="s">
        <v>6</v>
      </c>
      <c r="G1497">
        <v>11</v>
      </c>
      <c r="H1497">
        <v>46</v>
      </c>
      <c r="I1497">
        <v>46</v>
      </c>
      <c r="J1497">
        <v>46</v>
      </c>
      <c r="K1497" s="6">
        <v>103.14</v>
      </c>
      <c r="L1497" s="6">
        <v>4.13</v>
      </c>
      <c r="M1497" s="6">
        <v>103.14</v>
      </c>
      <c r="N1497">
        <v>0</v>
      </c>
      <c r="O1497" s="6">
        <v>0</v>
      </c>
      <c r="P1497">
        <v>0</v>
      </c>
      <c r="Q1497" s="8">
        <v>215.76</v>
      </c>
      <c r="R1497" s="8">
        <v>222.55</v>
      </c>
      <c r="S1497" t="s">
        <v>32</v>
      </c>
    </row>
    <row r="1498" spans="1:19" hidden="1" x14ac:dyDescent="0.25">
      <c r="A1498" t="s">
        <v>134</v>
      </c>
      <c r="B1498" t="s">
        <v>75</v>
      </c>
      <c r="C1498" t="s">
        <v>124</v>
      </c>
      <c r="D1498" t="s">
        <v>590</v>
      </c>
      <c r="E1498" t="s">
        <v>94</v>
      </c>
      <c r="F1498" t="s">
        <v>94</v>
      </c>
      <c r="G1498">
        <v>0</v>
      </c>
      <c r="H1498">
        <v>30</v>
      </c>
      <c r="I1498">
        <v>30</v>
      </c>
      <c r="J1498">
        <v>30</v>
      </c>
      <c r="K1498" s="6">
        <v>100</v>
      </c>
      <c r="L1498" s="6">
        <v>0</v>
      </c>
      <c r="M1498" s="6">
        <v>100</v>
      </c>
      <c r="N1498">
        <v>0</v>
      </c>
      <c r="O1498" s="6">
        <v>0</v>
      </c>
      <c r="P1498">
        <v>0</v>
      </c>
      <c r="Q1498" s="8">
        <v>208.19</v>
      </c>
      <c r="R1498" s="8">
        <v>208.19</v>
      </c>
      <c r="S1498" s="9" t="s">
        <v>563</v>
      </c>
    </row>
    <row r="1499" spans="1:19" hidden="1" x14ac:dyDescent="0.25">
      <c r="A1499" t="s">
        <v>134</v>
      </c>
      <c r="B1499" t="s">
        <v>75</v>
      </c>
      <c r="C1499" t="s">
        <v>124</v>
      </c>
      <c r="D1499" t="s">
        <v>590</v>
      </c>
      <c r="E1499" t="s">
        <v>94</v>
      </c>
      <c r="F1499" t="s">
        <v>96</v>
      </c>
      <c r="G1499">
        <v>4</v>
      </c>
      <c r="H1499">
        <v>30</v>
      </c>
      <c r="I1499">
        <v>30</v>
      </c>
      <c r="J1499">
        <v>30</v>
      </c>
      <c r="K1499" s="6">
        <v>100</v>
      </c>
      <c r="L1499" s="6">
        <v>0</v>
      </c>
      <c r="M1499" s="6">
        <v>100</v>
      </c>
      <c r="N1499">
        <v>0</v>
      </c>
      <c r="O1499" s="6">
        <v>0</v>
      </c>
      <c r="P1499">
        <v>0</v>
      </c>
      <c r="Q1499" s="8">
        <v>208.19</v>
      </c>
      <c r="R1499" s="8">
        <v>208.19</v>
      </c>
      <c r="S1499" t="s">
        <v>32</v>
      </c>
    </row>
    <row r="1500" spans="1:19" hidden="1" x14ac:dyDescent="0.25">
      <c r="A1500" t="s">
        <v>134</v>
      </c>
      <c r="B1500" t="s">
        <v>75</v>
      </c>
      <c r="C1500" t="s">
        <v>124</v>
      </c>
      <c r="D1500" t="s">
        <v>590</v>
      </c>
      <c r="E1500" t="s">
        <v>94</v>
      </c>
      <c r="F1500" t="s">
        <v>6</v>
      </c>
      <c r="G1500">
        <v>11</v>
      </c>
      <c r="H1500">
        <v>30</v>
      </c>
      <c r="I1500">
        <v>30</v>
      </c>
      <c r="J1500">
        <v>30</v>
      </c>
      <c r="K1500" s="6">
        <v>102.99</v>
      </c>
      <c r="L1500" s="6">
        <v>4.03</v>
      </c>
      <c r="M1500" s="6">
        <v>102.99</v>
      </c>
      <c r="N1500">
        <v>0</v>
      </c>
      <c r="O1500" s="6">
        <v>0</v>
      </c>
      <c r="P1500">
        <v>0</v>
      </c>
      <c r="Q1500" s="8">
        <v>208.19</v>
      </c>
      <c r="R1500" s="8">
        <v>214.42</v>
      </c>
      <c r="S1500" t="s">
        <v>32</v>
      </c>
    </row>
    <row r="1501" spans="1:19" hidden="1" x14ac:dyDescent="0.25">
      <c r="A1501" t="s">
        <v>134</v>
      </c>
      <c r="B1501" t="s">
        <v>75</v>
      </c>
      <c r="C1501" t="s">
        <v>126</v>
      </c>
      <c r="D1501" t="s">
        <v>539</v>
      </c>
      <c r="E1501" t="s">
        <v>91</v>
      </c>
      <c r="F1501" t="s">
        <v>91</v>
      </c>
      <c r="G1501">
        <v>0</v>
      </c>
      <c r="H1501">
        <v>22</v>
      </c>
      <c r="I1501">
        <v>22</v>
      </c>
      <c r="J1501">
        <v>22</v>
      </c>
      <c r="K1501" s="6">
        <v>100</v>
      </c>
      <c r="L1501" s="6">
        <v>0</v>
      </c>
      <c r="M1501" s="6">
        <v>100</v>
      </c>
      <c r="N1501">
        <v>0</v>
      </c>
      <c r="O1501" s="6">
        <v>0</v>
      </c>
      <c r="P1501">
        <v>0</v>
      </c>
      <c r="Q1501" s="8">
        <v>88.65</v>
      </c>
      <c r="R1501" s="8">
        <v>88.65</v>
      </c>
      <c r="S1501" s="9" t="s">
        <v>614</v>
      </c>
    </row>
    <row r="1502" spans="1:19" hidden="1" x14ac:dyDescent="0.25">
      <c r="A1502" t="s">
        <v>134</v>
      </c>
      <c r="B1502" t="s">
        <v>75</v>
      </c>
      <c r="C1502" t="s">
        <v>126</v>
      </c>
      <c r="D1502" t="s">
        <v>539</v>
      </c>
      <c r="E1502" t="s">
        <v>91</v>
      </c>
      <c r="F1502" t="s">
        <v>94</v>
      </c>
      <c r="G1502">
        <v>1</v>
      </c>
      <c r="H1502">
        <v>22</v>
      </c>
      <c r="I1502">
        <v>22</v>
      </c>
      <c r="J1502">
        <v>22</v>
      </c>
      <c r="K1502" s="6">
        <v>99.79</v>
      </c>
      <c r="L1502" s="6">
        <v>0</v>
      </c>
      <c r="M1502" s="6">
        <v>99.79</v>
      </c>
      <c r="N1502">
        <v>0</v>
      </c>
      <c r="O1502" s="6">
        <v>0</v>
      </c>
      <c r="P1502">
        <v>0</v>
      </c>
      <c r="Q1502" s="8">
        <v>88.65</v>
      </c>
      <c r="R1502" s="8">
        <v>88.46</v>
      </c>
      <c r="S1502" s="10" t="s">
        <v>485</v>
      </c>
    </row>
    <row r="1503" spans="1:19" hidden="1" x14ac:dyDescent="0.25">
      <c r="A1503" t="s">
        <v>134</v>
      </c>
      <c r="B1503" t="s">
        <v>75</v>
      </c>
      <c r="C1503" t="s">
        <v>126</v>
      </c>
      <c r="D1503" t="s">
        <v>539</v>
      </c>
      <c r="E1503" t="s">
        <v>91</v>
      </c>
      <c r="F1503" t="s">
        <v>96</v>
      </c>
      <c r="G1503">
        <v>5</v>
      </c>
      <c r="H1503">
        <v>22</v>
      </c>
      <c r="I1503">
        <v>22</v>
      </c>
      <c r="J1503">
        <v>22</v>
      </c>
      <c r="K1503" s="6">
        <v>105.83</v>
      </c>
      <c r="L1503" s="6">
        <v>2.66</v>
      </c>
      <c r="M1503" s="6">
        <v>105.83</v>
      </c>
      <c r="N1503">
        <v>0</v>
      </c>
      <c r="O1503" s="6">
        <v>0</v>
      </c>
      <c r="P1503">
        <v>0</v>
      </c>
      <c r="Q1503" s="8">
        <v>88.65</v>
      </c>
      <c r="R1503" s="8">
        <v>93.82</v>
      </c>
      <c r="S1503" s="10" t="s">
        <v>485</v>
      </c>
    </row>
    <row r="1504" spans="1:19" hidden="1" x14ac:dyDescent="0.25">
      <c r="A1504" t="s">
        <v>134</v>
      </c>
      <c r="B1504" t="s">
        <v>75</v>
      </c>
      <c r="C1504" t="s">
        <v>126</v>
      </c>
      <c r="D1504" t="s">
        <v>539</v>
      </c>
      <c r="E1504" t="s">
        <v>91</v>
      </c>
      <c r="F1504" t="s">
        <v>6</v>
      </c>
      <c r="G1504">
        <v>12</v>
      </c>
      <c r="H1504">
        <v>22</v>
      </c>
      <c r="I1504">
        <v>15</v>
      </c>
      <c r="J1504">
        <v>15</v>
      </c>
      <c r="K1504" s="6">
        <v>114.15</v>
      </c>
      <c r="L1504" s="6">
        <v>15.12</v>
      </c>
      <c r="M1504" s="6">
        <v>105.54</v>
      </c>
      <c r="N1504">
        <v>-8.61</v>
      </c>
      <c r="O1504" s="6">
        <v>31.8</v>
      </c>
      <c r="P1504">
        <v>0</v>
      </c>
      <c r="Q1504" s="8">
        <v>81.96</v>
      </c>
      <c r="R1504" s="8">
        <v>93.55</v>
      </c>
      <c r="S1504" s="10" t="s">
        <v>616</v>
      </c>
    </row>
    <row r="1505" spans="1:19" hidden="1" x14ac:dyDescent="0.25">
      <c r="A1505" t="s">
        <v>134</v>
      </c>
      <c r="B1505" t="s">
        <v>75</v>
      </c>
      <c r="C1505" t="s">
        <v>126</v>
      </c>
      <c r="D1505" t="s">
        <v>552</v>
      </c>
      <c r="E1505" t="s">
        <v>91</v>
      </c>
      <c r="F1505" t="s">
        <v>91</v>
      </c>
      <c r="G1505">
        <v>0</v>
      </c>
      <c r="H1505">
        <v>49</v>
      </c>
      <c r="I1505">
        <v>49</v>
      </c>
      <c r="J1505">
        <v>49</v>
      </c>
      <c r="K1505" s="6">
        <v>100</v>
      </c>
      <c r="L1505" s="6">
        <v>0</v>
      </c>
      <c r="M1505" s="6">
        <v>100</v>
      </c>
      <c r="N1505">
        <v>0</v>
      </c>
      <c r="O1505" s="6">
        <v>0</v>
      </c>
      <c r="P1505">
        <v>0</v>
      </c>
      <c r="Q1505" s="8">
        <v>92.93</v>
      </c>
      <c r="R1505" s="8">
        <v>92.93</v>
      </c>
      <c r="S1505" s="9" t="s">
        <v>639</v>
      </c>
    </row>
    <row r="1506" spans="1:19" hidden="1" x14ac:dyDescent="0.25">
      <c r="A1506" t="s">
        <v>134</v>
      </c>
      <c r="B1506" t="s">
        <v>75</v>
      </c>
      <c r="C1506" t="s">
        <v>126</v>
      </c>
      <c r="D1506" t="s">
        <v>552</v>
      </c>
      <c r="E1506" t="s">
        <v>91</v>
      </c>
      <c r="F1506" t="s">
        <v>94</v>
      </c>
      <c r="G1506">
        <v>1</v>
      </c>
      <c r="H1506">
        <v>49</v>
      </c>
      <c r="I1506">
        <v>49</v>
      </c>
      <c r="J1506">
        <v>49</v>
      </c>
      <c r="K1506" s="6">
        <v>98.88</v>
      </c>
      <c r="L1506" s="6">
        <v>0</v>
      </c>
      <c r="M1506" s="6">
        <v>98.88</v>
      </c>
      <c r="N1506">
        <v>0</v>
      </c>
      <c r="O1506" s="6">
        <v>0</v>
      </c>
      <c r="P1506">
        <v>0</v>
      </c>
      <c r="Q1506" s="8">
        <v>92.93</v>
      </c>
      <c r="R1506" s="8">
        <v>91.89</v>
      </c>
      <c r="S1506" t="s">
        <v>32</v>
      </c>
    </row>
    <row r="1507" spans="1:19" hidden="1" x14ac:dyDescent="0.25">
      <c r="A1507" t="s">
        <v>134</v>
      </c>
      <c r="B1507" t="s">
        <v>75</v>
      </c>
      <c r="C1507" t="s">
        <v>126</v>
      </c>
      <c r="D1507" t="s">
        <v>552</v>
      </c>
      <c r="E1507" t="s">
        <v>91</v>
      </c>
      <c r="F1507" t="s">
        <v>96</v>
      </c>
      <c r="G1507">
        <v>5</v>
      </c>
      <c r="H1507">
        <v>49</v>
      </c>
      <c r="I1507">
        <v>49</v>
      </c>
      <c r="J1507">
        <v>49</v>
      </c>
      <c r="K1507" s="6">
        <v>105.1</v>
      </c>
      <c r="L1507" s="6">
        <v>0</v>
      </c>
      <c r="M1507" s="6">
        <v>105.1</v>
      </c>
      <c r="N1507">
        <v>0</v>
      </c>
      <c r="O1507" s="6">
        <v>0</v>
      </c>
      <c r="P1507">
        <v>0</v>
      </c>
      <c r="Q1507" s="8">
        <v>92.93</v>
      </c>
      <c r="R1507" s="8">
        <v>97.67</v>
      </c>
      <c r="S1507" t="s">
        <v>32</v>
      </c>
    </row>
    <row r="1508" spans="1:19" hidden="1" x14ac:dyDescent="0.25">
      <c r="A1508" t="s">
        <v>134</v>
      </c>
      <c r="B1508" t="s">
        <v>75</v>
      </c>
      <c r="C1508" t="s">
        <v>126</v>
      </c>
      <c r="D1508" t="s">
        <v>552</v>
      </c>
      <c r="E1508" t="s">
        <v>91</v>
      </c>
      <c r="F1508" t="s">
        <v>6</v>
      </c>
      <c r="G1508">
        <v>12</v>
      </c>
      <c r="H1508">
        <v>49</v>
      </c>
      <c r="I1508">
        <v>53</v>
      </c>
      <c r="J1508">
        <v>49</v>
      </c>
      <c r="K1508" s="6">
        <v>105.3</v>
      </c>
      <c r="L1508" s="6">
        <v>0</v>
      </c>
      <c r="M1508" s="6">
        <v>104.15</v>
      </c>
      <c r="N1508">
        <v>-1.1499999999999999</v>
      </c>
      <c r="O1508" s="6">
        <v>0</v>
      </c>
      <c r="P1508">
        <v>4</v>
      </c>
      <c r="Q1508" s="8">
        <v>92.93</v>
      </c>
      <c r="R1508" s="8">
        <v>97.86</v>
      </c>
      <c r="S1508" t="s">
        <v>32</v>
      </c>
    </row>
    <row r="1509" spans="1:19" hidden="1" x14ac:dyDescent="0.25">
      <c r="A1509" t="s">
        <v>134</v>
      </c>
      <c r="B1509" t="s">
        <v>75</v>
      </c>
      <c r="C1509" t="s">
        <v>126</v>
      </c>
      <c r="D1509" t="s">
        <v>554</v>
      </c>
      <c r="E1509" t="s">
        <v>91</v>
      </c>
      <c r="F1509" t="s">
        <v>91</v>
      </c>
      <c r="G1509">
        <v>0</v>
      </c>
      <c r="H1509">
        <v>36</v>
      </c>
      <c r="I1509">
        <v>36</v>
      </c>
      <c r="J1509">
        <v>36</v>
      </c>
      <c r="K1509" s="6">
        <v>100</v>
      </c>
      <c r="L1509" s="6">
        <v>0</v>
      </c>
      <c r="M1509" s="6">
        <v>100</v>
      </c>
      <c r="N1509">
        <v>0</v>
      </c>
      <c r="O1509" s="6">
        <v>0</v>
      </c>
      <c r="P1509">
        <v>0</v>
      </c>
      <c r="Q1509" s="8">
        <v>138.85</v>
      </c>
      <c r="R1509" s="8">
        <v>138.85</v>
      </c>
      <c r="S1509" s="9" t="s">
        <v>640</v>
      </c>
    </row>
    <row r="1510" spans="1:19" hidden="1" x14ac:dyDescent="0.25">
      <c r="A1510" t="s">
        <v>134</v>
      </c>
      <c r="B1510" t="s">
        <v>75</v>
      </c>
      <c r="C1510" t="s">
        <v>126</v>
      </c>
      <c r="D1510" t="s">
        <v>554</v>
      </c>
      <c r="E1510" t="s">
        <v>91</v>
      </c>
      <c r="F1510" t="s">
        <v>94</v>
      </c>
      <c r="G1510">
        <v>1</v>
      </c>
      <c r="H1510">
        <v>36</v>
      </c>
      <c r="I1510">
        <v>36</v>
      </c>
      <c r="J1510">
        <v>36</v>
      </c>
      <c r="K1510" s="6">
        <v>97</v>
      </c>
      <c r="L1510" s="6">
        <v>-1.58</v>
      </c>
      <c r="M1510" s="6">
        <v>97</v>
      </c>
      <c r="N1510">
        <v>0</v>
      </c>
      <c r="O1510" s="6">
        <v>0</v>
      </c>
      <c r="P1510">
        <v>0</v>
      </c>
      <c r="Q1510" s="8">
        <v>138.85</v>
      </c>
      <c r="R1510" s="8">
        <v>134.68</v>
      </c>
      <c r="S1510" t="s">
        <v>32</v>
      </c>
    </row>
    <row r="1511" spans="1:19" hidden="1" x14ac:dyDescent="0.25">
      <c r="A1511" t="s">
        <v>134</v>
      </c>
      <c r="B1511" t="s">
        <v>75</v>
      </c>
      <c r="C1511" t="s">
        <v>126</v>
      </c>
      <c r="D1511" t="s">
        <v>554</v>
      </c>
      <c r="E1511" t="s">
        <v>91</v>
      </c>
      <c r="F1511" t="s">
        <v>96</v>
      </c>
      <c r="G1511">
        <v>5</v>
      </c>
      <c r="H1511">
        <v>36</v>
      </c>
      <c r="I1511">
        <v>36</v>
      </c>
      <c r="J1511">
        <v>36</v>
      </c>
      <c r="K1511" s="6">
        <v>99.42</v>
      </c>
      <c r="L1511" s="6">
        <v>-1.58</v>
      </c>
      <c r="M1511" s="6">
        <v>99.42</v>
      </c>
      <c r="N1511">
        <v>0</v>
      </c>
      <c r="O1511" s="6">
        <v>0</v>
      </c>
      <c r="P1511">
        <v>0</v>
      </c>
      <c r="Q1511" s="8">
        <v>138.85</v>
      </c>
      <c r="R1511" s="8">
        <v>138.04</v>
      </c>
      <c r="S1511" t="s">
        <v>32</v>
      </c>
    </row>
    <row r="1512" spans="1:19" hidden="1" x14ac:dyDescent="0.25">
      <c r="A1512" t="s">
        <v>134</v>
      </c>
      <c r="B1512" t="s">
        <v>75</v>
      </c>
      <c r="C1512" t="s">
        <v>126</v>
      </c>
      <c r="D1512" t="s">
        <v>554</v>
      </c>
      <c r="E1512" t="s">
        <v>91</v>
      </c>
      <c r="F1512" t="s">
        <v>6</v>
      </c>
      <c r="G1512">
        <v>12</v>
      </c>
      <c r="H1512">
        <v>36</v>
      </c>
      <c r="I1512">
        <v>37</v>
      </c>
      <c r="J1512">
        <v>35</v>
      </c>
      <c r="K1512" s="6">
        <v>98.13</v>
      </c>
      <c r="L1512" s="6">
        <v>-3.19</v>
      </c>
      <c r="M1512" s="6">
        <v>96.03</v>
      </c>
      <c r="N1512">
        <v>-2.1</v>
      </c>
      <c r="O1512" s="6">
        <v>2.8</v>
      </c>
      <c r="P1512">
        <v>2</v>
      </c>
      <c r="Q1512" s="8">
        <v>138.69999999999999</v>
      </c>
      <c r="R1512" s="8">
        <v>136.12</v>
      </c>
      <c r="S1512" t="s">
        <v>32</v>
      </c>
    </row>
    <row r="1513" spans="1:19" hidden="1" x14ac:dyDescent="0.25">
      <c r="A1513" t="s">
        <v>134</v>
      </c>
      <c r="B1513" t="s">
        <v>75</v>
      </c>
      <c r="C1513" t="s">
        <v>126</v>
      </c>
      <c r="D1513" t="s">
        <v>555</v>
      </c>
      <c r="E1513" t="s">
        <v>90</v>
      </c>
      <c r="F1513" t="s">
        <v>90</v>
      </c>
      <c r="G1513">
        <v>0</v>
      </c>
      <c r="H1513">
        <v>60</v>
      </c>
      <c r="I1513">
        <v>60</v>
      </c>
      <c r="J1513">
        <v>60</v>
      </c>
      <c r="K1513" s="6">
        <v>100</v>
      </c>
      <c r="L1513" s="6">
        <v>0</v>
      </c>
      <c r="M1513" s="6">
        <v>100</v>
      </c>
      <c r="N1513">
        <v>0</v>
      </c>
      <c r="O1513" s="6">
        <v>0</v>
      </c>
      <c r="P1513">
        <v>0</v>
      </c>
      <c r="Q1513" s="8">
        <v>109.7</v>
      </c>
      <c r="R1513" s="8">
        <v>109.7</v>
      </c>
      <c r="S1513" s="9" t="s">
        <v>641</v>
      </c>
    </row>
    <row r="1514" spans="1:19" hidden="1" x14ac:dyDescent="0.25">
      <c r="A1514" t="s">
        <v>134</v>
      </c>
      <c r="B1514" t="s">
        <v>75</v>
      </c>
      <c r="C1514" t="s">
        <v>126</v>
      </c>
      <c r="D1514" t="s">
        <v>555</v>
      </c>
      <c r="E1514" t="s">
        <v>90</v>
      </c>
      <c r="F1514" t="s">
        <v>91</v>
      </c>
      <c r="G1514">
        <v>1</v>
      </c>
      <c r="H1514">
        <v>60</v>
      </c>
      <c r="I1514">
        <v>60</v>
      </c>
      <c r="J1514">
        <v>60</v>
      </c>
      <c r="K1514" s="6">
        <v>99.9</v>
      </c>
      <c r="L1514" s="6">
        <v>0</v>
      </c>
      <c r="M1514" s="6">
        <v>99.9</v>
      </c>
      <c r="N1514">
        <v>0</v>
      </c>
      <c r="O1514" s="6">
        <v>0</v>
      </c>
      <c r="P1514">
        <v>0</v>
      </c>
      <c r="Q1514" s="8">
        <v>109.7</v>
      </c>
      <c r="R1514" s="8">
        <v>109.59</v>
      </c>
      <c r="S1514" t="s">
        <v>32</v>
      </c>
    </row>
    <row r="1515" spans="1:19" hidden="1" x14ac:dyDescent="0.25">
      <c r="A1515" t="s">
        <v>134</v>
      </c>
      <c r="B1515" t="s">
        <v>75</v>
      </c>
      <c r="C1515" t="s">
        <v>126</v>
      </c>
      <c r="D1515" t="s">
        <v>555</v>
      </c>
      <c r="E1515" t="s">
        <v>90</v>
      </c>
      <c r="F1515" t="s">
        <v>94</v>
      </c>
      <c r="G1515">
        <v>2</v>
      </c>
      <c r="H1515">
        <v>60</v>
      </c>
      <c r="I1515">
        <v>60</v>
      </c>
      <c r="J1515">
        <v>60</v>
      </c>
      <c r="K1515" s="6">
        <v>98</v>
      </c>
      <c r="L1515" s="6">
        <v>-1.72</v>
      </c>
      <c r="M1515" s="6">
        <v>98</v>
      </c>
      <c r="N1515">
        <v>0</v>
      </c>
      <c r="O1515" s="6">
        <v>0</v>
      </c>
      <c r="P1515">
        <v>0</v>
      </c>
      <c r="Q1515" s="8">
        <v>109.7</v>
      </c>
      <c r="R1515" s="8">
        <v>107.51</v>
      </c>
      <c r="S1515" t="s">
        <v>32</v>
      </c>
    </row>
    <row r="1516" spans="1:19" hidden="1" x14ac:dyDescent="0.25">
      <c r="A1516" t="s">
        <v>134</v>
      </c>
      <c r="B1516" t="s">
        <v>75</v>
      </c>
      <c r="C1516" t="s">
        <v>126</v>
      </c>
      <c r="D1516" t="s">
        <v>555</v>
      </c>
      <c r="E1516" t="s">
        <v>90</v>
      </c>
      <c r="F1516" t="s">
        <v>96</v>
      </c>
      <c r="G1516">
        <v>6</v>
      </c>
      <c r="H1516">
        <v>60</v>
      </c>
      <c r="I1516">
        <v>60</v>
      </c>
      <c r="J1516">
        <v>60</v>
      </c>
      <c r="K1516" s="6">
        <v>98</v>
      </c>
      <c r="L1516" s="6">
        <v>-1.72</v>
      </c>
      <c r="M1516" s="6">
        <v>98</v>
      </c>
      <c r="N1516">
        <v>0</v>
      </c>
      <c r="O1516" s="6">
        <v>0</v>
      </c>
      <c r="P1516">
        <v>0</v>
      </c>
      <c r="Q1516" s="8">
        <v>109.7</v>
      </c>
      <c r="R1516" s="8">
        <v>107.51</v>
      </c>
      <c r="S1516" t="s">
        <v>32</v>
      </c>
    </row>
    <row r="1517" spans="1:19" hidden="1" x14ac:dyDescent="0.25">
      <c r="A1517" t="s">
        <v>134</v>
      </c>
      <c r="B1517" t="s">
        <v>75</v>
      </c>
      <c r="C1517" t="s">
        <v>126</v>
      </c>
      <c r="D1517" t="s">
        <v>555</v>
      </c>
      <c r="E1517" t="s">
        <v>90</v>
      </c>
      <c r="F1517" t="s">
        <v>6</v>
      </c>
      <c r="G1517">
        <v>13</v>
      </c>
      <c r="H1517">
        <v>60</v>
      </c>
      <c r="I1517">
        <v>60</v>
      </c>
      <c r="J1517">
        <v>60</v>
      </c>
      <c r="K1517" s="6">
        <v>95.96</v>
      </c>
      <c r="L1517" s="6">
        <v>-3.08</v>
      </c>
      <c r="M1517" s="6">
        <v>95.96</v>
      </c>
      <c r="N1517">
        <v>0</v>
      </c>
      <c r="O1517" s="6">
        <v>0</v>
      </c>
      <c r="P1517">
        <v>0</v>
      </c>
      <c r="Q1517" s="8">
        <v>109.7</v>
      </c>
      <c r="R1517" s="8">
        <v>105.27</v>
      </c>
      <c r="S1517" t="s">
        <v>32</v>
      </c>
    </row>
    <row r="1518" spans="1:19" hidden="1" x14ac:dyDescent="0.25">
      <c r="A1518" t="s">
        <v>134</v>
      </c>
      <c r="B1518" t="s">
        <v>75</v>
      </c>
      <c r="C1518" t="s">
        <v>126</v>
      </c>
      <c r="D1518" t="s">
        <v>557</v>
      </c>
      <c r="E1518" t="s">
        <v>90</v>
      </c>
      <c r="F1518" t="s">
        <v>90</v>
      </c>
      <c r="G1518">
        <v>0</v>
      </c>
      <c r="H1518">
        <v>53</v>
      </c>
      <c r="I1518">
        <v>53</v>
      </c>
      <c r="J1518">
        <v>53</v>
      </c>
      <c r="K1518" s="6">
        <v>100</v>
      </c>
      <c r="L1518" s="6">
        <v>0</v>
      </c>
      <c r="M1518" s="6">
        <v>100</v>
      </c>
      <c r="N1518">
        <v>0</v>
      </c>
      <c r="O1518" s="6">
        <v>0</v>
      </c>
      <c r="P1518">
        <v>0</v>
      </c>
      <c r="Q1518" s="8">
        <v>124.22</v>
      </c>
      <c r="R1518" s="8">
        <v>124.22</v>
      </c>
      <c r="S1518" s="9" t="s">
        <v>642</v>
      </c>
    </row>
    <row r="1519" spans="1:19" hidden="1" x14ac:dyDescent="0.25">
      <c r="A1519" t="s">
        <v>134</v>
      </c>
      <c r="B1519" t="s">
        <v>75</v>
      </c>
      <c r="C1519" t="s">
        <v>126</v>
      </c>
      <c r="D1519" t="s">
        <v>557</v>
      </c>
      <c r="E1519" t="s">
        <v>90</v>
      </c>
      <c r="F1519" t="s">
        <v>91</v>
      </c>
      <c r="G1519">
        <v>1</v>
      </c>
      <c r="H1519">
        <v>53</v>
      </c>
      <c r="I1519">
        <v>53</v>
      </c>
      <c r="J1519">
        <v>53</v>
      </c>
      <c r="K1519" s="6">
        <v>100</v>
      </c>
      <c r="L1519" s="6">
        <v>0</v>
      </c>
      <c r="M1519" s="6">
        <v>100</v>
      </c>
      <c r="N1519">
        <v>0</v>
      </c>
      <c r="O1519" s="6">
        <v>0</v>
      </c>
      <c r="P1519">
        <v>0</v>
      </c>
      <c r="Q1519" s="8">
        <v>124.22</v>
      </c>
      <c r="R1519" s="8">
        <v>124.22</v>
      </c>
      <c r="S1519" t="s">
        <v>32</v>
      </c>
    </row>
    <row r="1520" spans="1:19" hidden="1" x14ac:dyDescent="0.25">
      <c r="A1520" t="s">
        <v>134</v>
      </c>
      <c r="B1520" t="s">
        <v>75</v>
      </c>
      <c r="C1520" t="s">
        <v>126</v>
      </c>
      <c r="D1520" t="s">
        <v>557</v>
      </c>
      <c r="E1520" t="s">
        <v>90</v>
      </c>
      <c r="F1520" t="s">
        <v>94</v>
      </c>
      <c r="G1520">
        <v>2</v>
      </c>
      <c r="H1520">
        <v>53</v>
      </c>
      <c r="I1520">
        <v>53</v>
      </c>
      <c r="J1520">
        <v>53</v>
      </c>
      <c r="K1520" s="6">
        <v>97.78</v>
      </c>
      <c r="L1520" s="6">
        <v>-2.5299999999999998</v>
      </c>
      <c r="M1520" s="6">
        <v>97.78</v>
      </c>
      <c r="N1520">
        <v>0</v>
      </c>
      <c r="O1520" s="6">
        <v>0</v>
      </c>
      <c r="P1520">
        <v>0</v>
      </c>
      <c r="Q1520" s="8">
        <v>124.22</v>
      </c>
      <c r="R1520" s="8">
        <v>121.46</v>
      </c>
      <c r="S1520" t="s">
        <v>32</v>
      </c>
    </row>
    <row r="1521" spans="1:19" hidden="1" x14ac:dyDescent="0.25">
      <c r="A1521" t="s">
        <v>134</v>
      </c>
      <c r="B1521" t="s">
        <v>75</v>
      </c>
      <c r="C1521" t="s">
        <v>126</v>
      </c>
      <c r="D1521" t="s">
        <v>557</v>
      </c>
      <c r="E1521" t="s">
        <v>90</v>
      </c>
      <c r="F1521" t="s">
        <v>96</v>
      </c>
      <c r="G1521">
        <v>6</v>
      </c>
      <c r="H1521">
        <v>53</v>
      </c>
      <c r="I1521">
        <v>53</v>
      </c>
      <c r="J1521">
        <v>53</v>
      </c>
      <c r="K1521" s="6">
        <v>97.68</v>
      </c>
      <c r="L1521" s="6">
        <v>-2.57</v>
      </c>
      <c r="M1521" s="6">
        <v>97.68</v>
      </c>
      <c r="N1521">
        <v>0</v>
      </c>
      <c r="O1521" s="6">
        <v>0</v>
      </c>
      <c r="P1521">
        <v>0</v>
      </c>
      <c r="Q1521" s="8">
        <v>124.22</v>
      </c>
      <c r="R1521" s="8">
        <v>121.34</v>
      </c>
      <c r="S1521" t="s">
        <v>32</v>
      </c>
    </row>
    <row r="1522" spans="1:19" hidden="1" x14ac:dyDescent="0.25">
      <c r="A1522" t="s">
        <v>134</v>
      </c>
      <c r="B1522" t="s">
        <v>75</v>
      </c>
      <c r="C1522" t="s">
        <v>126</v>
      </c>
      <c r="D1522" t="s">
        <v>557</v>
      </c>
      <c r="E1522" t="s">
        <v>90</v>
      </c>
      <c r="F1522" t="s">
        <v>6</v>
      </c>
      <c r="G1522">
        <v>13</v>
      </c>
      <c r="H1522">
        <v>53</v>
      </c>
      <c r="I1522">
        <v>53</v>
      </c>
      <c r="J1522">
        <v>53</v>
      </c>
      <c r="K1522" s="6">
        <v>96.29</v>
      </c>
      <c r="L1522" s="6">
        <v>-4.13</v>
      </c>
      <c r="M1522" s="6">
        <v>96.29</v>
      </c>
      <c r="N1522">
        <v>0</v>
      </c>
      <c r="O1522" s="6">
        <v>0</v>
      </c>
      <c r="P1522">
        <v>0</v>
      </c>
      <c r="Q1522" s="8">
        <v>124.22</v>
      </c>
      <c r="R1522" s="8">
        <v>119.62</v>
      </c>
      <c r="S1522" t="s">
        <v>32</v>
      </c>
    </row>
    <row r="1523" spans="1:19" hidden="1" x14ac:dyDescent="0.25">
      <c r="A1523" t="s">
        <v>134</v>
      </c>
      <c r="B1523" t="s">
        <v>75</v>
      </c>
      <c r="C1523" t="s">
        <v>126</v>
      </c>
      <c r="D1523" t="s">
        <v>560</v>
      </c>
      <c r="E1523" t="s">
        <v>90</v>
      </c>
      <c r="F1523" t="s">
        <v>90</v>
      </c>
      <c r="G1523">
        <v>0</v>
      </c>
      <c r="H1523">
        <v>61</v>
      </c>
      <c r="I1523">
        <v>61</v>
      </c>
      <c r="J1523">
        <v>61</v>
      </c>
      <c r="K1523" s="6">
        <v>100</v>
      </c>
      <c r="L1523" s="6">
        <v>0</v>
      </c>
      <c r="M1523" s="6">
        <v>100</v>
      </c>
      <c r="N1523">
        <v>0</v>
      </c>
      <c r="O1523" s="6">
        <v>0</v>
      </c>
      <c r="P1523">
        <v>0</v>
      </c>
      <c r="Q1523" s="8">
        <v>132.12</v>
      </c>
      <c r="R1523" s="8">
        <v>132.12</v>
      </c>
      <c r="S1523" s="9" t="s">
        <v>643</v>
      </c>
    </row>
    <row r="1524" spans="1:19" hidden="1" x14ac:dyDescent="0.25">
      <c r="A1524" t="s">
        <v>134</v>
      </c>
      <c r="B1524" t="s">
        <v>75</v>
      </c>
      <c r="C1524" t="s">
        <v>126</v>
      </c>
      <c r="D1524" t="s">
        <v>560</v>
      </c>
      <c r="E1524" t="s">
        <v>90</v>
      </c>
      <c r="F1524" t="s">
        <v>91</v>
      </c>
      <c r="G1524">
        <v>1</v>
      </c>
      <c r="H1524">
        <v>61</v>
      </c>
      <c r="I1524">
        <v>61</v>
      </c>
      <c r="J1524">
        <v>61</v>
      </c>
      <c r="K1524" s="6">
        <v>100.19</v>
      </c>
      <c r="L1524" s="6">
        <v>0</v>
      </c>
      <c r="M1524" s="6">
        <v>100.19</v>
      </c>
      <c r="N1524">
        <v>0</v>
      </c>
      <c r="O1524" s="6">
        <v>0</v>
      </c>
      <c r="P1524">
        <v>0</v>
      </c>
      <c r="Q1524" s="8">
        <v>132.12</v>
      </c>
      <c r="R1524" s="8">
        <v>132.37</v>
      </c>
      <c r="S1524" t="s">
        <v>32</v>
      </c>
    </row>
    <row r="1525" spans="1:19" hidden="1" x14ac:dyDescent="0.25">
      <c r="A1525" t="s">
        <v>134</v>
      </c>
      <c r="B1525" t="s">
        <v>75</v>
      </c>
      <c r="C1525" t="s">
        <v>126</v>
      </c>
      <c r="D1525" t="s">
        <v>560</v>
      </c>
      <c r="E1525" t="s">
        <v>90</v>
      </c>
      <c r="F1525" t="s">
        <v>94</v>
      </c>
      <c r="G1525">
        <v>2</v>
      </c>
      <c r="H1525">
        <v>61</v>
      </c>
      <c r="I1525">
        <v>61</v>
      </c>
      <c r="J1525">
        <v>61</v>
      </c>
      <c r="K1525" s="6">
        <v>98.75</v>
      </c>
      <c r="L1525" s="6">
        <v>-1.1200000000000001</v>
      </c>
      <c r="M1525" s="6">
        <v>98.75</v>
      </c>
      <c r="N1525">
        <v>0</v>
      </c>
      <c r="O1525" s="6">
        <v>0</v>
      </c>
      <c r="P1525">
        <v>0</v>
      </c>
      <c r="Q1525" s="8">
        <v>132.12</v>
      </c>
      <c r="R1525" s="8">
        <v>130.47</v>
      </c>
      <c r="S1525" t="s">
        <v>32</v>
      </c>
    </row>
    <row r="1526" spans="1:19" hidden="1" x14ac:dyDescent="0.25">
      <c r="A1526" t="s">
        <v>134</v>
      </c>
      <c r="B1526" t="s">
        <v>75</v>
      </c>
      <c r="C1526" t="s">
        <v>126</v>
      </c>
      <c r="D1526" t="s">
        <v>560</v>
      </c>
      <c r="E1526" t="s">
        <v>90</v>
      </c>
      <c r="F1526" t="s">
        <v>96</v>
      </c>
      <c r="G1526">
        <v>6</v>
      </c>
      <c r="H1526">
        <v>61</v>
      </c>
      <c r="I1526">
        <v>61</v>
      </c>
      <c r="J1526">
        <v>61</v>
      </c>
      <c r="K1526" s="6">
        <v>98.88</v>
      </c>
      <c r="L1526" s="6">
        <v>-1.1599999999999999</v>
      </c>
      <c r="M1526" s="6">
        <v>98.88</v>
      </c>
      <c r="N1526">
        <v>0</v>
      </c>
      <c r="O1526" s="6">
        <v>0</v>
      </c>
      <c r="P1526">
        <v>0</v>
      </c>
      <c r="Q1526" s="8">
        <v>132.12</v>
      </c>
      <c r="R1526" s="8">
        <v>130.63999999999999</v>
      </c>
      <c r="S1526" t="s">
        <v>32</v>
      </c>
    </row>
    <row r="1527" spans="1:19" hidden="1" x14ac:dyDescent="0.25">
      <c r="A1527" t="s">
        <v>134</v>
      </c>
      <c r="B1527" t="s">
        <v>75</v>
      </c>
      <c r="C1527" t="s">
        <v>126</v>
      </c>
      <c r="D1527" t="s">
        <v>560</v>
      </c>
      <c r="E1527" t="s">
        <v>90</v>
      </c>
      <c r="F1527" t="s">
        <v>6</v>
      </c>
      <c r="G1527">
        <v>13</v>
      </c>
      <c r="H1527">
        <v>61</v>
      </c>
      <c r="I1527">
        <v>61</v>
      </c>
      <c r="J1527">
        <v>61</v>
      </c>
      <c r="K1527" s="6">
        <v>98.18</v>
      </c>
      <c r="L1527" s="6">
        <v>-2.2200000000000002</v>
      </c>
      <c r="M1527" s="6">
        <v>98.18</v>
      </c>
      <c r="N1527">
        <v>0</v>
      </c>
      <c r="O1527" s="6">
        <v>0</v>
      </c>
      <c r="P1527">
        <v>0</v>
      </c>
      <c r="Q1527" s="8">
        <v>132.12</v>
      </c>
      <c r="R1527" s="8">
        <v>129.71</v>
      </c>
      <c r="S1527" t="s">
        <v>32</v>
      </c>
    </row>
    <row r="1528" spans="1:19" hidden="1" x14ac:dyDescent="0.25">
      <c r="A1528" t="s">
        <v>134</v>
      </c>
      <c r="B1528" t="s">
        <v>75</v>
      </c>
      <c r="C1528" t="s">
        <v>126</v>
      </c>
      <c r="D1528" t="s">
        <v>524</v>
      </c>
      <c r="E1528" t="s">
        <v>90</v>
      </c>
      <c r="F1528" t="s">
        <v>90</v>
      </c>
      <c r="G1528">
        <v>0</v>
      </c>
      <c r="H1528">
        <v>29</v>
      </c>
      <c r="I1528">
        <v>29</v>
      </c>
      <c r="J1528">
        <v>29</v>
      </c>
      <c r="K1528" s="6">
        <v>100</v>
      </c>
      <c r="L1528" s="6">
        <v>0</v>
      </c>
      <c r="M1528" s="6">
        <v>100</v>
      </c>
      <c r="N1528">
        <v>0</v>
      </c>
      <c r="O1528" s="6">
        <v>0</v>
      </c>
      <c r="P1528">
        <v>0</v>
      </c>
      <c r="Q1528" s="8">
        <v>133.74</v>
      </c>
      <c r="R1528" s="8">
        <v>133.74</v>
      </c>
      <c r="S1528" s="9" t="s">
        <v>564</v>
      </c>
    </row>
    <row r="1529" spans="1:19" hidden="1" x14ac:dyDescent="0.25">
      <c r="A1529" t="s">
        <v>134</v>
      </c>
      <c r="B1529" t="s">
        <v>75</v>
      </c>
      <c r="C1529" t="s">
        <v>126</v>
      </c>
      <c r="D1529" t="s">
        <v>524</v>
      </c>
      <c r="E1529" t="s">
        <v>90</v>
      </c>
      <c r="F1529" t="s">
        <v>91</v>
      </c>
      <c r="G1529">
        <v>1</v>
      </c>
      <c r="H1529">
        <v>29</v>
      </c>
      <c r="I1529">
        <v>29</v>
      </c>
      <c r="J1529">
        <v>29</v>
      </c>
      <c r="K1529" s="6">
        <v>100.21</v>
      </c>
      <c r="L1529" s="6">
        <v>0</v>
      </c>
      <c r="M1529" s="6">
        <v>100.21</v>
      </c>
      <c r="N1529">
        <v>0</v>
      </c>
      <c r="O1529" s="6">
        <v>0</v>
      </c>
      <c r="P1529">
        <v>0</v>
      </c>
      <c r="Q1529" s="8">
        <v>133.74</v>
      </c>
      <c r="R1529" s="8">
        <v>134.01</v>
      </c>
      <c r="S1529" s="10" t="s">
        <v>565</v>
      </c>
    </row>
    <row r="1530" spans="1:19" hidden="1" x14ac:dyDescent="0.25">
      <c r="A1530" t="s">
        <v>134</v>
      </c>
      <c r="B1530" t="s">
        <v>75</v>
      </c>
      <c r="C1530" t="s">
        <v>126</v>
      </c>
      <c r="D1530" t="s">
        <v>524</v>
      </c>
      <c r="E1530" t="s">
        <v>90</v>
      </c>
      <c r="F1530" t="s">
        <v>94</v>
      </c>
      <c r="G1530">
        <v>2</v>
      </c>
      <c r="H1530">
        <v>29</v>
      </c>
      <c r="I1530">
        <v>29</v>
      </c>
      <c r="J1530">
        <v>29</v>
      </c>
      <c r="K1530" s="6">
        <v>98.43</v>
      </c>
      <c r="L1530" s="6">
        <v>0</v>
      </c>
      <c r="M1530" s="6">
        <v>98.43</v>
      </c>
      <c r="N1530">
        <v>0</v>
      </c>
      <c r="O1530" s="6">
        <v>0</v>
      </c>
      <c r="P1530">
        <v>0</v>
      </c>
      <c r="Q1530" s="8">
        <v>133.74</v>
      </c>
      <c r="R1530" s="8">
        <v>131.63999999999999</v>
      </c>
      <c r="S1530" s="10" t="s">
        <v>565</v>
      </c>
    </row>
    <row r="1531" spans="1:19" hidden="1" x14ac:dyDescent="0.25">
      <c r="A1531" t="s">
        <v>134</v>
      </c>
      <c r="B1531" t="s">
        <v>75</v>
      </c>
      <c r="C1531" t="s">
        <v>126</v>
      </c>
      <c r="D1531" t="s">
        <v>524</v>
      </c>
      <c r="E1531" t="s">
        <v>90</v>
      </c>
      <c r="F1531" t="s">
        <v>96</v>
      </c>
      <c r="G1531">
        <v>6</v>
      </c>
      <c r="H1531">
        <v>29</v>
      </c>
      <c r="I1531">
        <v>29</v>
      </c>
      <c r="J1531">
        <v>29</v>
      </c>
      <c r="K1531" s="6">
        <v>98.58</v>
      </c>
      <c r="L1531" s="6">
        <v>0</v>
      </c>
      <c r="M1531" s="6">
        <v>98.58</v>
      </c>
      <c r="N1531">
        <v>0</v>
      </c>
      <c r="O1531" s="6">
        <v>0</v>
      </c>
      <c r="P1531">
        <v>0</v>
      </c>
      <c r="Q1531" s="8">
        <v>133.74</v>
      </c>
      <c r="R1531" s="8">
        <v>131.84</v>
      </c>
      <c r="S1531" s="10" t="s">
        <v>565</v>
      </c>
    </row>
    <row r="1532" spans="1:19" hidden="1" x14ac:dyDescent="0.25">
      <c r="A1532" t="s">
        <v>134</v>
      </c>
      <c r="B1532" t="s">
        <v>75</v>
      </c>
      <c r="C1532" t="s">
        <v>126</v>
      </c>
      <c r="D1532" t="s">
        <v>524</v>
      </c>
      <c r="E1532" t="s">
        <v>90</v>
      </c>
      <c r="F1532" t="s">
        <v>6</v>
      </c>
      <c r="G1532">
        <v>13</v>
      </c>
      <c r="H1532">
        <v>29</v>
      </c>
      <c r="I1532">
        <v>29</v>
      </c>
      <c r="J1532">
        <v>29</v>
      </c>
      <c r="K1532" s="6">
        <v>98.16</v>
      </c>
      <c r="L1532" s="6">
        <v>0</v>
      </c>
      <c r="M1532" s="6">
        <v>98.16</v>
      </c>
      <c r="N1532">
        <v>0</v>
      </c>
      <c r="O1532" s="6">
        <v>0</v>
      </c>
      <c r="P1532">
        <v>0</v>
      </c>
      <c r="Q1532" s="8">
        <v>133.74</v>
      </c>
      <c r="R1532" s="8">
        <v>131.28</v>
      </c>
      <c r="S1532" s="10" t="s">
        <v>565</v>
      </c>
    </row>
    <row r="1533" spans="1:19" hidden="1" x14ac:dyDescent="0.25">
      <c r="A1533" t="s">
        <v>134</v>
      </c>
      <c r="B1533" t="s">
        <v>75</v>
      </c>
      <c r="C1533" t="s">
        <v>126</v>
      </c>
      <c r="D1533" t="s">
        <v>527</v>
      </c>
      <c r="E1533" t="s">
        <v>90</v>
      </c>
      <c r="F1533" t="s">
        <v>90</v>
      </c>
      <c r="G1533">
        <v>0</v>
      </c>
      <c r="H1533">
        <v>24</v>
      </c>
      <c r="I1533">
        <v>24</v>
      </c>
      <c r="J1533">
        <v>24</v>
      </c>
      <c r="K1533" s="6">
        <v>100</v>
      </c>
      <c r="L1533" s="6">
        <v>0</v>
      </c>
      <c r="M1533" s="6">
        <v>100</v>
      </c>
      <c r="N1533">
        <v>0</v>
      </c>
      <c r="O1533" s="6">
        <v>0</v>
      </c>
      <c r="P1533">
        <v>0</v>
      </c>
      <c r="Q1533" s="8">
        <v>140.41999999999999</v>
      </c>
      <c r="R1533" s="8">
        <v>140.41999999999999</v>
      </c>
      <c r="S1533" s="9" t="s">
        <v>601</v>
      </c>
    </row>
    <row r="1534" spans="1:19" hidden="1" x14ac:dyDescent="0.25">
      <c r="A1534" t="s">
        <v>134</v>
      </c>
      <c r="B1534" t="s">
        <v>75</v>
      </c>
      <c r="C1534" t="s">
        <v>126</v>
      </c>
      <c r="D1534" t="s">
        <v>527</v>
      </c>
      <c r="E1534" t="s">
        <v>90</v>
      </c>
      <c r="F1534" t="s">
        <v>91</v>
      </c>
      <c r="G1534">
        <v>1</v>
      </c>
      <c r="H1534">
        <v>24</v>
      </c>
      <c r="I1534">
        <v>24</v>
      </c>
      <c r="J1534">
        <v>24</v>
      </c>
      <c r="K1534" s="6">
        <v>100</v>
      </c>
      <c r="L1534" s="6">
        <v>0</v>
      </c>
      <c r="M1534" s="6">
        <v>100</v>
      </c>
      <c r="N1534">
        <v>0</v>
      </c>
      <c r="O1534" s="6">
        <v>0</v>
      </c>
      <c r="P1534">
        <v>0</v>
      </c>
      <c r="Q1534" s="8">
        <v>140.41999999999999</v>
      </c>
      <c r="R1534" s="8">
        <v>140.41999999999999</v>
      </c>
      <c r="S1534" s="10" t="s">
        <v>602</v>
      </c>
    </row>
    <row r="1535" spans="1:19" hidden="1" x14ac:dyDescent="0.25">
      <c r="A1535" t="s">
        <v>134</v>
      </c>
      <c r="B1535" t="s">
        <v>75</v>
      </c>
      <c r="C1535" t="s">
        <v>126</v>
      </c>
      <c r="D1535" t="s">
        <v>527</v>
      </c>
      <c r="E1535" t="s">
        <v>90</v>
      </c>
      <c r="F1535" t="s">
        <v>94</v>
      </c>
      <c r="G1535">
        <v>2</v>
      </c>
      <c r="H1535">
        <v>24</v>
      </c>
      <c r="I1535">
        <v>24</v>
      </c>
      <c r="J1535">
        <v>24</v>
      </c>
      <c r="K1535" s="6">
        <v>100</v>
      </c>
      <c r="L1535" s="6">
        <v>0</v>
      </c>
      <c r="M1535" s="6">
        <v>100</v>
      </c>
      <c r="N1535">
        <v>0</v>
      </c>
      <c r="O1535" s="6">
        <v>0</v>
      </c>
      <c r="P1535">
        <v>0</v>
      </c>
      <c r="Q1535" s="8">
        <v>140.41999999999999</v>
      </c>
      <c r="R1535" s="8">
        <v>140.41999999999999</v>
      </c>
      <c r="S1535" s="10" t="s">
        <v>602</v>
      </c>
    </row>
    <row r="1536" spans="1:19" hidden="1" x14ac:dyDescent="0.25">
      <c r="A1536" t="s">
        <v>134</v>
      </c>
      <c r="B1536" t="s">
        <v>75</v>
      </c>
      <c r="C1536" t="s">
        <v>126</v>
      </c>
      <c r="D1536" t="s">
        <v>527</v>
      </c>
      <c r="E1536" t="s">
        <v>90</v>
      </c>
      <c r="F1536" t="s">
        <v>96</v>
      </c>
      <c r="G1536">
        <v>6</v>
      </c>
      <c r="H1536">
        <v>24</v>
      </c>
      <c r="I1536">
        <v>24</v>
      </c>
      <c r="J1536">
        <v>24</v>
      </c>
      <c r="K1536" s="6">
        <v>100</v>
      </c>
      <c r="L1536" s="6">
        <v>0</v>
      </c>
      <c r="M1536" s="6">
        <v>100</v>
      </c>
      <c r="N1536">
        <v>0</v>
      </c>
      <c r="O1536" s="6">
        <v>0</v>
      </c>
      <c r="P1536">
        <v>0</v>
      </c>
      <c r="Q1536" s="8">
        <v>140.41999999999999</v>
      </c>
      <c r="R1536" s="8">
        <v>140.41999999999999</v>
      </c>
      <c r="S1536" s="10" t="s">
        <v>602</v>
      </c>
    </row>
    <row r="1537" spans="1:19" hidden="1" x14ac:dyDescent="0.25">
      <c r="A1537" t="s">
        <v>134</v>
      </c>
      <c r="B1537" t="s">
        <v>75</v>
      </c>
      <c r="C1537" t="s">
        <v>126</v>
      </c>
      <c r="D1537" t="s">
        <v>527</v>
      </c>
      <c r="E1537" t="s">
        <v>90</v>
      </c>
      <c r="F1537" t="s">
        <v>6</v>
      </c>
      <c r="G1537">
        <v>13</v>
      </c>
      <c r="H1537">
        <v>24</v>
      </c>
      <c r="I1537">
        <v>24</v>
      </c>
      <c r="J1537">
        <v>24</v>
      </c>
      <c r="K1537" s="6">
        <v>100</v>
      </c>
      <c r="L1537" s="6">
        <v>0</v>
      </c>
      <c r="M1537" s="6">
        <v>100</v>
      </c>
      <c r="N1537">
        <v>0</v>
      </c>
      <c r="O1537" s="6">
        <v>0</v>
      </c>
      <c r="P1537">
        <v>0</v>
      </c>
      <c r="Q1537" s="8">
        <v>140.41999999999999</v>
      </c>
      <c r="R1537" s="8">
        <v>140.41999999999999</v>
      </c>
      <c r="S1537" s="10" t="s">
        <v>602</v>
      </c>
    </row>
    <row r="1538" spans="1:19" hidden="1" x14ac:dyDescent="0.25">
      <c r="A1538" t="s">
        <v>134</v>
      </c>
      <c r="B1538" t="s">
        <v>75</v>
      </c>
      <c r="C1538" t="s">
        <v>126</v>
      </c>
      <c r="D1538" t="s">
        <v>530</v>
      </c>
      <c r="E1538" t="s">
        <v>90</v>
      </c>
      <c r="F1538" t="s">
        <v>90</v>
      </c>
      <c r="G1538">
        <v>0</v>
      </c>
      <c r="H1538">
        <v>21</v>
      </c>
      <c r="I1538">
        <v>21</v>
      </c>
      <c r="J1538">
        <v>21</v>
      </c>
      <c r="K1538" s="6">
        <v>100</v>
      </c>
      <c r="L1538" s="6">
        <v>0</v>
      </c>
      <c r="M1538" s="6">
        <v>100</v>
      </c>
      <c r="N1538">
        <v>0</v>
      </c>
      <c r="O1538" s="6">
        <v>0</v>
      </c>
      <c r="P1538">
        <v>0</v>
      </c>
      <c r="Q1538" s="8">
        <v>164.21</v>
      </c>
      <c r="R1538" s="8">
        <v>164.21</v>
      </c>
      <c r="S1538" s="9" t="s">
        <v>624</v>
      </c>
    </row>
    <row r="1539" spans="1:19" hidden="1" x14ac:dyDescent="0.25">
      <c r="A1539" t="s">
        <v>134</v>
      </c>
      <c r="B1539" t="s">
        <v>75</v>
      </c>
      <c r="C1539" t="s">
        <v>126</v>
      </c>
      <c r="D1539" t="s">
        <v>530</v>
      </c>
      <c r="E1539" t="s">
        <v>90</v>
      </c>
      <c r="F1539" t="s">
        <v>91</v>
      </c>
      <c r="G1539">
        <v>1</v>
      </c>
      <c r="H1539">
        <v>21</v>
      </c>
      <c r="I1539">
        <v>21</v>
      </c>
      <c r="J1539">
        <v>21</v>
      </c>
      <c r="K1539" s="6">
        <v>100</v>
      </c>
      <c r="L1539" s="6">
        <v>0</v>
      </c>
      <c r="M1539" s="6">
        <v>100</v>
      </c>
      <c r="N1539">
        <v>0</v>
      </c>
      <c r="O1539" s="6">
        <v>0</v>
      </c>
      <c r="P1539">
        <v>0</v>
      </c>
      <c r="Q1539" s="8">
        <v>164.21</v>
      </c>
      <c r="R1539" s="8">
        <v>164.21</v>
      </c>
      <c r="S1539" s="10" t="s">
        <v>625</v>
      </c>
    </row>
    <row r="1540" spans="1:19" hidden="1" x14ac:dyDescent="0.25">
      <c r="A1540" t="s">
        <v>134</v>
      </c>
      <c r="B1540" t="s">
        <v>75</v>
      </c>
      <c r="C1540" t="s">
        <v>126</v>
      </c>
      <c r="D1540" t="s">
        <v>530</v>
      </c>
      <c r="E1540" t="s">
        <v>90</v>
      </c>
      <c r="F1540" t="s">
        <v>94</v>
      </c>
      <c r="G1540">
        <v>2</v>
      </c>
      <c r="H1540">
        <v>21</v>
      </c>
      <c r="I1540">
        <v>21</v>
      </c>
      <c r="J1540">
        <v>21</v>
      </c>
      <c r="K1540" s="6">
        <v>99.88</v>
      </c>
      <c r="L1540" s="6">
        <v>0</v>
      </c>
      <c r="M1540" s="6">
        <v>99.88</v>
      </c>
      <c r="N1540">
        <v>0</v>
      </c>
      <c r="O1540" s="6">
        <v>0</v>
      </c>
      <c r="P1540">
        <v>0</v>
      </c>
      <c r="Q1540" s="8">
        <v>164.21</v>
      </c>
      <c r="R1540" s="8">
        <v>164.02</v>
      </c>
      <c r="S1540" s="10" t="s">
        <v>625</v>
      </c>
    </row>
    <row r="1541" spans="1:19" hidden="1" x14ac:dyDescent="0.25">
      <c r="A1541" t="s">
        <v>134</v>
      </c>
      <c r="B1541" t="s">
        <v>75</v>
      </c>
      <c r="C1541" t="s">
        <v>126</v>
      </c>
      <c r="D1541" t="s">
        <v>530</v>
      </c>
      <c r="E1541" t="s">
        <v>90</v>
      </c>
      <c r="F1541" t="s">
        <v>96</v>
      </c>
      <c r="G1541">
        <v>6</v>
      </c>
      <c r="H1541">
        <v>21</v>
      </c>
      <c r="I1541">
        <v>21</v>
      </c>
      <c r="J1541">
        <v>21</v>
      </c>
      <c r="K1541" s="6">
        <v>99.88</v>
      </c>
      <c r="L1541" s="6">
        <v>0</v>
      </c>
      <c r="M1541" s="6">
        <v>99.88</v>
      </c>
      <c r="N1541">
        <v>0</v>
      </c>
      <c r="O1541" s="6">
        <v>0</v>
      </c>
      <c r="P1541">
        <v>0</v>
      </c>
      <c r="Q1541" s="8">
        <v>164.21</v>
      </c>
      <c r="R1541" s="8">
        <v>164.02</v>
      </c>
      <c r="S1541" s="10" t="s">
        <v>625</v>
      </c>
    </row>
    <row r="1542" spans="1:19" hidden="1" x14ac:dyDescent="0.25">
      <c r="A1542" t="s">
        <v>134</v>
      </c>
      <c r="B1542" t="s">
        <v>75</v>
      </c>
      <c r="C1542" t="s">
        <v>126</v>
      </c>
      <c r="D1542" t="s">
        <v>530</v>
      </c>
      <c r="E1542" t="s">
        <v>90</v>
      </c>
      <c r="F1542" t="s">
        <v>6</v>
      </c>
      <c r="G1542">
        <v>13</v>
      </c>
      <c r="H1542">
        <v>21</v>
      </c>
      <c r="I1542">
        <v>21</v>
      </c>
      <c r="J1542">
        <v>21</v>
      </c>
      <c r="K1542" s="6">
        <v>99.88</v>
      </c>
      <c r="L1542" s="6">
        <v>0</v>
      </c>
      <c r="M1542" s="6">
        <v>99.88</v>
      </c>
      <c r="N1542">
        <v>0</v>
      </c>
      <c r="O1542" s="6">
        <v>0</v>
      </c>
      <c r="P1542">
        <v>0</v>
      </c>
      <c r="Q1542" s="8">
        <v>164.21</v>
      </c>
      <c r="R1542" s="8">
        <v>164.02</v>
      </c>
      <c r="S1542" s="10" t="s">
        <v>625</v>
      </c>
    </row>
    <row r="1543" spans="1:19" hidden="1" x14ac:dyDescent="0.25">
      <c r="A1543" t="s">
        <v>134</v>
      </c>
      <c r="B1543" t="s">
        <v>75</v>
      </c>
      <c r="C1543" t="s">
        <v>126</v>
      </c>
      <c r="D1543" t="s">
        <v>531</v>
      </c>
      <c r="E1543" t="s">
        <v>90</v>
      </c>
      <c r="F1543" t="s">
        <v>90</v>
      </c>
      <c r="G1543">
        <v>0</v>
      </c>
      <c r="H1543">
        <v>25</v>
      </c>
      <c r="I1543">
        <v>25</v>
      </c>
      <c r="J1543">
        <v>25</v>
      </c>
      <c r="K1543" s="6">
        <v>100</v>
      </c>
      <c r="L1543" s="6">
        <v>0</v>
      </c>
      <c r="M1543" s="6">
        <v>100</v>
      </c>
      <c r="N1543">
        <v>0</v>
      </c>
      <c r="O1543" s="6">
        <v>0</v>
      </c>
      <c r="P1543">
        <v>0</v>
      </c>
      <c r="Q1543" s="8">
        <v>176.2</v>
      </c>
      <c r="R1543" s="8">
        <v>176.2</v>
      </c>
      <c r="S1543" s="9" t="s">
        <v>599</v>
      </c>
    </row>
    <row r="1544" spans="1:19" hidden="1" x14ac:dyDescent="0.25">
      <c r="A1544" t="s">
        <v>134</v>
      </c>
      <c r="B1544" t="s">
        <v>75</v>
      </c>
      <c r="C1544" t="s">
        <v>126</v>
      </c>
      <c r="D1544" t="s">
        <v>531</v>
      </c>
      <c r="E1544" t="s">
        <v>90</v>
      </c>
      <c r="F1544" t="s">
        <v>91</v>
      </c>
      <c r="G1544">
        <v>1</v>
      </c>
      <c r="H1544">
        <v>25</v>
      </c>
      <c r="I1544">
        <v>25</v>
      </c>
      <c r="J1544">
        <v>25</v>
      </c>
      <c r="K1544" s="6">
        <v>100</v>
      </c>
      <c r="L1544" s="6">
        <v>0</v>
      </c>
      <c r="M1544" s="6">
        <v>100</v>
      </c>
      <c r="N1544">
        <v>0</v>
      </c>
      <c r="O1544" s="6">
        <v>0</v>
      </c>
      <c r="P1544">
        <v>0</v>
      </c>
      <c r="Q1544" s="8">
        <v>176.2</v>
      </c>
      <c r="R1544" s="8">
        <v>176.2</v>
      </c>
      <c r="S1544" s="10" t="s">
        <v>600</v>
      </c>
    </row>
    <row r="1545" spans="1:19" hidden="1" x14ac:dyDescent="0.25">
      <c r="A1545" t="s">
        <v>134</v>
      </c>
      <c r="B1545" t="s">
        <v>75</v>
      </c>
      <c r="C1545" t="s">
        <v>126</v>
      </c>
      <c r="D1545" t="s">
        <v>531</v>
      </c>
      <c r="E1545" t="s">
        <v>90</v>
      </c>
      <c r="F1545" t="s">
        <v>94</v>
      </c>
      <c r="G1545">
        <v>2</v>
      </c>
      <c r="H1545">
        <v>25</v>
      </c>
      <c r="I1545">
        <v>25</v>
      </c>
      <c r="J1545">
        <v>25</v>
      </c>
      <c r="K1545" s="6">
        <v>99.81</v>
      </c>
      <c r="L1545" s="6">
        <v>0</v>
      </c>
      <c r="M1545" s="6">
        <v>99.81</v>
      </c>
      <c r="N1545">
        <v>0</v>
      </c>
      <c r="O1545" s="6">
        <v>0</v>
      </c>
      <c r="P1545">
        <v>0</v>
      </c>
      <c r="Q1545" s="8">
        <v>176.2</v>
      </c>
      <c r="R1545" s="8">
        <v>175.86</v>
      </c>
      <c r="S1545" s="10" t="s">
        <v>600</v>
      </c>
    </row>
    <row r="1546" spans="1:19" hidden="1" x14ac:dyDescent="0.25">
      <c r="A1546" t="s">
        <v>134</v>
      </c>
      <c r="B1546" t="s">
        <v>75</v>
      </c>
      <c r="C1546" t="s">
        <v>126</v>
      </c>
      <c r="D1546" t="s">
        <v>531</v>
      </c>
      <c r="E1546" t="s">
        <v>90</v>
      </c>
      <c r="F1546" t="s">
        <v>96</v>
      </c>
      <c r="G1546">
        <v>6</v>
      </c>
      <c r="H1546">
        <v>25</v>
      </c>
      <c r="I1546">
        <v>25</v>
      </c>
      <c r="J1546">
        <v>25</v>
      </c>
      <c r="K1546" s="6">
        <v>99.9</v>
      </c>
      <c r="L1546" s="6">
        <v>0</v>
      </c>
      <c r="M1546" s="6">
        <v>99.9</v>
      </c>
      <c r="N1546">
        <v>0</v>
      </c>
      <c r="O1546" s="6">
        <v>0</v>
      </c>
      <c r="P1546">
        <v>0</v>
      </c>
      <c r="Q1546" s="8">
        <v>176.2</v>
      </c>
      <c r="R1546" s="8">
        <v>176.03</v>
      </c>
      <c r="S1546" s="10" t="s">
        <v>600</v>
      </c>
    </row>
    <row r="1547" spans="1:19" hidden="1" x14ac:dyDescent="0.25">
      <c r="A1547" t="s">
        <v>134</v>
      </c>
      <c r="B1547" t="s">
        <v>75</v>
      </c>
      <c r="C1547" t="s">
        <v>126</v>
      </c>
      <c r="D1547" t="s">
        <v>531</v>
      </c>
      <c r="E1547" t="s">
        <v>90</v>
      </c>
      <c r="F1547" t="s">
        <v>6</v>
      </c>
      <c r="G1547">
        <v>13</v>
      </c>
      <c r="H1547">
        <v>25</v>
      </c>
      <c r="I1547">
        <v>25</v>
      </c>
      <c r="J1547">
        <v>25</v>
      </c>
      <c r="K1547" s="6">
        <v>99.9</v>
      </c>
      <c r="L1547" s="6">
        <v>0</v>
      </c>
      <c r="M1547" s="6">
        <v>99.9</v>
      </c>
      <c r="N1547">
        <v>0</v>
      </c>
      <c r="O1547" s="6">
        <v>0</v>
      </c>
      <c r="P1547">
        <v>0</v>
      </c>
      <c r="Q1547" s="8">
        <v>176.2</v>
      </c>
      <c r="R1547" s="8">
        <v>176.03</v>
      </c>
      <c r="S1547" s="10" t="s">
        <v>600</v>
      </c>
    </row>
    <row r="1548" spans="1:19" hidden="1" x14ac:dyDescent="0.25">
      <c r="A1548" t="s">
        <v>134</v>
      </c>
      <c r="B1548" t="s">
        <v>75</v>
      </c>
      <c r="C1548" t="s">
        <v>126</v>
      </c>
      <c r="D1548" t="s">
        <v>532</v>
      </c>
      <c r="E1548" t="s">
        <v>90</v>
      </c>
      <c r="F1548" t="s">
        <v>90</v>
      </c>
      <c r="G1548">
        <v>0</v>
      </c>
      <c r="H1548">
        <v>24</v>
      </c>
      <c r="I1548">
        <v>24</v>
      </c>
      <c r="J1548">
        <v>24</v>
      </c>
      <c r="K1548" s="6">
        <v>100</v>
      </c>
      <c r="L1548" s="6">
        <v>0</v>
      </c>
      <c r="M1548" s="6">
        <v>100</v>
      </c>
      <c r="N1548">
        <v>0</v>
      </c>
      <c r="O1548" s="6">
        <v>0</v>
      </c>
      <c r="P1548">
        <v>0</v>
      </c>
      <c r="Q1548" s="8">
        <v>157.84</v>
      </c>
      <c r="R1548" s="8">
        <v>157.84</v>
      </c>
      <c r="S1548" s="9" t="s">
        <v>601</v>
      </c>
    </row>
    <row r="1549" spans="1:19" hidden="1" x14ac:dyDescent="0.25">
      <c r="A1549" t="s">
        <v>134</v>
      </c>
      <c r="B1549" t="s">
        <v>75</v>
      </c>
      <c r="C1549" t="s">
        <v>126</v>
      </c>
      <c r="D1549" t="s">
        <v>532</v>
      </c>
      <c r="E1549" t="s">
        <v>90</v>
      </c>
      <c r="F1549" t="s">
        <v>91</v>
      </c>
      <c r="G1549">
        <v>1</v>
      </c>
      <c r="H1549">
        <v>24</v>
      </c>
      <c r="I1549">
        <v>24</v>
      </c>
      <c r="J1549">
        <v>24</v>
      </c>
      <c r="K1549" s="6">
        <v>100</v>
      </c>
      <c r="L1549" s="6">
        <v>0</v>
      </c>
      <c r="M1549" s="6">
        <v>100</v>
      </c>
      <c r="N1549">
        <v>0</v>
      </c>
      <c r="O1549" s="6">
        <v>0</v>
      </c>
      <c r="P1549">
        <v>0</v>
      </c>
      <c r="Q1549" s="8">
        <v>157.84</v>
      </c>
      <c r="R1549" s="8">
        <v>157.84</v>
      </c>
      <c r="S1549" s="10" t="s">
        <v>602</v>
      </c>
    </row>
    <row r="1550" spans="1:19" hidden="1" x14ac:dyDescent="0.25">
      <c r="A1550" t="s">
        <v>134</v>
      </c>
      <c r="B1550" t="s">
        <v>75</v>
      </c>
      <c r="C1550" t="s">
        <v>126</v>
      </c>
      <c r="D1550" t="s">
        <v>532</v>
      </c>
      <c r="E1550" t="s">
        <v>90</v>
      </c>
      <c r="F1550" t="s">
        <v>94</v>
      </c>
      <c r="G1550">
        <v>2</v>
      </c>
      <c r="H1550">
        <v>24</v>
      </c>
      <c r="I1550">
        <v>24</v>
      </c>
      <c r="J1550">
        <v>24</v>
      </c>
      <c r="K1550" s="6">
        <v>99.47</v>
      </c>
      <c r="L1550" s="6">
        <v>0</v>
      </c>
      <c r="M1550" s="6">
        <v>99.47</v>
      </c>
      <c r="N1550">
        <v>0</v>
      </c>
      <c r="O1550" s="6">
        <v>0</v>
      </c>
      <c r="P1550">
        <v>0</v>
      </c>
      <c r="Q1550" s="8">
        <v>157.84</v>
      </c>
      <c r="R1550" s="8">
        <v>157.01</v>
      </c>
      <c r="S1550" s="10" t="s">
        <v>602</v>
      </c>
    </row>
    <row r="1551" spans="1:19" hidden="1" x14ac:dyDescent="0.25">
      <c r="A1551" t="s">
        <v>134</v>
      </c>
      <c r="B1551" t="s">
        <v>75</v>
      </c>
      <c r="C1551" t="s">
        <v>126</v>
      </c>
      <c r="D1551" t="s">
        <v>532</v>
      </c>
      <c r="E1551" t="s">
        <v>90</v>
      </c>
      <c r="F1551" t="s">
        <v>96</v>
      </c>
      <c r="G1551">
        <v>6</v>
      </c>
      <c r="H1551">
        <v>24</v>
      </c>
      <c r="I1551">
        <v>24</v>
      </c>
      <c r="J1551">
        <v>24</v>
      </c>
      <c r="K1551" s="6">
        <v>99.47</v>
      </c>
      <c r="L1551" s="6">
        <v>0</v>
      </c>
      <c r="M1551" s="6">
        <v>99.47</v>
      </c>
      <c r="N1551">
        <v>0</v>
      </c>
      <c r="O1551" s="6">
        <v>0</v>
      </c>
      <c r="P1551">
        <v>0</v>
      </c>
      <c r="Q1551" s="8">
        <v>157.84</v>
      </c>
      <c r="R1551" s="8">
        <v>157.01</v>
      </c>
      <c r="S1551" s="10" t="s">
        <v>602</v>
      </c>
    </row>
    <row r="1552" spans="1:19" hidden="1" x14ac:dyDescent="0.25">
      <c r="A1552" t="s">
        <v>134</v>
      </c>
      <c r="B1552" t="s">
        <v>75</v>
      </c>
      <c r="C1552" t="s">
        <v>126</v>
      </c>
      <c r="D1552" t="s">
        <v>532</v>
      </c>
      <c r="E1552" t="s">
        <v>90</v>
      </c>
      <c r="F1552" t="s">
        <v>6</v>
      </c>
      <c r="G1552">
        <v>13</v>
      </c>
      <c r="H1552">
        <v>24</v>
      </c>
      <c r="I1552">
        <v>24</v>
      </c>
      <c r="J1552">
        <v>24</v>
      </c>
      <c r="K1552" s="6">
        <v>99.47</v>
      </c>
      <c r="L1552" s="6">
        <v>0</v>
      </c>
      <c r="M1552" s="6">
        <v>99.47</v>
      </c>
      <c r="N1552">
        <v>0</v>
      </c>
      <c r="O1552" s="6">
        <v>0</v>
      </c>
      <c r="P1552">
        <v>0</v>
      </c>
      <c r="Q1552" s="8">
        <v>157.84</v>
      </c>
      <c r="R1552" s="8">
        <v>157.01</v>
      </c>
      <c r="S1552" s="10" t="s">
        <v>602</v>
      </c>
    </row>
    <row r="1553" spans="1:19" hidden="1" x14ac:dyDescent="0.25">
      <c r="A1553" t="s">
        <v>134</v>
      </c>
      <c r="B1553" t="s">
        <v>75</v>
      </c>
      <c r="C1553" t="s">
        <v>126</v>
      </c>
      <c r="D1553" t="s">
        <v>533</v>
      </c>
      <c r="E1553" t="s">
        <v>94</v>
      </c>
      <c r="F1553" t="s">
        <v>94</v>
      </c>
      <c r="G1553">
        <v>0</v>
      </c>
      <c r="H1553">
        <v>23</v>
      </c>
      <c r="I1553">
        <v>23</v>
      </c>
      <c r="J1553">
        <v>23</v>
      </c>
      <c r="K1553" s="6">
        <v>100</v>
      </c>
      <c r="L1553" s="6">
        <v>0</v>
      </c>
      <c r="M1553" s="6">
        <v>100</v>
      </c>
      <c r="N1553">
        <v>0</v>
      </c>
      <c r="O1553" s="6">
        <v>0</v>
      </c>
      <c r="P1553">
        <v>0</v>
      </c>
      <c r="Q1553" s="8">
        <v>136.47999999999999</v>
      </c>
      <c r="R1553" s="8">
        <v>136.47999999999999</v>
      </c>
      <c r="S1553" s="9" t="s">
        <v>621</v>
      </c>
    </row>
    <row r="1554" spans="1:19" hidden="1" x14ac:dyDescent="0.25">
      <c r="A1554" t="s">
        <v>134</v>
      </c>
      <c r="B1554" t="s">
        <v>75</v>
      </c>
      <c r="C1554" t="s">
        <v>126</v>
      </c>
      <c r="D1554" t="s">
        <v>533</v>
      </c>
      <c r="E1554" t="s">
        <v>94</v>
      </c>
      <c r="F1554" t="s">
        <v>96</v>
      </c>
      <c r="G1554">
        <v>4</v>
      </c>
      <c r="H1554">
        <v>23</v>
      </c>
      <c r="I1554">
        <v>23</v>
      </c>
      <c r="J1554">
        <v>23</v>
      </c>
      <c r="K1554" s="6">
        <v>100</v>
      </c>
      <c r="L1554" s="6">
        <v>0</v>
      </c>
      <c r="M1554" s="6">
        <v>100</v>
      </c>
      <c r="N1554">
        <v>0</v>
      </c>
      <c r="O1554" s="6">
        <v>0</v>
      </c>
      <c r="P1554">
        <v>0</v>
      </c>
      <c r="Q1554" s="8">
        <v>136.47999999999999</v>
      </c>
      <c r="R1554" s="8">
        <v>136.47999999999999</v>
      </c>
      <c r="S1554" s="10" t="s">
        <v>132</v>
      </c>
    </row>
    <row r="1555" spans="1:19" hidden="1" x14ac:dyDescent="0.25">
      <c r="A1555" t="s">
        <v>134</v>
      </c>
      <c r="B1555" t="s">
        <v>75</v>
      </c>
      <c r="C1555" t="s">
        <v>126</v>
      </c>
      <c r="D1555" t="s">
        <v>533</v>
      </c>
      <c r="E1555" t="s">
        <v>94</v>
      </c>
      <c r="F1555" t="s">
        <v>6</v>
      </c>
      <c r="G1555">
        <v>11</v>
      </c>
      <c r="H1555">
        <v>23</v>
      </c>
      <c r="I1555">
        <v>23</v>
      </c>
      <c r="J1555">
        <v>23</v>
      </c>
      <c r="K1555" s="6">
        <v>100</v>
      </c>
      <c r="L1555" s="6">
        <v>0</v>
      </c>
      <c r="M1555" s="6">
        <v>100</v>
      </c>
      <c r="N1555">
        <v>0</v>
      </c>
      <c r="O1555" s="6">
        <v>0</v>
      </c>
      <c r="P1555">
        <v>0</v>
      </c>
      <c r="Q1555" s="8">
        <v>136.47999999999999</v>
      </c>
      <c r="R1555" s="8">
        <v>136.47999999999999</v>
      </c>
      <c r="S1555" s="10" t="s">
        <v>132</v>
      </c>
    </row>
    <row r="1556" spans="1:19" hidden="1" x14ac:dyDescent="0.25">
      <c r="A1556" t="s">
        <v>134</v>
      </c>
      <c r="B1556" t="s">
        <v>75</v>
      </c>
      <c r="C1556" t="s">
        <v>126</v>
      </c>
      <c r="D1556" t="s">
        <v>545</v>
      </c>
      <c r="E1556" t="s">
        <v>94</v>
      </c>
      <c r="F1556" t="s">
        <v>94</v>
      </c>
      <c r="G1556">
        <v>0</v>
      </c>
      <c r="H1556">
        <v>31</v>
      </c>
      <c r="I1556">
        <v>31</v>
      </c>
      <c r="J1556">
        <v>31</v>
      </c>
      <c r="K1556" s="6">
        <v>100</v>
      </c>
      <c r="L1556" s="6">
        <v>0</v>
      </c>
      <c r="M1556" s="6">
        <v>100</v>
      </c>
      <c r="N1556">
        <v>0</v>
      </c>
      <c r="O1556" s="6">
        <v>0</v>
      </c>
      <c r="P1556">
        <v>0</v>
      </c>
      <c r="Q1556" s="8">
        <v>132.59</v>
      </c>
      <c r="R1556" s="8">
        <v>132.59</v>
      </c>
      <c r="S1556" s="9" t="s">
        <v>562</v>
      </c>
    </row>
    <row r="1557" spans="1:19" hidden="1" x14ac:dyDescent="0.25">
      <c r="A1557" t="s">
        <v>134</v>
      </c>
      <c r="B1557" t="s">
        <v>75</v>
      </c>
      <c r="C1557" t="s">
        <v>126</v>
      </c>
      <c r="D1557" t="s">
        <v>545</v>
      </c>
      <c r="E1557" t="s">
        <v>94</v>
      </c>
      <c r="F1557" t="s">
        <v>96</v>
      </c>
      <c r="G1557">
        <v>4</v>
      </c>
      <c r="H1557">
        <v>31</v>
      </c>
      <c r="I1557">
        <v>31</v>
      </c>
      <c r="J1557">
        <v>31</v>
      </c>
      <c r="K1557" s="6">
        <v>100</v>
      </c>
      <c r="L1557" s="6">
        <v>0</v>
      </c>
      <c r="M1557" s="6">
        <v>100</v>
      </c>
      <c r="N1557">
        <v>0</v>
      </c>
      <c r="O1557" s="6">
        <v>0</v>
      </c>
      <c r="P1557">
        <v>0</v>
      </c>
      <c r="Q1557" s="8">
        <v>132.59</v>
      </c>
      <c r="R1557" s="8">
        <v>132.59</v>
      </c>
      <c r="S1557" t="s">
        <v>32</v>
      </c>
    </row>
    <row r="1558" spans="1:19" hidden="1" x14ac:dyDescent="0.25">
      <c r="A1558" t="s">
        <v>134</v>
      </c>
      <c r="B1558" t="s">
        <v>75</v>
      </c>
      <c r="C1558" t="s">
        <v>126</v>
      </c>
      <c r="D1558" t="s">
        <v>545</v>
      </c>
      <c r="E1558" t="s">
        <v>94</v>
      </c>
      <c r="F1558" t="s">
        <v>6</v>
      </c>
      <c r="G1558">
        <v>11</v>
      </c>
      <c r="H1558">
        <v>31</v>
      </c>
      <c r="I1558">
        <v>31</v>
      </c>
      <c r="J1558">
        <v>31</v>
      </c>
      <c r="K1558" s="6">
        <v>100</v>
      </c>
      <c r="L1558" s="6">
        <v>0</v>
      </c>
      <c r="M1558" s="6">
        <v>100</v>
      </c>
      <c r="N1558">
        <v>0</v>
      </c>
      <c r="O1558" s="6">
        <v>0</v>
      </c>
      <c r="P1558">
        <v>0</v>
      </c>
      <c r="Q1558" s="8">
        <v>132.59</v>
      </c>
      <c r="R1558" s="8">
        <v>132.59</v>
      </c>
      <c r="S1558" t="s">
        <v>32</v>
      </c>
    </row>
    <row r="1559" spans="1:19" hidden="1" x14ac:dyDescent="0.25">
      <c r="A1559" t="s">
        <v>134</v>
      </c>
      <c r="B1559" t="s">
        <v>75</v>
      </c>
      <c r="C1559" t="s">
        <v>126</v>
      </c>
      <c r="D1559" t="s">
        <v>570</v>
      </c>
      <c r="E1559" t="s">
        <v>94</v>
      </c>
      <c r="F1559" t="s">
        <v>94</v>
      </c>
      <c r="G1559">
        <v>0</v>
      </c>
      <c r="H1559">
        <v>49</v>
      </c>
      <c r="I1559">
        <v>49</v>
      </c>
      <c r="J1559">
        <v>49</v>
      </c>
      <c r="K1559" s="6">
        <v>100</v>
      </c>
      <c r="L1559" s="6">
        <v>0</v>
      </c>
      <c r="M1559" s="6">
        <v>100</v>
      </c>
      <c r="N1559">
        <v>0</v>
      </c>
      <c r="O1559" s="6">
        <v>0</v>
      </c>
      <c r="P1559">
        <v>0</v>
      </c>
      <c r="Q1559" s="8">
        <v>134.97</v>
      </c>
      <c r="R1559" s="8">
        <v>134.97</v>
      </c>
      <c r="S1559" s="9" t="s">
        <v>639</v>
      </c>
    </row>
    <row r="1560" spans="1:19" hidden="1" x14ac:dyDescent="0.25">
      <c r="A1560" t="s">
        <v>134</v>
      </c>
      <c r="B1560" t="s">
        <v>75</v>
      </c>
      <c r="C1560" t="s">
        <v>126</v>
      </c>
      <c r="D1560" t="s">
        <v>570</v>
      </c>
      <c r="E1560" t="s">
        <v>94</v>
      </c>
      <c r="F1560" t="s">
        <v>96</v>
      </c>
      <c r="G1560">
        <v>4</v>
      </c>
      <c r="H1560">
        <v>49</v>
      </c>
      <c r="I1560">
        <v>49</v>
      </c>
      <c r="J1560">
        <v>49</v>
      </c>
      <c r="K1560" s="6">
        <v>100.02</v>
      </c>
      <c r="L1560" s="6">
        <v>0</v>
      </c>
      <c r="M1560" s="6">
        <v>100.02</v>
      </c>
      <c r="N1560">
        <v>0</v>
      </c>
      <c r="O1560" s="6">
        <v>0</v>
      </c>
      <c r="P1560">
        <v>0</v>
      </c>
      <c r="Q1560" s="8">
        <v>134.97</v>
      </c>
      <c r="R1560" s="8">
        <v>135</v>
      </c>
      <c r="S1560" t="s">
        <v>32</v>
      </c>
    </row>
    <row r="1561" spans="1:19" hidden="1" x14ac:dyDescent="0.25">
      <c r="A1561" t="s">
        <v>134</v>
      </c>
      <c r="B1561" t="s">
        <v>75</v>
      </c>
      <c r="C1561" t="s">
        <v>126</v>
      </c>
      <c r="D1561" t="s">
        <v>570</v>
      </c>
      <c r="E1561" t="s">
        <v>94</v>
      </c>
      <c r="F1561" t="s">
        <v>6</v>
      </c>
      <c r="G1561">
        <v>11</v>
      </c>
      <c r="H1561">
        <v>49</v>
      </c>
      <c r="I1561">
        <v>49</v>
      </c>
      <c r="J1561">
        <v>49</v>
      </c>
      <c r="K1561" s="6">
        <v>99.92</v>
      </c>
      <c r="L1561" s="6">
        <v>0</v>
      </c>
      <c r="M1561" s="6">
        <v>99.92</v>
      </c>
      <c r="N1561">
        <v>0</v>
      </c>
      <c r="O1561" s="6">
        <v>0</v>
      </c>
      <c r="P1561">
        <v>0</v>
      </c>
      <c r="Q1561" s="8">
        <v>134.97</v>
      </c>
      <c r="R1561" s="8">
        <v>134.86000000000001</v>
      </c>
      <c r="S1561" t="s">
        <v>32</v>
      </c>
    </row>
    <row r="1562" spans="1:19" hidden="1" x14ac:dyDescent="0.25">
      <c r="A1562" t="s">
        <v>134</v>
      </c>
      <c r="B1562" t="s">
        <v>75</v>
      </c>
      <c r="C1562" t="s">
        <v>126</v>
      </c>
      <c r="D1562" t="s">
        <v>572</v>
      </c>
      <c r="E1562" t="s">
        <v>94</v>
      </c>
      <c r="F1562" t="s">
        <v>94</v>
      </c>
      <c r="G1562">
        <v>0</v>
      </c>
      <c r="H1562">
        <v>56</v>
      </c>
      <c r="I1562">
        <v>56</v>
      </c>
      <c r="J1562">
        <v>56</v>
      </c>
      <c r="K1562" s="6">
        <v>100</v>
      </c>
      <c r="L1562" s="6">
        <v>0</v>
      </c>
      <c r="M1562" s="6">
        <v>100</v>
      </c>
      <c r="N1562">
        <v>0</v>
      </c>
      <c r="O1562" s="6">
        <v>0</v>
      </c>
      <c r="P1562">
        <v>0</v>
      </c>
      <c r="Q1562" s="8">
        <v>171.73</v>
      </c>
      <c r="R1562" s="8">
        <v>171.73</v>
      </c>
      <c r="S1562" s="9" t="s">
        <v>644</v>
      </c>
    </row>
    <row r="1563" spans="1:19" hidden="1" x14ac:dyDescent="0.25">
      <c r="A1563" t="s">
        <v>134</v>
      </c>
      <c r="B1563" t="s">
        <v>75</v>
      </c>
      <c r="C1563" t="s">
        <v>126</v>
      </c>
      <c r="D1563" t="s">
        <v>572</v>
      </c>
      <c r="E1563" t="s">
        <v>94</v>
      </c>
      <c r="F1563" t="s">
        <v>96</v>
      </c>
      <c r="G1563">
        <v>4</v>
      </c>
      <c r="H1563">
        <v>56</v>
      </c>
      <c r="I1563">
        <v>56</v>
      </c>
      <c r="J1563">
        <v>56</v>
      </c>
      <c r="K1563" s="6">
        <v>99.85</v>
      </c>
      <c r="L1563" s="6">
        <v>0</v>
      </c>
      <c r="M1563" s="6">
        <v>99.85</v>
      </c>
      <c r="N1563">
        <v>0</v>
      </c>
      <c r="O1563" s="6">
        <v>0</v>
      </c>
      <c r="P1563">
        <v>0</v>
      </c>
      <c r="Q1563" s="8">
        <v>171.73</v>
      </c>
      <c r="R1563" s="8">
        <v>171.48</v>
      </c>
      <c r="S1563" t="s">
        <v>32</v>
      </c>
    </row>
    <row r="1564" spans="1:19" hidden="1" x14ac:dyDescent="0.25">
      <c r="A1564" t="s">
        <v>134</v>
      </c>
      <c r="B1564" t="s">
        <v>75</v>
      </c>
      <c r="C1564" t="s">
        <v>126</v>
      </c>
      <c r="D1564" t="s">
        <v>572</v>
      </c>
      <c r="E1564" t="s">
        <v>94</v>
      </c>
      <c r="F1564" t="s">
        <v>6</v>
      </c>
      <c r="G1564">
        <v>11</v>
      </c>
      <c r="H1564">
        <v>56</v>
      </c>
      <c r="I1564">
        <v>56</v>
      </c>
      <c r="J1564">
        <v>56</v>
      </c>
      <c r="K1564" s="6">
        <v>99.93</v>
      </c>
      <c r="L1564" s="6">
        <v>0</v>
      </c>
      <c r="M1564" s="6">
        <v>99.93</v>
      </c>
      <c r="N1564">
        <v>0</v>
      </c>
      <c r="O1564" s="6">
        <v>0</v>
      </c>
      <c r="P1564">
        <v>0</v>
      </c>
      <c r="Q1564" s="8">
        <v>171.73</v>
      </c>
      <c r="R1564" s="8">
        <v>171.61</v>
      </c>
      <c r="S1564" t="s">
        <v>32</v>
      </c>
    </row>
    <row r="1565" spans="1:19" hidden="1" x14ac:dyDescent="0.25">
      <c r="A1565" t="s">
        <v>134</v>
      </c>
      <c r="B1565" t="s">
        <v>75</v>
      </c>
      <c r="C1565" t="s">
        <v>126</v>
      </c>
      <c r="D1565" t="s">
        <v>574</v>
      </c>
      <c r="E1565" t="s">
        <v>94</v>
      </c>
      <c r="F1565" t="s">
        <v>94</v>
      </c>
      <c r="G1565">
        <v>0</v>
      </c>
      <c r="H1565">
        <v>63</v>
      </c>
      <c r="I1565">
        <v>63</v>
      </c>
      <c r="J1565">
        <v>63</v>
      </c>
      <c r="K1565" s="6">
        <v>100</v>
      </c>
      <c r="L1565" s="6">
        <v>0</v>
      </c>
      <c r="M1565" s="6">
        <v>100</v>
      </c>
      <c r="N1565">
        <v>0</v>
      </c>
      <c r="O1565" s="6">
        <v>0</v>
      </c>
      <c r="P1565">
        <v>0</v>
      </c>
      <c r="Q1565" s="8">
        <v>129.05000000000001</v>
      </c>
      <c r="R1565" s="8">
        <v>129.05000000000001</v>
      </c>
      <c r="S1565" s="9" t="s">
        <v>645</v>
      </c>
    </row>
    <row r="1566" spans="1:19" hidden="1" x14ac:dyDescent="0.25">
      <c r="A1566" t="s">
        <v>134</v>
      </c>
      <c r="B1566" t="s">
        <v>75</v>
      </c>
      <c r="C1566" t="s">
        <v>126</v>
      </c>
      <c r="D1566" t="s">
        <v>574</v>
      </c>
      <c r="E1566" t="s">
        <v>94</v>
      </c>
      <c r="F1566" t="s">
        <v>96</v>
      </c>
      <c r="G1566">
        <v>4</v>
      </c>
      <c r="H1566">
        <v>63</v>
      </c>
      <c r="I1566">
        <v>63</v>
      </c>
      <c r="J1566">
        <v>63</v>
      </c>
      <c r="K1566" s="6">
        <v>99.98</v>
      </c>
      <c r="L1566" s="6">
        <v>0</v>
      </c>
      <c r="M1566" s="6">
        <v>99.98</v>
      </c>
      <c r="N1566">
        <v>0</v>
      </c>
      <c r="O1566" s="6">
        <v>0</v>
      </c>
      <c r="P1566">
        <v>0</v>
      </c>
      <c r="Q1566" s="8">
        <v>129.05000000000001</v>
      </c>
      <c r="R1566" s="8">
        <v>129.02000000000001</v>
      </c>
      <c r="S1566" t="s">
        <v>32</v>
      </c>
    </row>
    <row r="1567" spans="1:19" hidden="1" x14ac:dyDescent="0.25">
      <c r="A1567" t="s">
        <v>134</v>
      </c>
      <c r="B1567" t="s">
        <v>75</v>
      </c>
      <c r="C1567" t="s">
        <v>126</v>
      </c>
      <c r="D1567" t="s">
        <v>574</v>
      </c>
      <c r="E1567" t="s">
        <v>94</v>
      </c>
      <c r="F1567" t="s">
        <v>6</v>
      </c>
      <c r="G1567">
        <v>11</v>
      </c>
      <c r="H1567">
        <v>63</v>
      </c>
      <c r="I1567">
        <v>63</v>
      </c>
      <c r="J1567">
        <v>63</v>
      </c>
      <c r="K1567" s="6">
        <v>99.83</v>
      </c>
      <c r="L1567" s="6">
        <v>0</v>
      </c>
      <c r="M1567" s="6">
        <v>99.83</v>
      </c>
      <c r="N1567">
        <v>0</v>
      </c>
      <c r="O1567" s="6">
        <v>0</v>
      </c>
      <c r="P1567">
        <v>0</v>
      </c>
      <c r="Q1567" s="8">
        <v>129.05000000000001</v>
      </c>
      <c r="R1567" s="8">
        <v>128.83000000000001</v>
      </c>
      <c r="S1567" t="s">
        <v>32</v>
      </c>
    </row>
    <row r="1568" spans="1:19" hidden="1" x14ac:dyDescent="0.25">
      <c r="A1568" t="s">
        <v>134</v>
      </c>
      <c r="B1568" t="s">
        <v>75</v>
      </c>
      <c r="C1568" t="s">
        <v>126</v>
      </c>
      <c r="D1568" t="s">
        <v>576</v>
      </c>
      <c r="E1568" t="s">
        <v>94</v>
      </c>
      <c r="F1568" t="s">
        <v>94</v>
      </c>
      <c r="G1568">
        <v>0</v>
      </c>
      <c r="H1568">
        <v>57</v>
      </c>
      <c r="I1568">
        <v>57</v>
      </c>
      <c r="J1568">
        <v>57</v>
      </c>
      <c r="K1568" s="6">
        <v>100</v>
      </c>
      <c r="L1568" s="6">
        <v>0</v>
      </c>
      <c r="M1568" s="6">
        <v>100</v>
      </c>
      <c r="N1568">
        <v>0</v>
      </c>
      <c r="O1568" s="6">
        <v>0</v>
      </c>
      <c r="P1568">
        <v>0</v>
      </c>
      <c r="Q1568" s="8">
        <v>136.51</v>
      </c>
      <c r="R1568" s="8">
        <v>136.51</v>
      </c>
      <c r="S1568" s="9" t="s">
        <v>646</v>
      </c>
    </row>
    <row r="1569" spans="1:19" hidden="1" x14ac:dyDescent="0.25">
      <c r="A1569" t="s">
        <v>134</v>
      </c>
      <c r="B1569" t="s">
        <v>75</v>
      </c>
      <c r="C1569" t="s">
        <v>126</v>
      </c>
      <c r="D1569" t="s">
        <v>576</v>
      </c>
      <c r="E1569" t="s">
        <v>94</v>
      </c>
      <c r="F1569" t="s">
        <v>96</v>
      </c>
      <c r="G1569">
        <v>4</v>
      </c>
      <c r="H1569">
        <v>57</v>
      </c>
      <c r="I1569">
        <v>57</v>
      </c>
      <c r="J1569">
        <v>57</v>
      </c>
      <c r="K1569" s="6">
        <v>100</v>
      </c>
      <c r="L1569" s="6">
        <v>0</v>
      </c>
      <c r="M1569" s="6">
        <v>100</v>
      </c>
      <c r="N1569">
        <v>0</v>
      </c>
      <c r="O1569" s="6">
        <v>0</v>
      </c>
      <c r="P1569">
        <v>0</v>
      </c>
      <c r="Q1569" s="8">
        <v>136.51</v>
      </c>
      <c r="R1569" s="8">
        <v>136.51</v>
      </c>
      <c r="S1569" t="s">
        <v>32</v>
      </c>
    </row>
    <row r="1570" spans="1:19" hidden="1" x14ac:dyDescent="0.25">
      <c r="A1570" t="s">
        <v>134</v>
      </c>
      <c r="B1570" t="s">
        <v>75</v>
      </c>
      <c r="C1570" t="s">
        <v>126</v>
      </c>
      <c r="D1570" t="s">
        <v>576</v>
      </c>
      <c r="E1570" t="s">
        <v>94</v>
      </c>
      <c r="F1570" t="s">
        <v>6</v>
      </c>
      <c r="G1570">
        <v>11</v>
      </c>
      <c r="H1570">
        <v>57</v>
      </c>
      <c r="I1570">
        <v>57</v>
      </c>
      <c r="J1570">
        <v>57</v>
      </c>
      <c r="K1570" s="6">
        <v>99.93</v>
      </c>
      <c r="L1570" s="6">
        <v>0</v>
      </c>
      <c r="M1570" s="6">
        <v>99.93</v>
      </c>
      <c r="N1570">
        <v>0</v>
      </c>
      <c r="O1570" s="6">
        <v>0</v>
      </c>
      <c r="P1570">
        <v>0</v>
      </c>
      <c r="Q1570" s="8">
        <v>136.51</v>
      </c>
      <c r="R1570" s="8">
        <v>136.41</v>
      </c>
      <c r="S1570" t="s">
        <v>32</v>
      </c>
    </row>
    <row r="1571" spans="1:19" hidden="1" x14ac:dyDescent="0.25">
      <c r="A1571" t="s">
        <v>134</v>
      </c>
      <c r="B1571" t="s">
        <v>75</v>
      </c>
      <c r="C1571" t="s">
        <v>126</v>
      </c>
      <c r="D1571" t="s">
        <v>578</v>
      </c>
      <c r="E1571" t="s">
        <v>94</v>
      </c>
      <c r="F1571" t="s">
        <v>94</v>
      </c>
      <c r="G1571">
        <v>0</v>
      </c>
      <c r="H1571">
        <v>61</v>
      </c>
      <c r="I1571">
        <v>61</v>
      </c>
      <c r="J1571">
        <v>61</v>
      </c>
      <c r="K1571" s="6">
        <v>100</v>
      </c>
      <c r="L1571" s="6">
        <v>0</v>
      </c>
      <c r="M1571" s="6">
        <v>100</v>
      </c>
      <c r="N1571">
        <v>0</v>
      </c>
      <c r="O1571" s="6">
        <v>0</v>
      </c>
      <c r="P1571">
        <v>0</v>
      </c>
      <c r="Q1571" s="8">
        <v>145.99</v>
      </c>
      <c r="R1571" s="8">
        <v>145.99</v>
      </c>
      <c r="S1571" s="9" t="s">
        <v>643</v>
      </c>
    </row>
    <row r="1572" spans="1:19" hidden="1" x14ac:dyDescent="0.25">
      <c r="A1572" t="s">
        <v>134</v>
      </c>
      <c r="B1572" t="s">
        <v>75</v>
      </c>
      <c r="C1572" t="s">
        <v>126</v>
      </c>
      <c r="D1572" t="s">
        <v>578</v>
      </c>
      <c r="E1572" t="s">
        <v>94</v>
      </c>
      <c r="F1572" t="s">
        <v>96</v>
      </c>
      <c r="G1572">
        <v>4</v>
      </c>
      <c r="H1572">
        <v>61</v>
      </c>
      <c r="I1572">
        <v>61</v>
      </c>
      <c r="J1572">
        <v>61</v>
      </c>
      <c r="K1572" s="6">
        <v>100</v>
      </c>
      <c r="L1572" s="6">
        <v>0</v>
      </c>
      <c r="M1572" s="6">
        <v>100</v>
      </c>
      <c r="N1572">
        <v>0</v>
      </c>
      <c r="O1572" s="6">
        <v>0</v>
      </c>
      <c r="P1572">
        <v>0</v>
      </c>
      <c r="Q1572" s="8">
        <v>145.99</v>
      </c>
      <c r="R1572" s="8">
        <v>145.99</v>
      </c>
      <c r="S1572" t="s">
        <v>32</v>
      </c>
    </row>
    <row r="1573" spans="1:19" hidden="1" x14ac:dyDescent="0.25">
      <c r="A1573" t="s">
        <v>134</v>
      </c>
      <c r="B1573" t="s">
        <v>75</v>
      </c>
      <c r="C1573" t="s">
        <v>126</v>
      </c>
      <c r="D1573" t="s">
        <v>578</v>
      </c>
      <c r="E1573" t="s">
        <v>94</v>
      </c>
      <c r="F1573" t="s">
        <v>6</v>
      </c>
      <c r="G1573">
        <v>11</v>
      </c>
      <c r="H1573">
        <v>61</v>
      </c>
      <c r="I1573">
        <v>61</v>
      </c>
      <c r="J1573">
        <v>61</v>
      </c>
      <c r="K1573" s="6">
        <v>99.81</v>
      </c>
      <c r="L1573" s="6">
        <v>0</v>
      </c>
      <c r="M1573" s="6">
        <v>99.81</v>
      </c>
      <c r="N1573">
        <v>0</v>
      </c>
      <c r="O1573" s="6">
        <v>0</v>
      </c>
      <c r="P1573">
        <v>0</v>
      </c>
      <c r="Q1573" s="8">
        <v>145.99</v>
      </c>
      <c r="R1573" s="8">
        <v>145.71</v>
      </c>
      <c r="S1573" t="s">
        <v>32</v>
      </c>
    </row>
    <row r="1574" spans="1:19" hidden="1" x14ac:dyDescent="0.25">
      <c r="A1574" t="s">
        <v>134</v>
      </c>
      <c r="B1574" t="s">
        <v>75</v>
      </c>
      <c r="C1574" t="s">
        <v>126</v>
      </c>
      <c r="D1574" t="s">
        <v>580</v>
      </c>
      <c r="E1574" t="s">
        <v>94</v>
      </c>
      <c r="F1574" t="s">
        <v>94</v>
      </c>
      <c r="G1574">
        <v>0</v>
      </c>
      <c r="H1574">
        <v>38</v>
      </c>
      <c r="I1574">
        <v>38</v>
      </c>
      <c r="J1574">
        <v>38</v>
      </c>
      <c r="K1574" s="6">
        <v>100</v>
      </c>
      <c r="L1574" s="6">
        <v>0</v>
      </c>
      <c r="M1574" s="6">
        <v>100</v>
      </c>
      <c r="N1574">
        <v>0</v>
      </c>
      <c r="O1574" s="6">
        <v>0</v>
      </c>
      <c r="P1574">
        <v>0</v>
      </c>
      <c r="Q1574" s="8">
        <v>145.75</v>
      </c>
      <c r="R1574" s="8">
        <v>145.75</v>
      </c>
      <c r="S1574" s="9" t="s">
        <v>610</v>
      </c>
    </row>
    <row r="1575" spans="1:19" hidden="1" x14ac:dyDescent="0.25">
      <c r="A1575" t="s">
        <v>134</v>
      </c>
      <c r="B1575" t="s">
        <v>75</v>
      </c>
      <c r="C1575" t="s">
        <v>126</v>
      </c>
      <c r="D1575" t="s">
        <v>580</v>
      </c>
      <c r="E1575" t="s">
        <v>94</v>
      </c>
      <c r="F1575" t="s">
        <v>96</v>
      </c>
      <c r="G1575">
        <v>4</v>
      </c>
      <c r="H1575">
        <v>38</v>
      </c>
      <c r="I1575">
        <v>38</v>
      </c>
      <c r="J1575">
        <v>38</v>
      </c>
      <c r="K1575" s="6">
        <v>100</v>
      </c>
      <c r="L1575" s="6">
        <v>0</v>
      </c>
      <c r="M1575" s="6">
        <v>100</v>
      </c>
      <c r="N1575">
        <v>0</v>
      </c>
      <c r="O1575" s="6">
        <v>0</v>
      </c>
      <c r="P1575">
        <v>0</v>
      </c>
      <c r="Q1575" s="8">
        <v>145.75</v>
      </c>
      <c r="R1575" s="8">
        <v>145.75</v>
      </c>
      <c r="S1575" t="s">
        <v>32</v>
      </c>
    </row>
    <row r="1576" spans="1:19" hidden="1" x14ac:dyDescent="0.25">
      <c r="A1576" t="s">
        <v>134</v>
      </c>
      <c r="B1576" t="s">
        <v>75</v>
      </c>
      <c r="C1576" t="s">
        <v>126</v>
      </c>
      <c r="D1576" t="s">
        <v>580</v>
      </c>
      <c r="E1576" t="s">
        <v>94</v>
      </c>
      <c r="F1576" t="s">
        <v>6</v>
      </c>
      <c r="G1576">
        <v>11</v>
      </c>
      <c r="H1576">
        <v>38</v>
      </c>
      <c r="I1576">
        <v>38</v>
      </c>
      <c r="J1576">
        <v>38</v>
      </c>
      <c r="K1576" s="6">
        <v>100</v>
      </c>
      <c r="L1576" s="6">
        <v>0</v>
      </c>
      <c r="M1576" s="6">
        <v>100</v>
      </c>
      <c r="N1576">
        <v>0</v>
      </c>
      <c r="O1576" s="6">
        <v>0</v>
      </c>
      <c r="P1576">
        <v>0</v>
      </c>
      <c r="Q1576" s="8">
        <v>145.75</v>
      </c>
      <c r="R1576" s="8">
        <v>145.75</v>
      </c>
      <c r="S1576" t="s">
        <v>32</v>
      </c>
    </row>
    <row r="1577" spans="1:19" hidden="1" x14ac:dyDescent="0.25">
      <c r="A1577" t="s">
        <v>134</v>
      </c>
      <c r="B1577" t="s">
        <v>75</v>
      </c>
      <c r="C1577" t="s">
        <v>126</v>
      </c>
      <c r="D1577" t="s">
        <v>582</v>
      </c>
      <c r="E1577" t="s">
        <v>94</v>
      </c>
      <c r="F1577" t="s">
        <v>94</v>
      </c>
      <c r="G1577">
        <v>0</v>
      </c>
      <c r="H1577">
        <v>21</v>
      </c>
      <c r="I1577">
        <v>21</v>
      </c>
      <c r="J1577">
        <v>21</v>
      </c>
      <c r="K1577" s="6">
        <v>100</v>
      </c>
      <c r="L1577" s="6">
        <v>0</v>
      </c>
      <c r="M1577" s="6">
        <v>100</v>
      </c>
      <c r="N1577">
        <v>0</v>
      </c>
      <c r="O1577" s="6">
        <v>0</v>
      </c>
      <c r="P1577">
        <v>0</v>
      </c>
      <c r="Q1577" s="8">
        <v>153.66999999999999</v>
      </c>
      <c r="R1577" s="8">
        <v>153.66999999999999</v>
      </c>
      <c r="S1577" s="9" t="s">
        <v>624</v>
      </c>
    </row>
    <row r="1578" spans="1:19" hidden="1" x14ac:dyDescent="0.25">
      <c r="A1578" t="s">
        <v>134</v>
      </c>
      <c r="B1578" t="s">
        <v>75</v>
      </c>
      <c r="C1578" t="s">
        <v>126</v>
      </c>
      <c r="D1578" t="s">
        <v>582</v>
      </c>
      <c r="E1578" t="s">
        <v>94</v>
      </c>
      <c r="F1578" t="s">
        <v>96</v>
      </c>
      <c r="G1578">
        <v>4</v>
      </c>
      <c r="H1578">
        <v>21</v>
      </c>
      <c r="I1578">
        <v>21</v>
      </c>
      <c r="J1578">
        <v>21</v>
      </c>
      <c r="K1578" s="6">
        <v>100</v>
      </c>
      <c r="L1578" s="6">
        <v>0</v>
      </c>
      <c r="M1578" s="6">
        <v>100</v>
      </c>
      <c r="N1578">
        <v>0</v>
      </c>
      <c r="O1578" s="6">
        <v>0</v>
      </c>
      <c r="P1578">
        <v>0</v>
      </c>
      <c r="Q1578" s="8">
        <v>153.66999999999999</v>
      </c>
      <c r="R1578" s="8">
        <v>153.66999999999999</v>
      </c>
      <c r="S1578" s="10" t="s">
        <v>625</v>
      </c>
    </row>
    <row r="1579" spans="1:19" hidden="1" x14ac:dyDescent="0.25">
      <c r="A1579" t="s">
        <v>134</v>
      </c>
      <c r="B1579" t="s">
        <v>75</v>
      </c>
      <c r="C1579" t="s">
        <v>126</v>
      </c>
      <c r="D1579" t="s">
        <v>582</v>
      </c>
      <c r="E1579" t="s">
        <v>94</v>
      </c>
      <c r="F1579" t="s">
        <v>6</v>
      </c>
      <c r="G1579">
        <v>11</v>
      </c>
      <c r="H1579">
        <v>21</v>
      </c>
      <c r="I1579">
        <v>21</v>
      </c>
      <c r="J1579">
        <v>21</v>
      </c>
      <c r="K1579" s="6">
        <v>100</v>
      </c>
      <c r="L1579" s="6">
        <v>0</v>
      </c>
      <c r="M1579" s="6">
        <v>100</v>
      </c>
      <c r="N1579">
        <v>0</v>
      </c>
      <c r="O1579" s="6">
        <v>0</v>
      </c>
      <c r="P1579">
        <v>0</v>
      </c>
      <c r="Q1579" s="8">
        <v>153.66999999999999</v>
      </c>
      <c r="R1579" s="8">
        <v>153.66999999999999</v>
      </c>
      <c r="S1579" s="10" t="s">
        <v>625</v>
      </c>
    </row>
    <row r="1580" spans="1:19" hidden="1" x14ac:dyDescent="0.25">
      <c r="A1580" t="s">
        <v>134</v>
      </c>
      <c r="B1580" t="s">
        <v>75</v>
      </c>
      <c r="C1580" t="s">
        <v>126</v>
      </c>
      <c r="D1580" t="s">
        <v>583</v>
      </c>
      <c r="E1580" t="s">
        <v>94</v>
      </c>
      <c r="F1580" t="s">
        <v>94</v>
      </c>
      <c r="G1580">
        <v>0</v>
      </c>
      <c r="H1580">
        <v>21</v>
      </c>
      <c r="I1580">
        <v>21</v>
      </c>
      <c r="J1580">
        <v>21</v>
      </c>
      <c r="K1580" s="6">
        <v>100</v>
      </c>
      <c r="L1580" s="6">
        <v>0</v>
      </c>
      <c r="M1580" s="6">
        <v>100</v>
      </c>
      <c r="N1580">
        <v>0</v>
      </c>
      <c r="O1580" s="6">
        <v>0</v>
      </c>
      <c r="P1580">
        <v>0</v>
      </c>
      <c r="Q1580" s="8">
        <v>178.39</v>
      </c>
      <c r="R1580" s="8">
        <v>178.39</v>
      </c>
      <c r="S1580" s="9" t="s">
        <v>624</v>
      </c>
    </row>
    <row r="1581" spans="1:19" hidden="1" x14ac:dyDescent="0.25">
      <c r="A1581" t="s">
        <v>134</v>
      </c>
      <c r="B1581" t="s">
        <v>75</v>
      </c>
      <c r="C1581" t="s">
        <v>126</v>
      </c>
      <c r="D1581" t="s">
        <v>583</v>
      </c>
      <c r="E1581" t="s">
        <v>94</v>
      </c>
      <c r="F1581" t="s">
        <v>96</v>
      </c>
      <c r="G1581">
        <v>4</v>
      </c>
      <c r="H1581">
        <v>21</v>
      </c>
      <c r="I1581">
        <v>21</v>
      </c>
      <c r="J1581">
        <v>21</v>
      </c>
      <c r="K1581" s="6">
        <v>100</v>
      </c>
      <c r="L1581" s="6">
        <v>0</v>
      </c>
      <c r="M1581" s="6">
        <v>100</v>
      </c>
      <c r="N1581">
        <v>0</v>
      </c>
      <c r="O1581" s="6">
        <v>0</v>
      </c>
      <c r="P1581">
        <v>0</v>
      </c>
      <c r="Q1581" s="8">
        <v>178.39</v>
      </c>
      <c r="R1581" s="8">
        <v>178.39</v>
      </c>
      <c r="S1581" s="10" t="s">
        <v>625</v>
      </c>
    </row>
    <row r="1582" spans="1:19" hidden="1" x14ac:dyDescent="0.25">
      <c r="A1582" t="s">
        <v>134</v>
      </c>
      <c r="B1582" t="s">
        <v>75</v>
      </c>
      <c r="C1582" t="s">
        <v>126</v>
      </c>
      <c r="D1582" t="s">
        <v>583</v>
      </c>
      <c r="E1582" t="s">
        <v>94</v>
      </c>
      <c r="F1582" t="s">
        <v>6</v>
      </c>
      <c r="G1582">
        <v>11</v>
      </c>
      <c r="H1582">
        <v>21</v>
      </c>
      <c r="I1582">
        <v>21</v>
      </c>
      <c r="J1582">
        <v>21</v>
      </c>
      <c r="K1582" s="6">
        <v>100</v>
      </c>
      <c r="L1582" s="6">
        <v>0</v>
      </c>
      <c r="M1582" s="6">
        <v>100</v>
      </c>
      <c r="N1582">
        <v>0</v>
      </c>
      <c r="O1582" s="6">
        <v>0</v>
      </c>
      <c r="P1582">
        <v>0</v>
      </c>
      <c r="Q1582" s="8">
        <v>178.39</v>
      </c>
      <c r="R1582" s="8">
        <v>178.39</v>
      </c>
      <c r="S1582" s="10" t="s">
        <v>625</v>
      </c>
    </row>
    <row r="1583" spans="1:19" hidden="1" x14ac:dyDescent="0.25">
      <c r="A1583" t="s">
        <v>134</v>
      </c>
      <c r="B1583" t="s">
        <v>75</v>
      </c>
      <c r="C1583" t="s">
        <v>126</v>
      </c>
      <c r="D1583" t="s">
        <v>585</v>
      </c>
      <c r="E1583" t="s">
        <v>94</v>
      </c>
      <c r="F1583" t="s">
        <v>94</v>
      </c>
      <c r="G1583">
        <v>0</v>
      </c>
      <c r="H1583">
        <v>24</v>
      </c>
      <c r="I1583">
        <v>24</v>
      </c>
      <c r="J1583">
        <v>24</v>
      </c>
      <c r="K1583" s="6">
        <v>100</v>
      </c>
      <c r="L1583" s="6">
        <v>0</v>
      </c>
      <c r="M1583" s="6">
        <v>100</v>
      </c>
      <c r="N1583">
        <v>0</v>
      </c>
      <c r="O1583" s="6">
        <v>0</v>
      </c>
      <c r="P1583">
        <v>0</v>
      </c>
      <c r="Q1583" s="8">
        <v>184.7</v>
      </c>
      <c r="R1583" s="8">
        <v>184.7</v>
      </c>
      <c r="S1583" s="9" t="s">
        <v>601</v>
      </c>
    </row>
    <row r="1584" spans="1:19" hidden="1" x14ac:dyDescent="0.25">
      <c r="A1584" t="s">
        <v>134</v>
      </c>
      <c r="B1584" t="s">
        <v>75</v>
      </c>
      <c r="C1584" t="s">
        <v>126</v>
      </c>
      <c r="D1584" t="s">
        <v>585</v>
      </c>
      <c r="E1584" t="s">
        <v>94</v>
      </c>
      <c r="F1584" t="s">
        <v>96</v>
      </c>
      <c r="G1584">
        <v>4</v>
      </c>
      <c r="H1584">
        <v>24</v>
      </c>
      <c r="I1584">
        <v>24</v>
      </c>
      <c r="J1584">
        <v>24</v>
      </c>
      <c r="K1584" s="6">
        <v>100</v>
      </c>
      <c r="L1584" s="6">
        <v>0</v>
      </c>
      <c r="M1584" s="6">
        <v>100</v>
      </c>
      <c r="N1584">
        <v>0</v>
      </c>
      <c r="O1584" s="6">
        <v>0</v>
      </c>
      <c r="P1584">
        <v>0</v>
      </c>
      <c r="Q1584" s="8">
        <v>184.7</v>
      </c>
      <c r="R1584" s="8">
        <v>184.7</v>
      </c>
      <c r="S1584" s="10" t="s">
        <v>602</v>
      </c>
    </row>
    <row r="1585" spans="1:19" hidden="1" x14ac:dyDescent="0.25">
      <c r="A1585" t="s">
        <v>134</v>
      </c>
      <c r="B1585" t="s">
        <v>75</v>
      </c>
      <c r="C1585" t="s">
        <v>126</v>
      </c>
      <c r="D1585" t="s">
        <v>585</v>
      </c>
      <c r="E1585" t="s">
        <v>94</v>
      </c>
      <c r="F1585" t="s">
        <v>6</v>
      </c>
      <c r="G1585">
        <v>11</v>
      </c>
      <c r="H1585">
        <v>24</v>
      </c>
      <c r="I1585">
        <v>24</v>
      </c>
      <c r="J1585">
        <v>24</v>
      </c>
      <c r="K1585" s="6">
        <v>100</v>
      </c>
      <c r="L1585" s="6">
        <v>0</v>
      </c>
      <c r="M1585" s="6">
        <v>100</v>
      </c>
      <c r="N1585">
        <v>0</v>
      </c>
      <c r="O1585" s="6">
        <v>0</v>
      </c>
      <c r="P1585">
        <v>0</v>
      </c>
      <c r="Q1585" s="8">
        <v>184.7</v>
      </c>
      <c r="R1585" s="8">
        <v>184.7</v>
      </c>
      <c r="S1585" s="10" t="s">
        <v>602</v>
      </c>
    </row>
    <row r="1586" spans="1:19" hidden="1" x14ac:dyDescent="0.25">
      <c r="A1586" t="s">
        <v>134</v>
      </c>
      <c r="B1586" t="s">
        <v>75</v>
      </c>
      <c r="C1586" t="s">
        <v>126</v>
      </c>
      <c r="D1586" t="s">
        <v>588</v>
      </c>
      <c r="E1586" t="s">
        <v>94</v>
      </c>
      <c r="F1586" t="s">
        <v>94</v>
      </c>
      <c r="G1586">
        <v>0</v>
      </c>
      <c r="H1586">
        <v>20</v>
      </c>
      <c r="I1586">
        <v>20</v>
      </c>
      <c r="J1586">
        <v>20</v>
      </c>
      <c r="K1586" s="6">
        <v>100</v>
      </c>
      <c r="L1586" s="6">
        <v>0</v>
      </c>
      <c r="M1586" s="6">
        <v>100</v>
      </c>
      <c r="N1586">
        <v>0</v>
      </c>
      <c r="O1586" s="6">
        <v>0</v>
      </c>
      <c r="P1586">
        <v>0</v>
      </c>
      <c r="Q1586" s="8">
        <v>161.68</v>
      </c>
      <c r="R1586" s="8">
        <v>161.68</v>
      </c>
      <c r="S1586" s="9" t="s">
        <v>622</v>
      </c>
    </row>
    <row r="1587" spans="1:19" hidden="1" x14ac:dyDescent="0.25">
      <c r="A1587" t="s">
        <v>134</v>
      </c>
      <c r="B1587" t="s">
        <v>75</v>
      </c>
      <c r="C1587" t="s">
        <v>126</v>
      </c>
      <c r="D1587" t="s">
        <v>588</v>
      </c>
      <c r="E1587" t="s">
        <v>94</v>
      </c>
      <c r="F1587" t="s">
        <v>96</v>
      </c>
      <c r="G1587">
        <v>4</v>
      </c>
      <c r="H1587">
        <v>20</v>
      </c>
      <c r="I1587">
        <v>20</v>
      </c>
      <c r="J1587">
        <v>20</v>
      </c>
      <c r="K1587" s="6">
        <v>100</v>
      </c>
      <c r="L1587" s="6">
        <v>0</v>
      </c>
      <c r="M1587" s="6">
        <v>100</v>
      </c>
      <c r="N1587">
        <v>0</v>
      </c>
      <c r="O1587" s="6">
        <v>0</v>
      </c>
      <c r="P1587">
        <v>0</v>
      </c>
      <c r="Q1587" s="8">
        <v>161.68</v>
      </c>
      <c r="R1587" s="8">
        <v>161.68</v>
      </c>
      <c r="S1587" s="10" t="s">
        <v>487</v>
      </c>
    </row>
    <row r="1588" spans="1:19" hidden="1" x14ac:dyDescent="0.25">
      <c r="A1588" t="s">
        <v>134</v>
      </c>
      <c r="B1588" t="s">
        <v>75</v>
      </c>
      <c r="C1588" t="s">
        <v>126</v>
      </c>
      <c r="D1588" t="s">
        <v>588</v>
      </c>
      <c r="E1588" t="s">
        <v>94</v>
      </c>
      <c r="F1588" t="s">
        <v>6</v>
      </c>
      <c r="G1588">
        <v>11</v>
      </c>
      <c r="H1588">
        <v>20</v>
      </c>
      <c r="I1588">
        <v>20</v>
      </c>
      <c r="J1588">
        <v>20</v>
      </c>
      <c r="K1588" s="6">
        <v>100</v>
      </c>
      <c r="L1588" s="6">
        <v>0</v>
      </c>
      <c r="M1588" s="6">
        <v>100</v>
      </c>
      <c r="N1588">
        <v>0</v>
      </c>
      <c r="O1588" s="6">
        <v>0</v>
      </c>
      <c r="P1588">
        <v>0</v>
      </c>
      <c r="Q1588" s="8">
        <v>161.68</v>
      </c>
      <c r="R1588" s="8">
        <v>161.68</v>
      </c>
      <c r="S1588" s="10" t="s">
        <v>487</v>
      </c>
    </row>
    <row r="1589" spans="1:19" hidden="1" x14ac:dyDescent="0.25">
      <c r="A1589" t="s">
        <v>134</v>
      </c>
      <c r="B1589" t="s">
        <v>75</v>
      </c>
      <c r="C1589" t="s">
        <v>126</v>
      </c>
      <c r="D1589" t="s">
        <v>589</v>
      </c>
      <c r="E1589" t="s">
        <v>94</v>
      </c>
      <c r="F1589" t="s">
        <v>94</v>
      </c>
      <c r="G1589">
        <v>0</v>
      </c>
      <c r="H1589">
        <v>23</v>
      </c>
      <c r="I1589">
        <v>23</v>
      </c>
      <c r="J1589">
        <v>23</v>
      </c>
      <c r="K1589" s="6">
        <v>100</v>
      </c>
      <c r="L1589" s="6">
        <v>0</v>
      </c>
      <c r="M1589" s="6">
        <v>100</v>
      </c>
      <c r="N1589">
        <v>0</v>
      </c>
      <c r="O1589" s="6">
        <v>0</v>
      </c>
      <c r="P1589">
        <v>0</v>
      </c>
      <c r="Q1589" s="8">
        <v>141.62</v>
      </c>
      <c r="R1589" s="8">
        <v>141.62</v>
      </c>
      <c r="S1589" s="9" t="s">
        <v>621</v>
      </c>
    </row>
    <row r="1590" spans="1:19" hidden="1" x14ac:dyDescent="0.25">
      <c r="A1590" t="s">
        <v>134</v>
      </c>
      <c r="B1590" t="s">
        <v>75</v>
      </c>
      <c r="C1590" t="s">
        <v>126</v>
      </c>
      <c r="D1590" t="s">
        <v>589</v>
      </c>
      <c r="E1590" t="s">
        <v>94</v>
      </c>
      <c r="F1590" t="s">
        <v>96</v>
      </c>
      <c r="G1590">
        <v>4</v>
      </c>
      <c r="H1590">
        <v>23</v>
      </c>
      <c r="I1590">
        <v>23</v>
      </c>
      <c r="J1590">
        <v>23</v>
      </c>
      <c r="K1590" s="6">
        <v>100</v>
      </c>
      <c r="L1590" s="6">
        <v>0</v>
      </c>
      <c r="M1590" s="6">
        <v>100</v>
      </c>
      <c r="N1590">
        <v>0</v>
      </c>
      <c r="O1590" s="6">
        <v>0</v>
      </c>
      <c r="P1590">
        <v>0</v>
      </c>
      <c r="Q1590" s="8">
        <v>141.62</v>
      </c>
      <c r="R1590" s="8">
        <v>141.62</v>
      </c>
      <c r="S1590" s="10" t="s">
        <v>132</v>
      </c>
    </row>
    <row r="1591" spans="1:19" hidden="1" x14ac:dyDescent="0.25">
      <c r="A1591" t="s">
        <v>134</v>
      </c>
      <c r="B1591" t="s">
        <v>75</v>
      </c>
      <c r="C1591" t="s">
        <v>126</v>
      </c>
      <c r="D1591" t="s">
        <v>589</v>
      </c>
      <c r="E1591" t="s">
        <v>94</v>
      </c>
      <c r="F1591" t="s">
        <v>6</v>
      </c>
      <c r="G1591">
        <v>11</v>
      </c>
      <c r="H1591">
        <v>23</v>
      </c>
      <c r="I1591">
        <v>23</v>
      </c>
      <c r="J1591">
        <v>23</v>
      </c>
      <c r="K1591" s="6">
        <v>100</v>
      </c>
      <c r="L1591" s="6">
        <v>0</v>
      </c>
      <c r="M1591" s="6">
        <v>100</v>
      </c>
      <c r="N1591">
        <v>0</v>
      </c>
      <c r="O1591" s="6">
        <v>0</v>
      </c>
      <c r="P1591">
        <v>0</v>
      </c>
      <c r="Q1591" s="8">
        <v>141.62</v>
      </c>
      <c r="R1591" s="8">
        <v>141.62</v>
      </c>
      <c r="S1591" s="10" t="s">
        <v>132</v>
      </c>
    </row>
    <row r="1592" spans="1:19" hidden="1" x14ac:dyDescent="0.25">
      <c r="A1592" t="s">
        <v>134</v>
      </c>
      <c r="B1592" t="s">
        <v>75</v>
      </c>
      <c r="C1592" t="s">
        <v>126</v>
      </c>
      <c r="D1592" t="s">
        <v>590</v>
      </c>
      <c r="E1592" t="s">
        <v>94</v>
      </c>
      <c r="F1592" t="s">
        <v>94</v>
      </c>
      <c r="G1592">
        <v>0</v>
      </c>
      <c r="H1592">
        <v>15</v>
      </c>
      <c r="I1592">
        <v>15</v>
      </c>
      <c r="J1592">
        <v>15</v>
      </c>
      <c r="K1592" s="6">
        <v>100</v>
      </c>
      <c r="L1592" s="6">
        <v>0</v>
      </c>
      <c r="M1592" s="6">
        <v>100</v>
      </c>
      <c r="N1592">
        <v>0</v>
      </c>
      <c r="O1592" s="6">
        <v>0</v>
      </c>
      <c r="P1592">
        <v>0</v>
      </c>
      <c r="Q1592" s="8">
        <v>134.74</v>
      </c>
      <c r="R1592" s="8">
        <v>134.74</v>
      </c>
      <c r="S1592" s="9" t="s">
        <v>611</v>
      </c>
    </row>
    <row r="1593" spans="1:19" hidden="1" x14ac:dyDescent="0.25">
      <c r="A1593" t="s">
        <v>134</v>
      </c>
      <c r="B1593" t="s">
        <v>75</v>
      </c>
      <c r="C1593" t="s">
        <v>126</v>
      </c>
      <c r="D1593" t="s">
        <v>590</v>
      </c>
      <c r="E1593" t="s">
        <v>94</v>
      </c>
      <c r="F1593" t="s">
        <v>96</v>
      </c>
      <c r="G1593">
        <v>4</v>
      </c>
      <c r="H1593">
        <v>15</v>
      </c>
      <c r="I1593">
        <v>15</v>
      </c>
      <c r="J1593">
        <v>15</v>
      </c>
      <c r="K1593" s="6">
        <v>100</v>
      </c>
      <c r="L1593" s="6">
        <v>0</v>
      </c>
      <c r="M1593" s="6">
        <v>100</v>
      </c>
      <c r="N1593">
        <v>0</v>
      </c>
      <c r="O1593" s="6">
        <v>0</v>
      </c>
      <c r="P1593">
        <v>0</v>
      </c>
      <c r="Q1593" s="8">
        <v>134.74</v>
      </c>
      <c r="R1593" s="8">
        <v>134.74</v>
      </c>
      <c r="S1593" s="10" t="s">
        <v>616</v>
      </c>
    </row>
    <row r="1594" spans="1:19" hidden="1" x14ac:dyDescent="0.25">
      <c r="A1594" t="s">
        <v>134</v>
      </c>
      <c r="B1594" t="s">
        <v>75</v>
      </c>
      <c r="C1594" t="s">
        <v>126</v>
      </c>
      <c r="D1594" t="s">
        <v>590</v>
      </c>
      <c r="E1594" t="s">
        <v>94</v>
      </c>
      <c r="F1594" t="s">
        <v>6</v>
      </c>
      <c r="G1594">
        <v>11</v>
      </c>
      <c r="H1594">
        <v>15</v>
      </c>
      <c r="I1594">
        <v>15</v>
      </c>
      <c r="J1594">
        <v>15</v>
      </c>
      <c r="K1594" s="6">
        <v>100</v>
      </c>
      <c r="L1594" s="6">
        <v>0</v>
      </c>
      <c r="M1594" s="6">
        <v>100</v>
      </c>
      <c r="N1594">
        <v>0</v>
      </c>
      <c r="O1594" s="6">
        <v>0</v>
      </c>
      <c r="P1594">
        <v>0</v>
      </c>
      <c r="Q1594" s="8">
        <v>134.74</v>
      </c>
      <c r="R1594" s="8">
        <v>134.74</v>
      </c>
      <c r="S1594" s="10" t="s">
        <v>616</v>
      </c>
    </row>
    <row r="1595" spans="1:19" hidden="1" x14ac:dyDescent="0.25">
      <c r="A1595" t="s">
        <v>134</v>
      </c>
      <c r="B1595" t="s">
        <v>75</v>
      </c>
      <c r="C1595" t="s">
        <v>127</v>
      </c>
      <c r="D1595" t="s">
        <v>539</v>
      </c>
      <c r="E1595" t="s">
        <v>91</v>
      </c>
      <c r="F1595" t="s">
        <v>91</v>
      </c>
      <c r="G1595">
        <v>0</v>
      </c>
      <c r="H1595">
        <v>19</v>
      </c>
      <c r="I1595">
        <v>19</v>
      </c>
      <c r="J1595">
        <v>19</v>
      </c>
      <c r="K1595" s="6">
        <v>100</v>
      </c>
      <c r="L1595" s="6">
        <v>0</v>
      </c>
      <c r="M1595" s="6">
        <v>100</v>
      </c>
      <c r="N1595">
        <v>0</v>
      </c>
      <c r="O1595" s="6">
        <v>0</v>
      </c>
      <c r="P1595">
        <v>0</v>
      </c>
      <c r="Q1595" s="8">
        <v>102.85</v>
      </c>
      <c r="R1595" s="8">
        <v>102.85</v>
      </c>
      <c r="S1595" s="9" t="s">
        <v>613</v>
      </c>
    </row>
    <row r="1596" spans="1:19" hidden="1" x14ac:dyDescent="0.25">
      <c r="A1596" t="s">
        <v>134</v>
      </c>
      <c r="B1596" t="s">
        <v>75</v>
      </c>
      <c r="C1596" t="s">
        <v>127</v>
      </c>
      <c r="D1596" t="s">
        <v>539</v>
      </c>
      <c r="E1596" t="s">
        <v>91</v>
      </c>
      <c r="F1596" t="s">
        <v>94</v>
      </c>
      <c r="G1596">
        <v>1</v>
      </c>
      <c r="H1596">
        <v>19</v>
      </c>
      <c r="I1596">
        <v>19</v>
      </c>
      <c r="J1596">
        <v>19</v>
      </c>
      <c r="K1596" s="6">
        <v>98.84</v>
      </c>
      <c r="L1596" s="6">
        <v>0</v>
      </c>
      <c r="M1596" s="6">
        <v>98.84</v>
      </c>
      <c r="N1596">
        <v>0</v>
      </c>
      <c r="O1596" s="6">
        <v>0</v>
      </c>
      <c r="P1596">
        <v>0</v>
      </c>
      <c r="Q1596" s="8">
        <v>102.85</v>
      </c>
      <c r="R1596" s="8">
        <v>101.66</v>
      </c>
      <c r="S1596" s="10" t="s">
        <v>647</v>
      </c>
    </row>
    <row r="1597" spans="1:19" hidden="1" x14ac:dyDescent="0.25">
      <c r="A1597" t="s">
        <v>134</v>
      </c>
      <c r="B1597" t="s">
        <v>75</v>
      </c>
      <c r="C1597" t="s">
        <v>127</v>
      </c>
      <c r="D1597" t="s">
        <v>539</v>
      </c>
      <c r="E1597" t="s">
        <v>91</v>
      </c>
      <c r="F1597" t="s">
        <v>96</v>
      </c>
      <c r="G1597">
        <v>5</v>
      </c>
      <c r="H1597">
        <v>19</v>
      </c>
      <c r="I1597">
        <v>19</v>
      </c>
      <c r="J1597">
        <v>19</v>
      </c>
      <c r="K1597" s="6">
        <v>100.63</v>
      </c>
      <c r="L1597" s="6">
        <v>0</v>
      </c>
      <c r="M1597" s="6">
        <v>100.63</v>
      </c>
      <c r="N1597">
        <v>0</v>
      </c>
      <c r="O1597" s="6">
        <v>0</v>
      </c>
      <c r="P1597">
        <v>0</v>
      </c>
      <c r="Q1597" s="8">
        <v>102.85</v>
      </c>
      <c r="R1597" s="8">
        <v>103.5</v>
      </c>
      <c r="S1597" s="10" t="s">
        <v>647</v>
      </c>
    </row>
    <row r="1598" spans="1:19" hidden="1" x14ac:dyDescent="0.25">
      <c r="A1598" t="s">
        <v>134</v>
      </c>
      <c r="B1598" t="s">
        <v>75</v>
      </c>
      <c r="C1598" t="s">
        <v>127</v>
      </c>
      <c r="D1598" t="s">
        <v>539</v>
      </c>
      <c r="E1598" t="s">
        <v>91</v>
      </c>
      <c r="F1598" t="s">
        <v>6</v>
      </c>
      <c r="G1598">
        <v>12</v>
      </c>
      <c r="H1598">
        <v>19</v>
      </c>
      <c r="I1598">
        <v>14</v>
      </c>
      <c r="J1598">
        <v>14</v>
      </c>
      <c r="K1598" s="6">
        <v>105.98</v>
      </c>
      <c r="L1598" s="6">
        <v>3.85</v>
      </c>
      <c r="M1598" s="6">
        <v>103.05</v>
      </c>
      <c r="N1598">
        <v>-2.93</v>
      </c>
      <c r="O1598" s="6">
        <v>26.3</v>
      </c>
      <c r="P1598">
        <v>0</v>
      </c>
      <c r="Q1598" s="8">
        <v>100.01</v>
      </c>
      <c r="R1598" s="8">
        <v>105.99</v>
      </c>
      <c r="S1598" s="10" t="s">
        <v>607</v>
      </c>
    </row>
    <row r="1599" spans="1:19" hidden="1" x14ac:dyDescent="0.25">
      <c r="A1599" t="s">
        <v>134</v>
      </c>
      <c r="B1599" t="s">
        <v>75</v>
      </c>
      <c r="C1599" t="s">
        <v>127</v>
      </c>
      <c r="D1599" t="s">
        <v>552</v>
      </c>
      <c r="E1599" t="s">
        <v>91</v>
      </c>
      <c r="F1599" t="s">
        <v>91</v>
      </c>
      <c r="G1599">
        <v>0</v>
      </c>
      <c r="H1599">
        <v>47</v>
      </c>
      <c r="I1599">
        <v>47</v>
      </c>
      <c r="J1599">
        <v>47</v>
      </c>
      <c r="K1599" s="6">
        <v>100</v>
      </c>
      <c r="L1599" s="6">
        <v>0</v>
      </c>
      <c r="M1599" s="6">
        <v>100</v>
      </c>
      <c r="N1599">
        <v>0</v>
      </c>
      <c r="O1599" s="6">
        <v>0</v>
      </c>
      <c r="P1599">
        <v>0</v>
      </c>
      <c r="Q1599" s="8">
        <v>116.38</v>
      </c>
      <c r="R1599" s="8">
        <v>116.38</v>
      </c>
      <c r="S1599" s="9" t="s">
        <v>648</v>
      </c>
    </row>
    <row r="1600" spans="1:19" hidden="1" x14ac:dyDescent="0.25">
      <c r="A1600" t="s">
        <v>134</v>
      </c>
      <c r="B1600" t="s">
        <v>75</v>
      </c>
      <c r="C1600" t="s">
        <v>127</v>
      </c>
      <c r="D1600" t="s">
        <v>552</v>
      </c>
      <c r="E1600" t="s">
        <v>91</v>
      </c>
      <c r="F1600" t="s">
        <v>94</v>
      </c>
      <c r="G1600">
        <v>1</v>
      </c>
      <c r="H1600">
        <v>47</v>
      </c>
      <c r="I1600">
        <v>47</v>
      </c>
      <c r="J1600">
        <v>47</v>
      </c>
      <c r="K1600" s="6">
        <v>97.43</v>
      </c>
      <c r="L1600" s="6">
        <v>-1.3</v>
      </c>
      <c r="M1600" s="6">
        <v>97.43</v>
      </c>
      <c r="N1600">
        <v>0</v>
      </c>
      <c r="O1600" s="6">
        <v>0</v>
      </c>
      <c r="P1600">
        <v>0</v>
      </c>
      <c r="Q1600" s="8">
        <v>116.38</v>
      </c>
      <c r="R1600" s="8">
        <v>113.38</v>
      </c>
      <c r="S1600" t="s">
        <v>32</v>
      </c>
    </row>
    <row r="1601" spans="1:19" hidden="1" x14ac:dyDescent="0.25">
      <c r="A1601" t="s">
        <v>134</v>
      </c>
      <c r="B1601" t="s">
        <v>75</v>
      </c>
      <c r="C1601" t="s">
        <v>127</v>
      </c>
      <c r="D1601" t="s">
        <v>552</v>
      </c>
      <c r="E1601" t="s">
        <v>91</v>
      </c>
      <c r="F1601" t="s">
        <v>96</v>
      </c>
      <c r="G1601">
        <v>5</v>
      </c>
      <c r="H1601">
        <v>47</v>
      </c>
      <c r="I1601">
        <v>47</v>
      </c>
      <c r="J1601">
        <v>47</v>
      </c>
      <c r="K1601" s="6">
        <v>98.09</v>
      </c>
      <c r="L1601" s="6">
        <v>0</v>
      </c>
      <c r="M1601" s="6">
        <v>98.09</v>
      </c>
      <c r="N1601">
        <v>0</v>
      </c>
      <c r="O1601" s="6">
        <v>0</v>
      </c>
      <c r="P1601">
        <v>0</v>
      </c>
      <c r="Q1601" s="8">
        <v>116.38</v>
      </c>
      <c r="R1601" s="8">
        <v>114.16</v>
      </c>
      <c r="S1601" t="s">
        <v>32</v>
      </c>
    </row>
    <row r="1602" spans="1:19" hidden="1" x14ac:dyDescent="0.25">
      <c r="A1602" t="s">
        <v>134</v>
      </c>
      <c r="B1602" t="s">
        <v>75</v>
      </c>
      <c r="C1602" t="s">
        <v>127</v>
      </c>
      <c r="D1602" t="s">
        <v>552</v>
      </c>
      <c r="E1602" t="s">
        <v>91</v>
      </c>
      <c r="F1602" t="s">
        <v>6</v>
      </c>
      <c r="G1602">
        <v>12</v>
      </c>
      <c r="H1602">
        <v>47</v>
      </c>
      <c r="I1602">
        <v>50</v>
      </c>
      <c r="J1602">
        <v>47</v>
      </c>
      <c r="K1602" s="6">
        <v>97.68</v>
      </c>
      <c r="L1602" s="6">
        <v>-2.4700000000000002</v>
      </c>
      <c r="M1602" s="6">
        <v>96.75</v>
      </c>
      <c r="N1602">
        <v>-0.93</v>
      </c>
      <c r="O1602" s="6">
        <v>0</v>
      </c>
      <c r="P1602">
        <v>3</v>
      </c>
      <c r="Q1602" s="8">
        <v>116.38</v>
      </c>
      <c r="R1602" s="8">
        <v>113.68</v>
      </c>
      <c r="S1602" t="s">
        <v>32</v>
      </c>
    </row>
    <row r="1603" spans="1:19" hidden="1" x14ac:dyDescent="0.25">
      <c r="A1603" t="s">
        <v>134</v>
      </c>
      <c r="B1603" t="s">
        <v>75</v>
      </c>
      <c r="C1603" t="s">
        <v>127</v>
      </c>
      <c r="D1603" t="s">
        <v>554</v>
      </c>
      <c r="E1603" t="s">
        <v>91</v>
      </c>
      <c r="F1603" t="s">
        <v>91</v>
      </c>
      <c r="G1603">
        <v>0</v>
      </c>
      <c r="H1603">
        <v>36</v>
      </c>
      <c r="I1603">
        <v>36</v>
      </c>
      <c r="J1603">
        <v>36</v>
      </c>
      <c r="K1603" s="6">
        <v>100</v>
      </c>
      <c r="L1603" s="6">
        <v>0</v>
      </c>
      <c r="M1603" s="6">
        <v>100</v>
      </c>
      <c r="N1603">
        <v>0</v>
      </c>
      <c r="O1603" s="6">
        <v>0</v>
      </c>
      <c r="P1603">
        <v>0</v>
      </c>
      <c r="Q1603" s="8">
        <v>159.15</v>
      </c>
      <c r="R1603" s="8">
        <v>159.15</v>
      </c>
      <c r="S1603" s="9" t="s">
        <v>640</v>
      </c>
    </row>
    <row r="1604" spans="1:19" hidden="1" x14ac:dyDescent="0.25">
      <c r="A1604" t="s">
        <v>134</v>
      </c>
      <c r="B1604" t="s">
        <v>75</v>
      </c>
      <c r="C1604" t="s">
        <v>127</v>
      </c>
      <c r="D1604" t="s">
        <v>554</v>
      </c>
      <c r="E1604" t="s">
        <v>91</v>
      </c>
      <c r="F1604" t="s">
        <v>94</v>
      </c>
      <c r="G1604">
        <v>1</v>
      </c>
      <c r="H1604">
        <v>36</v>
      </c>
      <c r="I1604">
        <v>36</v>
      </c>
      <c r="J1604">
        <v>36</v>
      </c>
      <c r="K1604" s="6">
        <v>96.65</v>
      </c>
      <c r="L1604" s="6">
        <v>-2.4700000000000002</v>
      </c>
      <c r="M1604" s="6">
        <v>96.65</v>
      </c>
      <c r="N1604">
        <v>0</v>
      </c>
      <c r="O1604" s="6">
        <v>0</v>
      </c>
      <c r="P1604">
        <v>0</v>
      </c>
      <c r="Q1604" s="8">
        <v>159.15</v>
      </c>
      <c r="R1604" s="8">
        <v>153.82</v>
      </c>
      <c r="S1604" t="s">
        <v>32</v>
      </c>
    </row>
    <row r="1605" spans="1:19" hidden="1" x14ac:dyDescent="0.25">
      <c r="A1605" t="s">
        <v>134</v>
      </c>
      <c r="B1605" t="s">
        <v>75</v>
      </c>
      <c r="C1605" t="s">
        <v>127</v>
      </c>
      <c r="D1605" t="s">
        <v>554</v>
      </c>
      <c r="E1605" t="s">
        <v>91</v>
      </c>
      <c r="F1605" t="s">
        <v>96</v>
      </c>
      <c r="G1605">
        <v>5</v>
      </c>
      <c r="H1605">
        <v>36</v>
      </c>
      <c r="I1605">
        <v>36</v>
      </c>
      <c r="J1605">
        <v>36</v>
      </c>
      <c r="K1605" s="6">
        <v>96.68</v>
      </c>
      <c r="L1605" s="6">
        <v>-2.4700000000000002</v>
      </c>
      <c r="M1605" s="6">
        <v>96.68</v>
      </c>
      <c r="N1605">
        <v>0</v>
      </c>
      <c r="O1605" s="6">
        <v>0</v>
      </c>
      <c r="P1605">
        <v>0</v>
      </c>
      <c r="Q1605" s="8">
        <v>159.15</v>
      </c>
      <c r="R1605" s="8">
        <v>153.88</v>
      </c>
      <c r="S1605" t="s">
        <v>32</v>
      </c>
    </row>
    <row r="1606" spans="1:19" hidden="1" x14ac:dyDescent="0.25">
      <c r="A1606" t="s">
        <v>134</v>
      </c>
      <c r="B1606" t="s">
        <v>75</v>
      </c>
      <c r="C1606" t="s">
        <v>127</v>
      </c>
      <c r="D1606" t="s">
        <v>554</v>
      </c>
      <c r="E1606" t="s">
        <v>91</v>
      </c>
      <c r="F1606" t="s">
        <v>6</v>
      </c>
      <c r="G1606">
        <v>12</v>
      </c>
      <c r="H1606">
        <v>36</v>
      </c>
      <c r="I1606">
        <v>37</v>
      </c>
      <c r="J1606">
        <v>35</v>
      </c>
      <c r="K1606" s="6">
        <v>95.19</v>
      </c>
      <c r="L1606" s="6">
        <v>-4.05</v>
      </c>
      <c r="M1606" s="6">
        <v>93.38</v>
      </c>
      <c r="N1606">
        <v>-1.81</v>
      </c>
      <c r="O1606" s="6">
        <v>2.8</v>
      </c>
      <c r="P1606">
        <v>2</v>
      </c>
      <c r="Q1606" s="8">
        <v>159.38</v>
      </c>
      <c r="R1606" s="8">
        <v>151.71</v>
      </c>
      <c r="S1606" t="s">
        <v>32</v>
      </c>
    </row>
    <row r="1607" spans="1:19" hidden="1" x14ac:dyDescent="0.25">
      <c r="A1607" t="s">
        <v>134</v>
      </c>
      <c r="B1607" t="s">
        <v>75</v>
      </c>
      <c r="C1607" t="s">
        <v>127</v>
      </c>
      <c r="D1607" t="s">
        <v>555</v>
      </c>
      <c r="E1607" t="s">
        <v>90</v>
      </c>
      <c r="F1607" t="s">
        <v>90</v>
      </c>
      <c r="G1607">
        <v>0</v>
      </c>
      <c r="H1607">
        <v>55</v>
      </c>
      <c r="I1607">
        <v>55</v>
      </c>
      <c r="J1607">
        <v>55</v>
      </c>
      <c r="K1607" s="6">
        <v>100</v>
      </c>
      <c r="L1607" s="6">
        <v>0</v>
      </c>
      <c r="M1607" s="6">
        <v>100</v>
      </c>
      <c r="N1607">
        <v>0</v>
      </c>
      <c r="O1607" s="6">
        <v>0</v>
      </c>
      <c r="P1607">
        <v>0</v>
      </c>
      <c r="Q1607" s="8">
        <v>127.23</v>
      </c>
      <c r="R1607" s="8">
        <v>127.23</v>
      </c>
      <c r="S1607" s="9" t="s">
        <v>597</v>
      </c>
    </row>
    <row r="1608" spans="1:19" hidden="1" x14ac:dyDescent="0.25">
      <c r="A1608" t="s">
        <v>134</v>
      </c>
      <c r="B1608" t="s">
        <v>75</v>
      </c>
      <c r="C1608" t="s">
        <v>127</v>
      </c>
      <c r="D1608" t="s">
        <v>555</v>
      </c>
      <c r="E1608" t="s">
        <v>90</v>
      </c>
      <c r="F1608" t="s">
        <v>91</v>
      </c>
      <c r="G1608">
        <v>1</v>
      </c>
      <c r="H1608">
        <v>55</v>
      </c>
      <c r="I1608">
        <v>55</v>
      </c>
      <c r="J1608">
        <v>55</v>
      </c>
      <c r="K1608" s="6">
        <v>99.92</v>
      </c>
      <c r="L1608" s="6">
        <v>0</v>
      </c>
      <c r="M1608" s="6">
        <v>99.92</v>
      </c>
      <c r="N1608">
        <v>0</v>
      </c>
      <c r="O1608" s="6">
        <v>0</v>
      </c>
      <c r="P1608">
        <v>0</v>
      </c>
      <c r="Q1608" s="8">
        <v>127.23</v>
      </c>
      <c r="R1608" s="8">
        <v>127.13</v>
      </c>
      <c r="S1608" t="s">
        <v>32</v>
      </c>
    </row>
    <row r="1609" spans="1:19" hidden="1" x14ac:dyDescent="0.25">
      <c r="A1609" t="s">
        <v>134</v>
      </c>
      <c r="B1609" t="s">
        <v>75</v>
      </c>
      <c r="C1609" t="s">
        <v>127</v>
      </c>
      <c r="D1609" t="s">
        <v>555</v>
      </c>
      <c r="E1609" t="s">
        <v>90</v>
      </c>
      <c r="F1609" t="s">
        <v>94</v>
      </c>
      <c r="G1609">
        <v>2</v>
      </c>
      <c r="H1609">
        <v>55</v>
      </c>
      <c r="I1609">
        <v>55</v>
      </c>
      <c r="J1609">
        <v>55</v>
      </c>
      <c r="K1609" s="6">
        <v>97.38</v>
      </c>
      <c r="L1609" s="6">
        <v>-2.64</v>
      </c>
      <c r="M1609" s="6">
        <v>97.38</v>
      </c>
      <c r="N1609">
        <v>0</v>
      </c>
      <c r="O1609" s="6">
        <v>0</v>
      </c>
      <c r="P1609">
        <v>0</v>
      </c>
      <c r="Q1609" s="8">
        <v>127.23</v>
      </c>
      <c r="R1609" s="8">
        <v>123.89</v>
      </c>
      <c r="S1609" t="s">
        <v>32</v>
      </c>
    </row>
    <row r="1610" spans="1:19" hidden="1" x14ac:dyDescent="0.25">
      <c r="A1610" t="s">
        <v>134</v>
      </c>
      <c r="B1610" t="s">
        <v>75</v>
      </c>
      <c r="C1610" t="s">
        <v>127</v>
      </c>
      <c r="D1610" t="s">
        <v>555</v>
      </c>
      <c r="E1610" t="s">
        <v>90</v>
      </c>
      <c r="F1610" t="s">
        <v>96</v>
      </c>
      <c r="G1610">
        <v>6</v>
      </c>
      <c r="H1610">
        <v>55</v>
      </c>
      <c r="I1610">
        <v>55</v>
      </c>
      <c r="J1610">
        <v>55</v>
      </c>
      <c r="K1610" s="6">
        <v>97.38</v>
      </c>
      <c r="L1610" s="6">
        <v>-2.64</v>
      </c>
      <c r="M1610" s="6">
        <v>97.38</v>
      </c>
      <c r="N1610">
        <v>0</v>
      </c>
      <c r="O1610" s="6">
        <v>0</v>
      </c>
      <c r="P1610">
        <v>0</v>
      </c>
      <c r="Q1610" s="8">
        <v>127.23</v>
      </c>
      <c r="R1610" s="8">
        <v>123.89</v>
      </c>
      <c r="S1610" t="s">
        <v>32</v>
      </c>
    </row>
    <row r="1611" spans="1:19" hidden="1" x14ac:dyDescent="0.25">
      <c r="A1611" t="s">
        <v>134</v>
      </c>
      <c r="B1611" t="s">
        <v>75</v>
      </c>
      <c r="C1611" t="s">
        <v>127</v>
      </c>
      <c r="D1611" t="s">
        <v>555</v>
      </c>
      <c r="E1611" t="s">
        <v>90</v>
      </c>
      <c r="F1611" t="s">
        <v>6</v>
      </c>
      <c r="G1611">
        <v>13</v>
      </c>
      <c r="H1611">
        <v>55</v>
      </c>
      <c r="I1611">
        <v>56</v>
      </c>
      <c r="J1611">
        <v>55</v>
      </c>
      <c r="K1611" s="6">
        <v>95.67</v>
      </c>
      <c r="L1611" s="6">
        <v>-4.7699999999999996</v>
      </c>
      <c r="M1611" s="6">
        <v>95.81</v>
      </c>
      <c r="N1611">
        <v>0.14000000000000001</v>
      </c>
      <c r="O1611" s="6">
        <v>0</v>
      </c>
      <c r="P1611">
        <v>1</v>
      </c>
      <c r="Q1611" s="8">
        <v>127.23</v>
      </c>
      <c r="R1611" s="8">
        <v>121.72</v>
      </c>
      <c r="S1611" t="s">
        <v>32</v>
      </c>
    </row>
    <row r="1612" spans="1:19" hidden="1" x14ac:dyDescent="0.25">
      <c r="A1612" t="s">
        <v>134</v>
      </c>
      <c r="B1612" t="s">
        <v>75</v>
      </c>
      <c r="C1612" t="s">
        <v>127</v>
      </c>
      <c r="D1612" t="s">
        <v>557</v>
      </c>
      <c r="E1612" t="s">
        <v>90</v>
      </c>
      <c r="F1612" t="s">
        <v>90</v>
      </c>
      <c r="G1612">
        <v>0</v>
      </c>
      <c r="H1612">
        <v>49</v>
      </c>
      <c r="I1612">
        <v>49</v>
      </c>
      <c r="J1612">
        <v>49</v>
      </c>
      <c r="K1612" s="6">
        <v>100</v>
      </c>
      <c r="L1612" s="6">
        <v>0</v>
      </c>
      <c r="M1612" s="6">
        <v>100</v>
      </c>
      <c r="N1612">
        <v>0</v>
      </c>
      <c r="O1612" s="6">
        <v>0</v>
      </c>
      <c r="P1612">
        <v>0</v>
      </c>
      <c r="Q1612" s="8">
        <v>142.99</v>
      </c>
      <c r="R1612" s="8">
        <v>142.99</v>
      </c>
      <c r="S1612" s="9" t="s">
        <v>639</v>
      </c>
    </row>
    <row r="1613" spans="1:19" hidden="1" x14ac:dyDescent="0.25">
      <c r="A1613" t="s">
        <v>134</v>
      </c>
      <c r="B1613" t="s">
        <v>75</v>
      </c>
      <c r="C1613" t="s">
        <v>127</v>
      </c>
      <c r="D1613" t="s">
        <v>557</v>
      </c>
      <c r="E1613" t="s">
        <v>90</v>
      </c>
      <c r="F1613" t="s">
        <v>91</v>
      </c>
      <c r="G1613">
        <v>1</v>
      </c>
      <c r="H1613">
        <v>49</v>
      </c>
      <c r="I1613">
        <v>49</v>
      </c>
      <c r="J1613">
        <v>49</v>
      </c>
      <c r="K1613" s="6">
        <v>100</v>
      </c>
      <c r="L1613" s="6">
        <v>0</v>
      </c>
      <c r="M1613" s="6">
        <v>100</v>
      </c>
      <c r="N1613">
        <v>0</v>
      </c>
      <c r="O1613" s="6">
        <v>0</v>
      </c>
      <c r="P1613">
        <v>0</v>
      </c>
      <c r="Q1613" s="8">
        <v>142.99</v>
      </c>
      <c r="R1613" s="8">
        <v>142.99</v>
      </c>
      <c r="S1613" t="s">
        <v>32</v>
      </c>
    </row>
    <row r="1614" spans="1:19" hidden="1" x14ac:dyDescent="0.25">
      <c r="A1614" t="s">
        <v>134</v>
      </c>
      <c r="B1614" t="s">
        <v>75</v>
      </c>
      <c r="C1614" t="s">
        <v>127</v>
      </c>
      <c r="D1614" t="s">
        <v>557</v>
      </c>
      <c r="E1614" t="s">
        <v>90</v>
      </c>
      <c r="F1614" t="s">
        <v>94</v>
      </c>
      <c r="G1614">
        <v>2</v>
      </c>
      <c r="H1614">
        <v>49</v>
      </c>
      <c r="I1614">
        <v>49</v>
      </c>
      <c r="J1614">
        <v>49</v>
      </c>
      <c r="K1614" s="6">
        <v>97.86</v>
      </c>
      <c r="L1614" s="6">
        <v>-1.89</v>
      </c>
      <c r="M1614" s="6">
        <v>97.86</v>
      </c>
      <c r="N1614">
        <v>0</v>
      </c>
      <c r="O1614" s="6">
        <v>0</v>
      </c>
      <c r="P1614">
        <v>0</v>
      </c>
      <c r="Q1614" s="8">
        <v>142.99</v>
      </c>
      <c r="R1614" s="8">
        <v>139.94</v>
      </c>
      <c r="S1614" t="s">
        <v>32</v>
      </c>
    </row>
    <row r="1615" spans="1:19" hidden="1" x14ac:dyDescent="0.25">
      <c r="A1615" t="s">
        <v>134</v>
      </c>
      <c r="B1615" t="s">
        <v>75</v>
      </c>
      <c r="C1615" t="s">
        <v>127</v>
      </c>
      <c r="D1615" t="s">
        <v>557</v>
      </c>
      <c r="E1615" t="s">
        <v>90</v>
      </c>
      <c r="F1615" t="s">
        <v>96</v>
      </c>
      <c r="G1615">
        <v>6</v>
      </c>
      <c r="H1615">
        <v>49</v>
      </c>
      <c r="I1615">
        <v>49</v>
      </c>
      <c r="J1615">
        <v>49</v>
      </c>
      <c r="K1615" s="6">
        <v>97.77</v>
      </c>
      <c r="L1615" s="6">
        <v>-2.09</v>
      </c>
      <c r="M1615" s="6">
        <v>97.77</v>
      </c>
      <c r="N1615">
        <v>0</v>
      </c>
      <c r="O1615" s="6">
        <v>0</v>
      </c>
      <c r="P1615">
        <v>0</v>
      </c>
      <c r="Q1615" s="8">
        <v>142.99</v>
      </c>
      <c r="R1615" s="8">
        <v>139.81</v>
      </c>
      <c r="S1615" t="s">
        <v>32</v>
      </c>
    </row>
    <row r="1616" spans="1:19" hidden="1" x14ac:dyDescent="0.25">
      <c r="A1616" t="s">
        <v>134</v>
      </c>
      <c r="B1616" t="s">
        <v>75</v>
      </c>
      <c r="C1616" t="s">
        <v>127</v>
      </c>
      <c r="D1616" t="s">
        <v>557</v>
      </c>
      <c r="E1616" t="s">
        <v>90</v>
      </c>
      <c r="F1616" t="s">
        <v>6</v>
      </c>
      <c r="G1616">
        <v>13</v>
      </c>
      <c r="H1616">
        <v>49</v>
      </c>
      <c r="I1616">
        <v>49</v>
      </c>
      <c r="J1616">
        <v>49</v>
      </c>
      <c r="K1616" s="6">
        <v>96.62</v>
      </c>
      <c r="L1616" s="6">
        <v>-2.72</v>
      </c>
      <c r="M1616" s="6">
        <v>96.62</v>
      </c>
      <c r="N1616">
        <v>0</v>
      </c>
      <c r="O1616" s="6">
        <v>0</v>
      </c>
      <c r="P1616">
        <v>0</v>
      </c>
      <c r="Q1616" s="8">
        <v>142.99</v>
      </c>
      <c r="R1616" s="8">
        <v>138.16</v>
      </c>
      <c r="S1616" t="s">
        <v>32</v>
      </c>
    </row>
    <row r="1617" spans="1:19" hidden="1" x14ac:dyDescent="0.25">
      <c r="A1617" t="s">
        <v>134</v>
      </c>
      <c r="B1617" t="s">
        <v>75</v>
      </c>
      <c r="C1617" t="s">
        <v>127</v>
      </c>
      <c r="D1617" t="s">
        <v>560</v>
      </c>
      <c r="E1617" t="s">
        <v>90</v>
      </c>
      <c r="F1617" t="s">
        <v>90</v>
      </c>
      <c r="G1617">
        <v>0</v>
      </c>
      <c r="H1617">
        <v>60</v>
      </c>
      <c r="I1617">
        <v>60</v>
      </c>
      <c r="J1617">
        <v>60</v>
      </c>
      <c r="K1617" s="6">
        <v>100</v>
      </c>
      <c r="L1617" s="6">
        <v>0</v>
      </c>
      <c r="M1617" s="6">
        <v>100</v>
      </c>
      <c r="N1617">
        <v>0</v>
      </c>
      <c r="O1617" s="6">
        <v>0</v>
      </c>
      <c r="P1617">
        <v>0</v>
      </c>
      <c r="Q1617" s="8">
        <v>148.68</v>
      </c>
      <c r="R1617" s="8">
        <v>148.68</v>
      </c>
      <c r="S1617" s="9" t="s">
        <v>641</v>
      </c>
    </row>
    <row r="1618" spans="1:19" hidden="1" x14ac:dyDescent="0.25">
      <c r="A1618" t="s">
        <v>134</v>
      </c>
      <c r="B1618" t="s">
        <v>75</v>
      </c>
      <c r="C1618" t="s">
        <v>127</v>
      </c>
      <c r="D1618" t="s">
        <v>560</v>
      </c>
      <c r="E1618" t="s">
        <v>90</v>
      </c>
      <c r="F1618" t="s">
        <v>91</v>
      </c>
      <c r="G1618">
        <v>1</v>
      </c>
      <c r="H1618">
        <v>60</v>
      </c>
      <c r="I1618">
        <v>58</v>
      </c>
      <c r="J1618">
        <v>58</v>
      </c>
      <c r="K1618" s="6">
        <v>100.19</v>
      </c>
      <c r="L1618" s="6">
        <v>0</v>
      </c>
      <c r="M1618" s="6">
        <v>98.99</v>
      </c>
      <c r="N1618">
        <v>-1.2</v>
      </c>
      <c r="O1618" s="6">
        <v>3.3</v>
      </c>
      <c r="P1618">
        <v>0</v>
      </c>
      <c r="Q1618" s="8">
        <v>146.88999999999999</v>
      </c>
      <c r="R1618" s="8">
        <v>147.18</v>
      </c>
      <c r="S1618" t="s">
        <v>32</v>
      </c>
    </row>
    <row r="1619" spans="1:19" hidden="1" x14ac:dyDescent="0.25">
      <c r="A1619" t="s">
        <v>134</v>
      </c>
      <c r="B1619" t="s">
        <v>75</v>
      </c>
      <c r="C1619" t="s">
        <v>127</v>
      </c>
      <c r="D1619" t="s">
        <v>560</v>
      </c>
      <c r="E1619" t="s">
        <v>90</v>
      </c>
      <c r="F1619" t="s">
        <v>94</v>
      </c>
      <c r="G1619">
        <v>2</v>
      </c>
      <c r="H1619">
        <v>60</v>
      </c>
      <c r="I1619">
        <v>60</v>
      </c>
      <c r="J1619">
        <v>60</v>
      </c>
      <c r="K1619" s="6">
        <v>98.53</v>
      </c>
      <c r="L1619" s="6">
        <v>-0.52</v>
      </c>
      <c r="M1619" s="6">
        <v>98.53</v>
      </c>
      <c r="N1619">
        <v>0</v>
      </c>
      <c r="O1619" s="6">
        <v>0</v>
      </c>
      <c r="P1619">
        <v>0</v>
      </c>
      <c r="Q1619" s="8">
        <v>148.68</v>
      </c>
      <c r="R1619" s="8">
        <v>146.5</v>
      </c>
      <c r="S1619" t="s">
        <v>32</v>
      </c>
    </row>
    <row r="1620" spans="1:19" hidden="1" x14ac:dyDescent="0.25">
      <c r="A1620" t="s">
        <v>134</v>
      </c>
      <c r="B1620" t="s">
        <v>75</v>
      </c>
      <c r="C1620" t="s">
        <v>127</v>
      </c>
      <c r="D1620" t="s">
        <v>560</v>
      </c>
      <c r="E1620" t="s">
        <v>90</v>
      </c>
      <c r="F1620" t="s">
        <v>96</v>
      </c>
      <c r="G1620">
        <v>6</v>
      </c>
      <c r="H1620">
        <v>60</v>
      </c>
      <c r="I1620">
        <v>59</v>
      </c>
      <c r="J1620">
        <v>59</v>
      </c>
      <c r="K1620" s="6">
        <v>98.61</v>
      </c>
      <c r="L1620" s="6">
        <v>-1.04</v>
      </c>
      <c r="M1620" s="6">
        <v>97.97</v>
      </c>
      <c r="N1620">
        <v>-0.64</v>
      </c>
      <c r="O1620" s="6">
        <v>1.7</v>
      </c>
      <c r="P1620">
        <v>0</v>
      </c>
      <c r="Q1620" s="8">
        <v>147.72</v>
      </c>
      <c r="R1620" s="8">
        <v>145.66</v>
      </c>
      <c r="S1620" t="s">
        <v>32</v>
      </c>
    </row>
    <row r="1621" spans="1:19" hidden="1" x14ac:dyDescent="0.25">
      <c r="A1621" t="s">
        <v>134</v>
      </c>
      <c r="B1621" t="s">
        <v>75</v>
      </c>
      <c r="C1621" t="s">
        <v>127</v>
      </c>
      <c r="D1621" t="s">
        <v>560</v>
      </c>
      <c r="E1621" t="s">
        <v>90</v>
      </c>
      <c r="F1621" t="s">
        <v>6</v>
      </c>
      <c r="G1621">
        <v>13</v>
      </c>
      <c r="H1621">
        <v>60</v>
      </c>
      <c r="I1621">
        <v>60</v>
      </c>
      <c r="J1621">
        <v>60</v>
      </c>
      <c r="K1621" s="6">
        <v>98.05</v>
      </c>
      <c r="L1621" s="6">
        <v>-1.6</v>
      </c>
      <c r="M1621" s="6">
        <v>98.05</v>
      </c>
      <c r="N1621">
        <v>0</v>
      </c>
      <c r="O1621" s="6">
        <v>0</v>
      </c>
      <c r="P1621">
        <v>0</v>
      </c>
      <c r="Q1621" s="8">
        <v>148.68</v>
      </c>
      <c r="R1621" s="8">
        <v>145.78</v>
      </c>
      <c r="S1621" t="s">
        <v>32</v>
      </c>
    </row>
    <row r="1622" spans="1:19" hidden="1" x14ac:dyDescent="0.25">
      <c r="A1622" t="s">
        <v>134</v>
      </c>
      <c r="B1622" t="s">
        <v>75</v>
      </c>
      <c r="C1622" t="s">
        <v>127</v>
      </c>
      <c r="D1622" t="s">
        <v>524</v>
      </c>
      <c r="E1622" t="s">
        <v>90</v>
      </c>
      <c r="F1622" t="s">
        <v>90</v>
      </c>
      <c r="G1622">
        <v>0</v>
      </c>
      <c r="H1622">
        <v>27</v>
      </c>
      <c r="I1622">
        <v>27</v>
      </c>
      <c r="J1622">
        <v>27</v>
      </c>
      <c r="K1622" s="6">
        <v>100</v>
      </c>
      <c r="L1622" s="6">
        <v>0</v>
      </c>
      <c r="M1622" s="6">
        <v>100</v>
      </c>
      <c r="N1622">
        <v>0</v>
      </c>
      <c r="O1622" s="6">
        <v>0</v>
      </c>
      <c r="P1622">
        <v>0</v>
      </c>
      <c r="Q1622" s="8">
        <v>148.32</v>
      </c>
      <c r="R1622" s="8">
        <v>148.32</v>
      </c>
      <c r="S1622" s="9" t="s">
        <v>558</v>
      </c>
    </row>
    <row r="1623" spans="1:19" hidden="1" x14ac:dyDescent="0.25">
      <c r="A1623" t="s">
        <v>134</v>
      </c>
      <c r="B1623" t="s">
        <v>75</v>
      </c>
      <c r="C1623" t="s">
        <v>127</v>
      </c>
      <c r="D1623" t="s">
        <v>524</v>
      </c>
      <c r="E1623" t="s">
        <v>90</v>
      </c>
      <c r="F1623" t="s">
        <v>91</v>
      </c>
      <c r="G1623">
        <v>1</v>
      </c>
      <c r="H1623">
        <v>27</v>
      </c>
      <c r="I1623">
        <v>27</v>
      </c>
      <c r="J1623">
        <v>27</v>
      </c>
      <c r="K1623" s="6">
        <v>100.23</v>
      </c>
      <c r="L1623" s="6">
        <v>0</v>
      </c>
      <c r="M1623" s="6">
        <v>100.23</v>
      </c>
      <c r="N1623">
        <v>0</v>
      </c>
      <c r="O1623" s="6">
        <v>0</v>
      </c>
      <c r="P1623">
        <v>0</v>
      </c>
      <c r="Q1623" s="8">
        <v>148.32</v>
      </c>
      <c r="R1623" s="8">
        <v>148.66999999999999</v>
      </c>
      <c r="S1623" s="10" t="s">
        <v>559</v>
      </c>
    </row>
    <row r="1624" spans="1:19" hidden="1" x14ac:dyDescent="0.25">
      <c r="A1624" t="s">
        <v>134</v>
      </c>
      <c r="B1624" t="s">
        <v>75</v>
      </c>
      <c r="C1624" t="s">
        <v>127</v>
      </c>
      <c r="D1624" t="s">
        <v>524</v>
      </c>
      <c r="E1624" t="s">
        <v>90</v>
      </c>
      <c r="F1624" t="s">
        <v>94</v>
      </c>
      <c r="G1624">
        <v>2</v>
      </c>
      <c r="H1624">
        <v>27</v>
      </c>
      <c r="I1624">
        <v>27</v>
      </c>
      <c r="J1624">
        <v>27</v>
      </c>
      <c r="K1624" s="6">
        <v>98.93</v>
      </c>
      <c r="L1624" s="6">
        <v>0</v>
      </c>
      <c r="M1624" s="6">
        <v>98.93</v>
      </c>
      <c r="N1624">
        <v>0</v>
      </c>
      <c r="O1624" s="6">
        <v>0</v>
      </c>
      <c r="P1624">
        <v>0</v>
      </c>
      <c r="Q1624" s="8">
        <v>148.32</v>
      </c>
      <c r="R1624" s="8">
        <v>146.74</v>
      </c>
      <c r="S1624" s="10" t="s">
        <v>559</v>
      </c>
    </row>
    <row r="1625" spans="1:19" hidden="1" x14ac:dyDescent="0.25">
      <c r="A1625" t="s">
        <v>134</v>
      </c>
      <c r="B1625" t="s">
        <v>75</v>
      </c>
      <c r="C1625" t="s">
        <v>127</v>
      </c>
      <c r="D1625" t="s">
        <v>524</v>
      </c>
      <c r="E1625" t="s">
        <v>90</v>
      </c>
      <c r="F1625" t="s">
        <v>96</v>
      </c>
      <c r="G1625">
        <v>6</v>
      </c>
      <c r="H1625">
        <v>27</v>
      </c>
      <c r="I1625">
        <v>27</v>
      </c>
      <c r="J1625">
        <v>27</v>
      </c>
      <c r="K1625" s="6">
        <v>99.31</v>
      </c>
      <c r="L1625" s="6">
        <v>0</v>
      </c>
      <c r="M1625" s="6">
        <v>99.31</v>
      </c>
      <c r="N1625">
        <v>0</v>
      </c>
      <c r="O1625" s="6">
        <v>0</v>
      </c>
      <c r="P1625">
        <v>0</v>
      </c>
      <c r="Q1625" s="8">
        <v>148.32</v>
      </c>
      <c r="R1625" s="8">
        <v>147.30000000000001</v>
      </c>
      <c r="S1625" s="10" t="s">
        <v>559</v>
      </c>
    </row>
    <row r="1626" spans="1:19" hidden="1" x14ac:dyDescent="0.25">
      <c r="A1626" t="s">
        <v>134</v>
      </c>
      <c r="B1626" t="s">
        <v>75</v>
      </c>
      <c r="C1626" t="s">
        <v>127</v>
      </c>
      <c r="D1626" t="s">
        <v>524</v>
      </c>
      <c r="E1626" t="s">
        <v>90</v>
      </c>
      <c r="F1626" t="s">
        <v>6</v>
      </c>
      <c r="G1626">
        <v>13</v>
      </c>
      <c r="H1626">
        <v>27</v>
      </c>
      <c r="I1626">
        <v>27</v>
      </c>
      <c r="J1626">
        <v>27</v>
      </c>
      <c r="K1626" s="6">
        <v>99.09</v>
      </c>
      <c r="L1626" s="6">
        <v>0</v>
      </c>
      <c r="M1626" s="6">
        <v>99.09</v>
      </c>
      <c r="N1626">
        <v>0</v>
      </c>
      <c r="O1626" s="6">
        <v>0</v>
      </c>
      <c r="P1626">
        <v>0</v>
      </c>
      <c r="Q1626" s="8">
        <v>148.32</v>
      </c>
      <c r="R1626" s="8">
        <v>146.97999999999999</v>
      </c>
      <c r="S1626" s="10" t="s">
        <v>559</v>
      </c>
    </row>
    <row r="1627" spans="1:19" hidden="1" x14ac:dyDescent="0.25">
      <c r="A1627" t="s">
        <v>134</v>
      </c>
      <c r="B1627" t="s">
        <v>75</v>
      </c>
      <c r="C1627" t="s">
        <v>127</v>
      </c>
      <c r="D1627" t="s">
        <v>527</v>
      </c>
      <c r="E1627" t="s">
        <v>90</v>
      </c>
      <c r="F1627" t="s">
        <v>90</v>
      </c>
      <c r="G1627">
        <v>0</v>
      </c>
      <c r="H1627">
        <v>24</v>
      </c>
      <c r="I1627">
        <v>24</v>
      </c>
      <c r="J1627">
        <v>24</v>
      </c>
      <c r="K1627" s="6">
        <v>100</v>
      </c>
      <c r="L1627" s="6">
        <v>0</v>
      </c>
      <c r="M1627" s="6">
        <v>100</v>
      </c>
      <c r="N1627">
        <v>0</v>
      </c>
      <c r="O1627" s="6">
        <v>0</v>
      </c>
      <c r="P1627">
        <v>0</v>
      </c>
      <c r="Q1627" s="8">
        <v>154.18</v>
      </c>
      <c r="R1627" s="8">
        <v>154.18</v>
      </c>
      <c r="S1627" s="9" t="s">
        <v>601</v>
      </c>
    </row>
    <row r="1628" spans="1:19" hidden="1" x14ac:dyDescent="0.25">
      <c r="A1628" t="s">
        <v>134</v>
      </c>
      <c r="B1628" t="s">
        <v>75</v>
      </c>
      <c r="C1628" t="s">
        <v>127</v>
      </c>
      <c r="D1628" t="s">
        <v>527</v>
      </c>
      <c r="E1628" t="s">
        <v>90</v>
      </c>
      <c r="F1628" t="s">
        <v>91</v>
      </c>
      <c r="G1628">
        <v>1</v>
      </c>
      <c r="H1628">
        <v>24</v>
      </c>
      <c r="I1628">
        <v>24</v>
      </c>
      <c r="J1628">
        <v>24</v>
      </c>
      <c r="K1628" s="6">
        <v>100</v>
      </c>
      <c r="L1628" s="6">
        <v>0</v>
      </c>
      <c r="M1628" s="6">
        <v>100</v>
      </c>
      <c r="N1628">
        <v>0</v>
      </c>
      <c r="O1628" s="6">
        <v>0</v>
      </c>
      <c r="P1628">
        <v>0</v>
      </c>
      <c r="Q1628" s="8">
        <v>154.18</v>
      </c>
      <c r="R1628" s="8">
        <v>154.18</v>
      </c>
      <c r="S1628" s="10" t="s">
        <v>602</v>
      </c>
    </row>
    <row r="1629" spans="1:19" hidden="1" x14ac:dyDescent="0.25">
      <c r="A1629" t="s">
        <v>134</v>
      </c>
      <c r="B1629" t="s">
        <v>75</v>
      </c>
      <c r="C1629" t="s">
        <v>127</v>
      </c>
      <c r="D1629" t="s">
        <v>527</v>
      </c>
      <c r="E1629" t="s">
        <v>90</v>
      </c>
      <c r="F1629" t="s">
        <v>94</v>
      </c>
      <c r="G1629">
        <v>2</v>
      </c>
      <c r="H1629">
        <v>24</v>
      </c>
      <c r="I1629">
        <v>24</v>
      </c>
      <c r="J1629">
        <v>24</v>
      </c>
      <c r="K1629" s="6">
        <v>99.84</v>
      </c>
      <c r="L1629" s="6">
        <v>0</v>
      </c>
      <c r="M1629" s="6">
        <v>99.84</v>
      </c>
      <c r="N1629">
        <v>0</v>
      </c>
      <c r="O1629" s="6">
        <v>0</v>
      </c>
      <c r="P1629">
        <v>0</v>
      </c>
      <c r="Q1629" s="8">
        <v>154.18</v>
      </c>
      <c r="R1629" s="8">
        <v>153.93</v>
      </c>
      <c r="S1629" s="10" t="s">
        <v>602</v>
      </c>
    </row>
    <row r="1630" spans="1:19" hidden="1" x14ac:dyDescent="0.25">
      <c r="A1630" t="s">
        <v>134</v>
      </c>
      <c r="B1630" t="s">
        <v>75</v>
      </c>
      <c r="C1630" t="s">
        <v>127</v>
      </c>
      <c r="D1630" t="s">
        <v>527</v>
      </c>
      <c r="E1630" t="s">
        <v>90</v>
      </c>
      <c r="F1630" t="s">
        <v>96</v>
      </c>
      <c r="G1630">
        <v>6</v>
      </c>
      <c r="H1630">
        <v>24</v>
      </c>
      <c r="I1630">
        <v>24</v>
      </c>
      <c r="J1630">
        <v>24</v>
      </c>
      <c r="K1630" s="6">
        <v>99.84</v>
      </c>
      <c r="L1630" s="6">
        <v>0</v>
      </c>
      <c r="M1630" s="6">
        <v>99.84</v>
      </c>
      <c r="N1630">
        <v>0</v>
      </c>
      <c r="O1630" s="6">
        <v>0</v>
      </c>
      <c r="P1630">
        <v>0</v>
      </c>
      <c r="Q1630" s="8">
        <v>154.18</v>
      </c>
      <c r="R1630" s="8">
        <v>153.93</v>
      </c>
      <c r="S1630" s="10" t="s">
        <v>602</v>
      </c>
    </row>
    <row r="1631" spans="1:19" hidden="1" x14ac:dyDescent="0.25">
      <c r="A1631" t="s">
        <v>134</v>
      </c>
      <c r="B1631" t="s">
        <v>75</v>
      </c>
      <c r="C1631" t="s">
        <v>127</v>
      </c>
      <c r="D1631" t="s">
        <v>527</v>
      </c>
      <c r="E1631" t="s">
        <v>90</v>
      </c>
      <c r="F1631" t="s">
        <v>6</v>
      </c>
      <c r="G1631">
        <v>13</v>
      </c>
      <c r="H1631">
        <v>24</v>
      </c>
      <c r="I1631">
        <v>24</v>
      </c>
      <c r="J1631">
        <v>24</v>
      </c>
      <c r="K1631" s="6">
        <v>99.91</v>
      </c>
      <c r="L1631" s="6">
        <v>0</v>
      </c>
      <c r="M1631" s="6">
        <v>99.91</v>
      </c>
      <c r="N1631">
        <v>0</v>
      </c>
      <c r="O1631" s="6">
        <v>0</v>
      </c>
      <c r="P1631">
        <v>0</v>
      </c>
      <c r="Q1631" s="8">
        <v>154.18</v>
      </c>
      <c r="R1631" s="8">
        <v>154.04</v>
      </c>
      <c r="S1631" s="10" t="s">
        <v>602</v>
      </c>
    </row>
    <row r="1632" spans="1:19" hidden="1" x14ac:dyDescent="0.25">
      <c r="A1632" t="s">
        <v>134</v>
      </c>
      <c r="B1632" t="s">
        <v>75</v>
      </c>
      <c r="C1632" t="s">
        <v>127</v>
      </c>
      <c r="D1632" t="s">
        <v>530</v>
      </c>
      <c r="E1632" t="s">
        <v>90</v>
      </c>
      <c r="F1632" t="s">
        <v>90</v>
      </c>
      <c r="G1632">
        <v>0</v>
      </c>
      <c r="H1632">
        <v>21</v>
      </c>
      <c r="I1632">
        <v>21</v>
      </c>
      <c r="J1632">
        <v>21</v>
      </c>
      <c r="K1632" s="6">
        <v>100</v>
      </c>
      <c r="L1632" s="6">
        <v>0</v>
      </c>
      <c r="M1632" s="6">
        <v>100</v>
      </c>
      <c r="N1632">
        <v>0</v>
      </c>
      <c r="O1632" s="6">
        <v>0</v>
      </c>
      <c r="P1632">
        <v>0</v>
      </c>
      <c r="Q1632" s="8">
        <v>184.75</v>
      </c>
      <c r="R1632" s="8">
        <v>184.75</v>
      </c>
      <c r="S1632" s="9" t="s">
        <v>624</v>
      </c>
    </row>
    <row r="1633" spans="1:19" hidden="1" x14ac:dyDescent="0.25">
      <c r="A1633" t="s">
        <v>134</v>
      </c>
      <c r="B1633" t="s">
        <v>75</v>
      </c>
      <c r="C1633" t="s">
        <v>127</v>
      </c>
      <c r="D1633" t="s">
        <v>530</v>
      </c>
      <c r="E1633" t="s">
        <v>90</v>
      </c>
      <c r="F1633" t="s">
        <v>91</v>
      </c>
      <c r="G1633">
        <v>1</v>
      </c>
      <c r="H1633">
        <v>21</v>
      </c>
      <c r="I1633">
        <v>21</v>
      </c>
      <c r="J1633">
        <v>21</v>
      </c>
      <c r="K1633" s="6">
        <v>100</v>
      </c>
      <c r="L1633" s="6">
        <v>0</v>
      </c>
      <c r="M1633" s="6">
        <v>100</v>
      </c>
      <c r="N1633">
        <v>0</v>
      </c>
      <c r="O1633" s="6">
        <v>0</v>
      </c>
      <c r="P1633">
        <v>0</v>
      </c>
      <c r="Q1633" s="8">
        <v>184.75</v>
      </c>
      <c r="R1633" s="8">
        <v>184.75</v>
      </c>
      <c r="S1633" s="10" t="s">
        <v>625</v>
      </c>
    </row>
    <row r="1634" spans="1:19" hidden="1" x14ac:dyDescent="0.25">
      <c r="A1634" t="s">
        <v>134</v>
      </c>
      <c r="B1634" t="s">
        <v>75</v>
      </c>
      <c r="C1634" t="s">
        <v>127</v>
      </c>
      <c r="D1634" t="s">
        <v>530</v>
      </c>
      <c r="E1634" t="s">
        <v>90</v>
      </c>
      <c r="F1634" t="s">
        <v>94</v>
      </c>
      <c r="G1634">
        <v>2</v>
      </c>
      <c r="H1634">
        <v>21</v>
      </c>
      <c r="I1634">
        <v>21</v>
      </c>
      <c r="J1634">
        <v>21</v>
      </c>
      <c r="K1634" s="6">
        <v>99.9</v>
      </c>
      <c r="L1634" s="6">
        <v>0</v>
      </c>
      <c r="M1634" s="6">
        <v>99.9</v>
      </c>
      <c r="N1634">
        <v>0</v>
      </c>
      <c r="O1634" s="6">
        <v>0</v>
      </c>
      <c r="P1634">
        <v>0</v>
      </c>
      <c r="Q1634" s="8">
        <v>184.75</v>
      </c>
      <c r="R1634" s="8">
        <v>184.56</v>
      </c>
      <c r="S1634" s="10" t="s">
        <v>625</v>
      </c>
    </row>
    <row r="1635" spans="1:19" hidden="1" x14ac:dyDescent="0.25">
      <c r="A1635" t="s">
        <v>134</v>
      </c>
      <c r="B1635" t="s">
        <v>75</v>
      </c>
      <c r="C1635" t="s">
        <v>127</v>
      </c>
      <c r="D1635" t="s">
        <v>530</v>
      </c>
      <c r="E1635" t="s">
        <v>90</v>
      </c>
      <c r="F1635" t="s">
        <v>96</v>
      </c>
      <c r="G1635">
        <v>6</v>
      </c>
      <c r="H1635">
        <v>21</v>
      </c>
      <c r="I1635">
        <v>21</v>
      </c>
      <c r="J1635">
        <v>21</v>
      </c>
      <c r="K1635" s="6">
        <v>99.9</v>
      </c>
      <c r="L1635" s="6">
        <v>0</v>
      </c>
      <c r="M1635" s="6">
        <v>99.9</v>
      </c>
      <c r="N1635">
        <v>0</v>
      </c>
      <c r="O1635" s="6">
        <v>0</v>
      </c>
      <c r="P1635">
        <v>0</v>
      </c>
      <c r="Q1635" s="8">
        <v>184.75</v>
      </c>
      <c r="R1635" s="8">
        <v>184.56</v>
      </c>
      <c r="S1635" s="10" t="s">
        <v>625</v>
      </c>
    </row>
    <row r="1636" spans="1:19" hidden="1" x14ac:dyDescent="0.25">
      <c r="A1636" t="s">
        <v>134</v>
      </c>
      <c r="B1636" t="s">
        <v>75</v>
      </c>
      <c r="C1636" t="s">
        <v>127</v>
      </c>
      <c r="D1636" t="s">
        <v>530</v>
      </c>
      <c r="E1636" t="s">
        <v>90</v>
      </c>
      <c r="F1636" t="s">
        <v>6</v>
      </c>
      <c r="G1636">
        <v>13</v>
      </c>
      <c r="H1636">
        <v>21</v>
      </c>
      <c r="I1636">
        <v>21</v>
      </c>
      <c r="J1636">
        <v>21</v>
      </c>
      <c r="K1636" s="6">
        <v>99.9</v>
      </c>
      <c r="L1636" s="6">
        <v>0</v>
      </c>
      <c r="M1636" s="6">
        <v>99.9</v>
      </c>
      <c r="N1636">
        <v>0</v>
      </c>
      <c r="O1636" s="6">
        <v>0</v>
      </c>
      <c r="P1636">
        <v>0</v>
      </c>
      <c r="Q1636" s="8">
        <v>184.75</v>
      </c>
      <c r="R1636" s="8">
        <v>184.56</v>
      </c>
      <c r="S1636" s="10" t="s">
        <v>625</v>
      </c>
    </row>
    <row r="1637" spans="1:19" hidden="1" x14ac:dyDescent="0.25">
      <c r="A1637" t="s">
        <v>134</v>
      </c>
      <c r="B1637" t="s">
        <v>75</v>
      </c>
      <c r="C1637" t="s">
        <v>127</v>
      </c>
      <c r="D1637" t="s">
        <v>531</v>
      </c>
      <c r="E1637" t="s">
        <v>90</v>
      </c>
      <c r="F1637" t="s">
        <v>90</v>
      </c>
      <c r="G1637">
        <v>0</v>
      </c>
      <c r="H1637">
        <v>25</v>
      </c>
      <c r="I1637">
        <v>25</v>
      </c>
      <c r="J1637">
        <v>25</v>
      </c>
      <c r="K1637" s="6">
        <v>100</v>
      </c>
      <c r="L1637" s="6">
        <v>0</v>
      </c>
      <c r="M1637" s="6">
        <v>100</v>
      </c>
      <c r="N1637">
        <v>0</v>
      </c>
      <c r="O1637" s="6">
        <v>0</v>
      </c>
      <c r="P1637">
        <v>0</v>
      </c>
      <c r="Q1637" s="8">
        <v>194.72</v>
      </c>
      <c r="R1637" s="8">
        <v>194.72</v>
      </c>
      <c r="S1637" s="9" t="s">
        <v>599</v>
      </c>
    </row>
    <row r="1638" spans="1:19" hidden="1" x14ac:dyDescent="0.25">
      <c r="A1638" t="s">
        <v>134</v>
      </c>
      <c r="B1638" t="s">
        <v>75</v>
      </c>
      <c r="C1638" t="s">
        <v>127</v>
      </c>
      <c r="D1638" t="s">
        <v>531</v>
      </c>
      <c r="E1638" t="s">
        <v>90</v>
      </c>
      <c r="F1638" t="s">
        <v>91</v>
      </c>
      <c r="G1638">
        <v>1</v>
      </c>
      <c r="H1638">
        <v>25</v>
      </c>
      <c r="I1638">
        <v>25</v>
      </c>
      <c r="J1638">
        <v>25</v>
      </c>
      <c r="K1638" s="6">
        <v>100</v>
      </c>
      <c r="L1638" s="6">
        <v>0</v>
      </c>
      <c r="M1638" s="6">
        <v>100</v>
      </c>
      <c r="N1638">
        <v>0</v>
      </c>
      <c r="O1638" s="6">
        <v>0</v>
      </c>
      <c r="P1638">
        <v>0</v>
      </c>
      <c r="Q1638" s="8">
        <v>194.72</v>
      </c>
      <c r="R1638" s="8">
        <v>194.72</v>
      </c>
      <c r="S1638" s="10" t="s">
        <v>600</v>
      </c>
    </row>
    <row r="1639" spans="1:19" hidden="1" x14ac:dyDescent="0.25">
      <c r="A1639" t="s">
        <v>134</v>
      </c>
      <c r="B1639" t="s">
        <v>75</v>
      </c>
      <c r="C1639" t="s">
        <v>127</v>
      </c>
      <c r="D1639" t="s">
        <v>531</v>
      </c>
      <c r="E1639" t="s">
        <v>90</v>
      </c>
      <c r="F1639" t="s">
        <v>94</v>
      </c>
      <c r="G1639">
        <v>2</v>
      </c>
      <c r="H1639">
        <v>25</v>
      </c>
      <c r="I1639">
        <v>25</v>
      </c>
      <c r="J1639">
        <v>25</v>
      </c>
      <c r="K1639" s="6">
        <v>99.78</v>
      </c>
      <c r="L1639" s="6">
        <v>0</v>
      </c>
      <c r="M1639" s="6">
        <v>99.78</v>
      </c>
      <c r="N1639">
        <v>0</v>
      </c>
      <c r="O1639" s="6">
        <v>0</v>
      </c>
      <c r="P1639">
        <v>0</v>
      </c>
      <c r="Q1639" s="8">
        <v>194.72</v>
      </c>
      <c r="R1639" s="8">
        <v>194.29</v>
      </c>
      <c r="S1639" s="10" t="s">
        <v>600</v>
      </c>
    </row>
    <row r="1640" spans="1:19" hidden="1" x14ac:dyDescent="0.25">
      <c r="A1640" t="s">
        <v>134</v>
      </c>
      <c r="B1640" t="s">
        <v>75</v>
      </c>
      <c r="C1640" t="s">
        <v>127</v>
      </c>
      <c r="D1640" t="s">
        <v>531</v>
      </c>
      <c r="E1640" t="s">
        <v>90</v>
      </c>
      <c r="F1640" t="s">
        <v>96</v>
      </c>
      <c r="G1640">
        <v>6</v>
      </c>
      <c r="H1640">
        <v>25</v>
      </c>
      <c r="I1640">
        <v>25</v>
      </c>
      <c r="J1640">
        <v>25</v>
      </c>
      <c r="K1640" s="6">
        <v>99.78</v>
      </c>
      <c r="L1640" s="6">
        <v>0</v>
      </c>
      <c r="M1640" s="6">
        <v>99.78</v>
      </c>
      <c r="N1640">
        <v>0</v>
      </c>
      <c r="O1640" s="6">
        <v>0</v>
      </c>
      <c r="P1640">
        <v>0</v>
      </c>
      <c r="Q1640" s="8">
        <v>194.72</v>
      </c>
      <c r="R1640" s="8">
        <v>194.29</v>
      </c>
      <c r="S1640" s="10" t="s">
        <v>600</v>
      </c>
    </row>
    <row r="1641" spans="1:19" hidden="1" x14ac:dyDescent="0.25">
      <c r="A1641" t="s">
        <v>134</v>
      </c>
      <c r="B1641" t="s">
        <v>75</v>
      </c>
      <c r="C1641" t="s">
        <v>127</v>
      </c>
      <c r="D1641" t="s">
        <v>531</v>
      </c>
      <c r="E1641" t="s">
        <v>90</v>
      </c>
      <c r="F1641" t="s">
        <v>6</v>
      </c>
      <c r="G1641">
        <v>13</v>
      </c>
      <c r="H1641">
        <v>25</v>
      </c>
      <c r="I1641">
        <v>25</v>
      </c>
      <c r="J1641">
        <v>25</v>
      </c>
      <c r="K1641" s="6">
        <v>99.78</v>
      </c>
      <c r="L1641" s="6">
        <v>0</v>
      </c>
      <c r="M1641" s="6">
        <v>99.78</v>
      </c>
      <c r="N1641">
        <v>0</v>
      </c>
      <c r="O1641" s="6">
        <v>0</v>
      </c>
      <c r="P1641">
        <v>0</v>
      </c>
      <c r="Q1641" s="8">
        <v>194.72</v>
      </c>
      <c r="R1641" s="8">
        <v>194.29</v>
      </c>
      <c r="S1641" s="10" t="s">
        <v>600</v>
      </c>
    </row>
    <row r="1642" spans="1:19" hidden="1" x14ac:dyDescent="0.25">
      <c r="A1642" t="s">
        <v>134</v>
      </c>
      <c r="B1642" t="s">
        <v>75</v>
      </c>
      <c r="C1642" t="s">
        <v>127</v>
      </c>
      <c r="D1642" t="s">
        <v>532</v>
      </c>
      <c r="E1642" t="s">
        <v>90</v>
      </c>
      <c r="F1642" t="s">
        <v>90</v>
      </c>
      <c r="G1642">
        <v>0</v>
      </c>
      <c r="H1642">
        <v>24</v>
      </c>
      <c r="I1642">
        <v>24</v>
      </c>
      <c r="J1642">
        <v>24</v>
      </c>
      <c r="K1642" s="6">
        <v>100</v>
      </c>
      <c r="L1642" s="6">
        <v>0</v>
      </c>
      <c r="M1642" s="6">
        <v>100</v>
      </c>
      <c r="N1642">
        <v>0</v>
      </c>
      <c r="O1642" s="6">
        <v>0</v>
      </c>
      <c r="P1642">
        <v>0</v>
      </c>
      <c r="Q1642" s="8">
        <v>175.14</v>
      </c>
      <c r="R1642" s="8">
        <v>175.14</v>
      </c>
      <c r="S1642" s="9" t="s">
        <v>601</v>
      </c>
    </row>
    <row r="1643" spans="1:19" hidden="1" x14ac:dyDescent="0.25">
      <c r="A1643" t="s">
        <v>134</v>
      </c>
      <c r="B1643" t="s">
        <v>75</v>
      </c>
      <c r="C1643" t="s">
        <v>127</v>
      </c>
      <c r="D1643" t="s">
        <v>532</v>
      </c>
      <c r="E1643" t="s">
        <v>90</v>
      </c>
      <c r="F1643" t="s">
        <v>91</v>
      </c>
      <c r="G1643">
        <v>1</v>
      </c>
      <c r="H1643">
        <v>24</v>
      </c>
      <c r="I1643">
        <v>24</v>
      </c>
      <c r="J1643">
        <v>24</v>
      </c>
      <c r="K1643" s="6">
        <v>100</v>
      </c>
      <c r="L1643" s="6">
        <v>0</v>
      </c>
      <c r="M1643" s="6">
        <v>100</v>
      </c>
      <c r="N1643">
        <v>0</v>
      </c>
      <c r="O1643" s="6">
        <v>0</v>
      </c>
      <c r="P1643">
        <v>0</v>
      </c>
      <c r="Q1643" s="8">
        <v>175.14</v>
      </c>
      <c r="R1643" s="8">
        <v>175.14</v>
      </c>
      <c r="S1643" s="10" t="s">
        <v>602</v>
      </c>
    </row>
    <row r="1644" spans="1:19" hidden="1" x14ac:dyDescent="0.25">
      <c r="A1644" t="s">
        <v>134</v>
      </c>
      <c r="B1644" t="s">
        <v>75</v>
      </c>
      <c r="C1644" t="s">
        <v>127</v>
      </c>
      <c r="D1644" t="s">
        <v>532</v>
      </c>
      <c r="E1644" t="s">
        <v>90</v>
      </c>
      <c r="F1644" t="s">
        <v>94</v>
      </c>
      <c r="G1644">
        <v>2</v>
      </c>
      <c r="H1644">
        <v>24</v>
      </c>
      <c r="I1644">
        <v>24</v>
      </c>
      <c r="J1644">
        <v>24</v>
      </c>
      <c r="K1644" s="6">
        <v>99.76</v>
      </c>
      <c r="L1644" s="6">
        <v>0</v>
      </c>
      <c r="M1644" s="6">
        <v>99.76</v>
      </c>
      <c r="N1644">
        <v>0</v>
      </c>
      <c r="O1644" s="6">
        <v>0</v>
      </c>
      <c r="P1644">
        <v>0</v>
      </c>
      <c r="Q1644" s="8">
        <v>175.14</v>
      </c>
      <c r="R1644" s="8">
        <v>174.73</v>
      </c>
      <c r="S1644" s="10" t="s">
        <v>602</v>
      </c>
    </row>
    <row r="1645" spans="1:19" hidden="1" x14ac:dyDescent="0.25">
      <c r="A1645" t="s">
        <v>134</v>
      </c>
      <c r="B1645" t="s">
        <v>75</v>
      </c>
      <c r="C1645" t="s">
        <v>127</v>
      </c>
      <c r="D1645" t="s">
        <v>532</v>
      </c>
      <c r="E1645" t="s">
        <v>90</v>
      </c>
      <c r="F1645" t="s">
        <v>96</v>
      </c>
      <c r="G1645">
        <v>6</v>
      </c>
      <c r="H1645">
        <v>24</v>
      </c>
      <c r="I1645">
        <v>24</v>
      </c>
      <c r="J1645">
        <v>24</v>
      </c>
      <c r="K1645" s="6">
        <v>99.76</v>
      </c>
      <c r="L1645" s="6">
        <v>0</v>
      </c>
      <c r="M1645" s="6">
        <v>99.76</v>
      </c>
      <c r="N1645">
        <v>0</v>
      </c>
      <c r="O1645" s="6">
        <v>0</v>
      </c>
      <c r="P1645">
        <v>0</v>
      </c>
      <c r="Q1645" s="8">
        <v>175.14</v>
      </c>
      <c r="R1645" s="8">
        <v>174.73</v>
      </c>
      <c r="S1645" s="10" t="s">
        <v>602</v>
      </c>
    </row>
    <row r="1646" spans="1:19" hidden="1" x14ac:dyDescent="0.25">
      <c r="A1646" t="s">
        <v>134</v>
      </c>
      <c r="B1646" t="s">
        <v>75</v>
      </c>
      <c r="C1646" t="s">
        <v>127</v>
      </c>
      <c r="D1646" t="s">
        <v>532</v>
      </c>
      <c r="E1646" t="s">
        <v>90</v>
      </c>
      <c r="F1646" t="s">
        <v>6</v>
      </c>
      <c r="G1646">
        <v>13</v>
      </c>
      <c r="H1646">
        <v>24</v>
      </c>
      <c r="I1646">
        <v>24</v>
      </c>
      <c r="J1646">
        <v>24</v>
      </c>
      <c r="K1646" s="6">
        <v>99.67</v>
      </c>
      <c r="L1646" s="6">
        <v>0</v>
      </c>
      <c r="M1646" s="6">
        <v>99.67</v>
      </c>
      <c r="N1646">
        <v>0</v>
      </c>
      <c r="O1646" s="6">
        <v>0</v>
      </c>
      <c r="P1646">
        <v>0</v>
      </c>
      <c r="Q1646" s="8">
        <v>175.14</v>
      </c>
      <c r="R1646" s="8">
        <v>174.56</v>
      </c>
      <c r="S1646" s="10" t="s">
        <v>602</v>
      </c>
    </row>
    <row r="1647" spans="1:19" hidden="1" x14ac:dyDescent="0.25">
      <c r="A1647" t="s">
        <v>134</v>
      </c>
      <c r="B1647" t="s">
        <v>75</v>
      </c>
      <c r="C1647" t="s">
        <v>127</v>
      </c>
      <c r="D1647" t="s">
        <v>533</v>
      </c>
      <c r="E1647" t="s">
        <v>94</v>
      </c>
      <c r="F1647" t="s">
        <v>94</v>
      </c>
      <c r="G1647">
        <v>0</v>
      </c>
      <c r="H1647">
        <v>23</v>
      </c>
      <c r="I1647">
        <v>23</v>
      </c>
      <c r="J1647">
        <v>23</v>
      </c>
      <c r="K1647" s="6">
        <v>100</v>
      </c>
      <c r="L1647" s="6">
        <v>0</v>
      </c>
      <c r="M1647" s="6">
        <v>100</v>
      </c>
      <c r="N1647">
        <v>0</v>
      </c>
      <c r="O1647" s="6">
        <v>0</v>
      </c>
      <c r="P1647">
        <v>0</v>
      </c>
      <c r="Q1647" s="8">
        <v>154.77000000000001</v>
      </c>
      <c r="R1647" s="8">
        <v>154.77000000000001</v>
      </c>
      <c r="S1647" s="9" t="s">
        <v>621</v>
      </c>
    </row>
    <row r="1648" spans="1:19" hidden="1" x14ac:dyDescent="0.25">
      <c r="A1648" t="s">
        <v>134</v>
      </c>
      <c r="B1648" t="s">
        <v>75</v>
      </c>
      <c r="C1648" t="s">
        <v>127</v>
      </c>
      <c r="D1648" t="s">
        <v>533</v>
      </c>
      <c r="E1648" t="s">
        <v>94</v>
      </c>
      <c r="F1648" t="s">
        <v>96</v>
      </c>
      <c r="G1648">
        <v>4</v>
      </c>
      <c r="H1648">
        <v>23</v>
      </c>
      <c r="I1648">
        <v>23</v>
      </c>
      <c r="J1648">
        <v>23</v>
      </c>
      <c r="K1648" s="6">
        <v>100</v>
      </c>
      <c r="L1648" s="6">
        <v>0</v>
      </c>
      <c r="M1648" s="6">
        <v>100</v>
      </c>
      <c r="N1648">
        <v>0</v>
      </c>
      <c r="O1648" s="6">
        <v>0</v>
      </c>
      <c r="P1648">
        <v>0</v>
      </c>
      <c r="Q1648" s="8">
        <v>154.77000000000001</v>
      </c>
      <c r="R1648" s="8">
        <v>154.77000000000001</v>
      </c>
      <c r="S1648" s="10" t="s">
        <v>132</v>
      </c>
    </row>
    <row r="1649" spans="1:19" hidden="1" x14ac:dyDescent="0.25">
      <c r="A1649" t="s">
        <v>134</v>
      </c>
      <c r="B1649" t="s">
        <v>75</v>
      </c>
      <c r="C1649" t="s">
        <v>127</v>
      </c>
      <c r="D1649" t="s">
        <v>533</v>
      </c>
      <c r="E1649" t="s">
        <v>94</v>
      </c>
      <c r="F1649" t="s">
        <v>6</v>
      </c>
      <c r="G1649">
        <v>11</v>
      </c>
      <c r="H1649">
        <v>23</v>
      </c>
      <c r="I1649">
        <v>23</v>
      </c>
      <c r="J1649">
        <v>23</v>
      </c>
      <c r="K1649" s="6">
        <v>100</v>
      </c>
      <c r="L1649" s="6">
        <v>0</v>
      </c>
      <c r="M1649" s="6">
        <v>100</v>
      </c>
      <c r="N1649">
        <v>0</v>
      </c>
      <c r="O1649" s="6">
        <v>0</v>
      </c>
      <c r="P1649">
        <v>0</v>
      </c>
      <c r="Q1649" s="8">
        <v>154.77000000000001</v>
      </c>
      <c r="R1649" s="8">
        <v>154.77000000000001</v>
      </c>
      <c r="S1649" s="10" t="s">
        <v>132</v>
      </c>
    </row>
    <row r="1650" spans="1:19" hidden="1" x14ac:dyDescent="0.25">
      <c r="A1650" t="s">
        <v>134</v>
      </c>
      <c r="B1650" t="s">
        <v>75</v>
      </c>
      <c r="C1650" t="s">
        <v>127</v>
      </c>
      <c r="D1650" t="s">
        <v>545</v>
      </c>
      <c r="E1650" t="s">
        <v>94</v>
      </c>
      <c r="F1650" t="s">
        <v>94</v>
      </c>
      <c r="G1650">
        <v>0</v>
      </c>
      <c r="H1650">
        <v>31</v>
      </c>
      <c r="I1650">
        <v>31</v>
      </c>
      <c r="J1650">
        <v>31</v>
      </c>
      <c r="K1650" s="6">
        <v>100</v>
      </c>
      <c r="L1650" s="6">
        <v>0</v>
      </c>
      <c r="M1650" s="6">
        <v>100</v>
      </c>
      <c r="N1650">
        <v>0</v>
      </c>
      <c r="O1650" s="6">
        <v>0</v>
      </c>
      <c r="P1650">
        <v>0</v>
      </c>
      <c r="Q1650" s="8">
        <v>150.65</v>
      </c>
      <c r="R1650" s="8">
        <v>150.65</v>
      </c>
      <c r="S1650" s="9" t="s">
        <v>562</v>
      </c>
    </row>
    <row r="1651" spans="1:19" hidden="1" x14ac:dyDescent="0.25">
      <c r="A1651" t="s">
        <v>134</v>
      </c>
      <c r="B1651" t="s">
        <v>75</v>
      </c>
      <c r="C1651" t="s">
        <v>127</v>
      </c>
      <c r="D1651" t="s">
        <v>545</v>
      </c>
      <c r="E1651" t="s">
        <v>94</v>
      </c>
      <c r="F1651" t="s">
        <v>96</v>
      </c>
      <c r="G1651">
        <v>4</v>
      </c>
      <c r="H1651">
        <v>31</v>
      </c>
      <c r="I1651">
        <v>31</v>
      </c>
      <c r="J1651">
        <v>31</v>
      </c>
      <c r="K1651" s="6">
        <v>100</v>
      </c>
      <c r="L1651" s="6">
        <v>0</v>
      </c>
      <c r="M1651" s="6">
        <v>100</v>
      </c>
      <c r="N1651">
        <v>0</v>
      </c>
      <c r="O1651" s="6">
        <v>0</v>
      </c>
      <c r="P1651">
        <v>0</v>
      </c>
      <c r="Q1651" s="8">
        <v>150.65</v>
      </c>
      <c r="R1651" s="8">
        <v>150.65</v>
      </c>
      <c r="S1651" t="s">
        <v>32</v>
      </c>
    </row>
    <row r="1652" spans="1:19" hidden="1" x14ac:dyDescent="0.25">
      <c r="A1652" t="s">
        <v>134</v>
      </c>
      <c r="B1652" t="s">
        <v>75</v>
      </c>
      <c r="C1652" t="s">
        <v>127</v>
      </c>
      <c r="D1652" t="s">
        <v>545</v>
      </c>
      <c r="E1652" t="s">
        <v>94</v>
      </c>
      <c r="F1652" t="s">
        <v>6</v>
      </c>
      <c r="G1652">
        <v>11</v>
      </c>
      <c r="H1652">
        <v>31</v>
      </c>
      <c r="I1652">
        <v>31</v>
      </c>
      <c r="J1652">
        <v>31</v>
      </c>
      <c r="K1652" s="6">
        <v>100</v>
      </c>
      <c r="L1652" s="6">
        <v>0</v>
      </c>
      <c r="M1652" s="6">
        <v>100</v>
      </c>
      <c r="N1652">
        <v>0</v>
      </c>
      <c r="O1652" s="6">
        <v>0</v>
      </c>
      <c r="P1652">
        <v>0</v>
      </c>
      <c r="Q1652" s="8">
        <v>150.65</v>
      </c>
      <c r="R1652" s="8">
        <v>150.65</v>
      </c>
      <c r="S1652" t="s">
        <v>32</v>
      </c>
    </row>
    <row r="1653" spans="1:19" hidden="1" x14ac:dyDescent="0.25">
      <c r="A1653" t="s">
        <v>134</v>
      </c>
      <c r="B1653" t="s">
        <v>75</v>
      </c>
      <c r="C1653" t="s">
        <v>127</v>
      </c>
      <c r="D1653" t="s">
        <v>570</v>
      </c>
      <c r="E1653" t="s">
        <v>94</v>
      </c>
      <c r="F1653" t="s">
        <v>94</v>
      </c>
      <c r="G1653">
        <v>0</v>
      </c>
      <c r="H1653">
        <v>49</v>
      </c>
      <c r="I1653">
        <v>49</v>
      </c>
      <c r="J1653">
        <v>49</v>
      </c>
      <c r="K1653" s="6">
        <v>100</v>
      </c>
      <c r="L1653" s="6">
        <v>0</v>
      </c>
      <c r="M1653" s="6">
        <v>100</v>
      </c>
      <c r="N1653">
        <v>0</v>
      </c>
      <c r="O1653" s="6">
        <v>0</v>
      </c>
      <c r="P1653">
        <v>0</v>
      </c>
      <c r="Q1653" s="8">
        <v>157.38</v>
      </c>
      <c r="R1653" s="8">
        <v>157.38</v>
      </c>
      <c r="S1653" s="9" t="s">
        <v>639</v>
      </c>
    </row>
    <row r="1654" spans="1:19" hidden="1" x14ac:dyDescent="0.25">
      <c r="A1654" t="s">
        <v>134</v>
      </c>
      <c r="B1654" t="s">
        <v>75</v>
      </c>
      <c r="C1654" t="s">
        <v>127</v>
      </c>
      <c r="D1654" t="s">
        <v>570</v>
      </c>
      <c r="E1654" t="s">
        <v>94</v>
      </c>
      <c r="F1654" t="s">
        <v>96</v>
      </c>
      <c r="G1654">
        <v>4</v>
      </c>
      <c r="H1654">
        <v>49</v>
      </c>
      <c r="I1654">
        <v>49</v>
      </c>
      <c r="J1654">
        <v>49</v>
      </c>
      <c r="K1654" s="6">
        <v>99.78</v>
      </c>
      <c r="L1654" s="6">
        <v>0</v>
      </c>
      <c r="M1654" s="6">
        <v>99.78</v>
      </c>
      <c r="N1654">
        <v>0</v>
      </c>
      <c r="O1654" s="6">
        <v>0</v>
      </c>
      <c r="P1654">
        <v>0</v>
      </c>
      <c r="Q1654" s="8">
        <v>157.38</v>
      </c>
      <c r="R1654" s="8">
        <v>157.03</v>
      </c>
      <c r="S1654" t="s">
        <v>32</v>
      </c>
    </row>
    <row r="1655" spans="1:19" hidden="1" x14ac:dyDescent="0.25">
      <c r="A1655" t="s">
        <v>134</v>
      </c>
      <c r="B1655" t="s">
        <v>75</v>
      </c>
      <c r="C1655" t="s">
        <v>127</v>
      </c>
      <c r="D1655" t="s">
        <v>570</v>
      </c>
      <c r="E1655" t="s">
        <v>94</v>
      </c>
      <c r="F1655" t="s">
        <v>6</v>
      </c>
      <c r="G1655">
        <v>11</v>
      </c>
      <c r="H1655">
        <v>49</v>
      </c>
      <c r="I1655">
        <v>49</v>
      </c>
      <c r="J1655">
        <v>49</v>
      </c>
      <c r="K1655" s="6">
        <v>99.64</v>
      </c>
      <c r="L1655" s="6">
        <v>0</v>
      </c>
      <c r="M1655" s="6">
        <v>99.64</v>
      </c>
      <c r="N1655">
        <v>0</v>
      </c>
      <c r="O1655" s="6">
        <v>0</v>
      </c>
      <c r="P1655">
        <v>0</v>
      </c>
      <c r="Q1655" s="8">
        <v>157.38</v>
      </c>
      <c r="R1655" s="8">
        <v>156.81</v>
      </c>
      <c r="S1655" t="s">
        <v>32</v>
      </c>
    </row>
    <row r="1656" spans="1:19" hidden="1" x14ac:dyDescent="0.25">
      <c r="A1656" t="s">
        <v>134</v>
      </c>
      <c r="B1656" t="s">
        <v>75</v>
      </c>
      <c r="C1656" t="s">
        <v>127</v>
      </c>
      <c r="D1656" t="s">
        <v>572</v>
      </c>
      <c r="E1656" t="s">
        <v>94</v>
      </c>
      <c r="F1656" t="s">
        <v>94</v>
      </c>
      <c r="G1656">
        <v>0</v>
      </c>
      <c r="H1656">
        <v>54</v>
      </c>
      <c r="I1656">
        <v>54</v>
      </c>
      <c r="J1656">
        <v>54</v>
      </c>
      <c r="K1656" s="6">
        <v>100</v>
      </c>
      <c r="L1656" s="6">
        <v>0</v>
      </c>
      <c r="M1656" s="6">
        <v>100</v>
      </c>
      <c r="N1656">
        <v>0</v>
      </c>
      <c r="O1656" s="6">
        <v>0</v>
      </c>
      <c r="P1656">
        <v>0</v>
      </c>
      <c r="Q1656" s="8">
        <v>200.01</v>
      </c>
      <c r="R1656" s="8">
        <v>200.01</v>
      </c>
      <c r="S1656" s="9" t="s">
        <v>649</v>
      </c>
    </row>
    <row r="1657" spans="1:19" hidden="1" x14ac:dyDescent="0.25">
      <c r="A1657" t="s">
        <v>134</v>
      </c>
      <c r="B1657" t="s">
        <v>75</v>
      </c>
      <c r="C1657" t="s">
        <v>127</v>
      </c>
      <c r="D1657" t="s">
        <v>572</v>
      </c>
      <c r="E1657" t="s">
        <v>94</v>
      </c>
      <c r="F1657" t="s">
        <v>96</v>
      </c>
      <c r="G1657">
        <v>4</v>
      </c>
      <c r="H1657">
        <v>54</v>
      </c>
      <c r="I1657">
        <v>53</v>
      </c>
      <c r="J1657">
        <v>53</v>
      </c>
      <c r="K1657" s="6">
        <v>99.8</v>
      </c>
      <c r="L1657" s="6">
        <v>0</v>
      </c>
      <c r="M1657" s="6">
        <v>99.14</v>
      </c>
      <c r="N1657">
        <v>-0.66</v>
      </c>
      <c r="O1657" s="6">
        <v>1.9</v>
      </c>
      <c r="P1657">
        <v>0</v>
      </c>
      <c r="Q1657" s="8">
        <v>198.69</v>
      </c>
      <c r="R1657" s="8">
        <v>198.29</v>
      </c>
      <c r="S1657" t="s">
        <v>32</v>
      </c>
    </row>
    <row r="1658" spans="1:19" hidden="1" x14ac:dyDescent="0.25">
      <c r="A1658" t="s">
        <v>134</v>
      </c>
      <c r="B1658" t="s">
        <v>75</v>
      </c>
      <c r="C1658" t="s">
        <v>127</v>
      </c>
      <c r="D1658" t="s">
        <v>572</v>
      </c>
      <c r="E1658" t="s">
        <v>94</v>
      </c>
      <c r="F1658" t="s">
        <v>6</v>
      </c>
      <c r="G1658">
        <v>11</v>
      </c>
      <c r="H1658">
        <v>54</v>
      </c>
      <c r="I1658">
        <v>53</v>
      </c>
      <c r="J1658">
        <v>53</v>
      </c>
      <c r="K1658" s="6">
        <v>99.59</v>
      </c>
      <c r="L1658" s="6">
        <v>0</v>
      </c>
      <c r="M1658" s="6">
        <v>98.94</v>
      </c>
      <c r="N1658">
        <v>-0.65</v>
      </c>
      <c r="O1658" s="6">
        <v>1.9</v>
      </c>
      <c r="P1658">
        <v>0</v>
      </c>
      <c r="Q1658" s="8">
        <v>198.69</v>
      </c>
      <c r="R1658" s="8">
        <v>197.88</v>
      </c>
      <c r="S1658" t="s">
        <v>32</v>
      </c>
    </row>
    <row r="1659" spans="1:19" hidden="1" x14ac:dyDescent="0.25">
      <c r="A1659" t="s">
        <v>134</v>
      </c>
      <c r="B1659" t="s">
        <v>75</v>
      </c>
      <c r="C1659" t="s">
        <v>127</v>
      </c>
      <c r="D1659" t="s">
        <v>574</v>
      </c>
      <c r="E1659" t="s">
        <v>94</v>
      </c>
      <c r="F1659" t="s">
        <v>94</v>
      </c>
      <c r="G1659">
        <v>0</v>
      </c>
      <c r="H1659">
        <v>63</v>
      </c>
      <c r="I1659">
        <v>63</v>
      </c>
      <c r="J1659">
        <v>63</v>
      </c>
      <c r="K1659" s="6">
        <v>100</v>
      </c>
      <c r="L1659" s="6">
        <v>0</v>
      </c>
      <c r="M1659" s="6">
        <v>100</v>
      </c>
      <c r="N1659">
        <v>0</v>
      </c>
      <c r="O1659" s="6">
        <v>0</v>
      </c>
      <c r="P1659">
        <v>0</v>
      </c>
      <c r="Q1659" s="8">
        <v>150.66999999999999</v>
      </c>
      <c r="R1659" s="8">
        <v>150.66999999999999</v>
      </c>
      <c r="S1659" s="9" t="s">
        <v>645</v>
      </c>
    </row>
    <row r="1660" spans="1:19" hidden="1" x14ac:dyDescent="0.25">
      <c r="A1660" t="s">
        <v>134</v>
      </c>
      <c r="B1660" t="s">
        <v>75</v>
      </c>
      <c r="C1660" t="s">
        <v>127</v>
      </c>
      <c r="D1660" t="s">
        <v>574</v>
      </c>
      <c r="E1660" t="s">
        <v>94</v>
      </c>
      <c r="F1660" t="s">
        <v>96</v>
      </c>
      <c r="G1660">
        <v>4</v>
      </c>
      <c r="H1660">
        <v>63</v>
      </c>
      <c r="I1660">
        <v>63</v>
      </c>
      <c r="J1660">
        <v>63</v>
      </c>
      <c r="K1660" s="6">
        <v>99.96</v>
      </c>
      <c r="L1660" s="6">
        <v>0</v>
      </c>
      <c r="M1660" s="6">
        <v>99.96</v>
      </c>
      <c r="N1660">
        <v>0</v>
      </c>
      <c r="O1660" s="6">
        <v>0</v>
      </c>
      <c r="P1660">
        <v>0</v>
      </c>
      <c r="Q1660" s="8">
        <v>150.66999999999999</v>
      </c>
      <c r="R1660" s="8">
        <v>150.61000000000001</v>
      </c>
      <c r="S1660" t="s">
        <v>32</v>
      </c>
    </row>
    <row r="1661" spans="1:19" hidden="1" x14ac:dyDescent="0.25">
      <c r="A1661" t="s">
        <v>134</v>
      </c>
      <c r="B1661" t="s">
        <v>75</v>
      </c>
      <c r="C1661" t="s">
        <v>127</v>
      </c>
      <c r="D1661" t="s">
        <v>574</v>
      </c>
      <c r="E1661" t="s">
        <v>94</v>
      </c>
      <c r="F1661" t="s">
        <v>6</v>
      </c>
      <c r="G1661">
        <v>11</v>
      </c>
      <c r="H1661">
        <v>63</v>
      </c>
      <c r="I1661">
        <v>63</v>
      </c>
      <c r="J1661">
        <v>63</v>
      </c>
      <c r="K1661" s="6">
        <v>99.66</v>
      </c>
      <c r="L1661" s="6">
        <v>0</v>
      </c>
      <c r="M1661" s="6">
        <v>99.66</v>
      </c>
      <c r="N1661">
        <v>0</v>
      </c>
      <c r="O1661" s="6">
        <v>0</v>
      </c>
      <c r="P1661">
        <v>0</v>
      </c>
      <c r="Q1661" s="8">
        <v>150.66999999999999</v>
      </c>
      <c r="R1661" s="8">
        <v>150.16</v>
      </c>
      <c r="S1661" t="s">
        <v>32</v>
      </c>
    </row>
    <row r="1662" spans="1:19" hidden="1" x14ac:dyDescent="0.25">
      <c r="A1662" t="s">
        <v>134</v>
      </c>
      <c r="B1662" t="s">
        <v>75</v>
      </c>
      <c r="C1662" t="s">
        <v>127</v>
      </c>
      <c r="D1662" t="s">
        <v>576</v>
      </c>
      <c r="E1662" t="s">
        <v>94</v>
      </c>
      <c r="F1662" t="s">
        <v>94</v>
      </c>
      <c r="G1662">
        <v>0</v>
      </c>
      <c r="H1662">
        <v>55</v>
      </c>
      <c r="I1662">
        <v>55</v>
      </c>
      <c r="J1662">
        <v>55</v>
      </c>
      <c r="K1662" s="6">
        <v>100</v>
      </c>
      <c r="L1662" s="6">
        <v>0</v>
      </c>
      <c r="M1662" s="6">
        <v>100</v>
      </c>
      <c r="N1662">
        <v>0</v>
      </c>
      <c r="O1662" s="6">
        <v>0</v>
      </c>
      <c r="P1662">
        <v>0</v>
      </c>
      <c r="Q1662" s="8">
        <v>159.77000000000001</v>
      </c>
      <c r="R1662" s="8">
        <v>159.77000000000001</v>
      </c>
      <c r="S1662" s="9" t="s">
        <v>597</v>
      </c>
    </row>
    <row r="1663" spans="1:19" hidden="1" x14ac:dyDescent="0.25">
      <c r="A1663" t="s">
        <v>134</v>
      </c>
      <c r="B1663" t="s">
        <v>75</v>
      </c>
      <c r="C1663" t="s">
        <v>127</v>
      </c>
      <c r="D1663" t="s">
        <v>576</v>
      </c>
      <c r="E1663" t="s">
        <v>94</v>
      </c>
      <c r="F1663" t="s">
        <v>96</v>
      </c>
      <c r="G1663">
        <v>4</v>
      </c>
      <c r="H1663">
        <v>55</v>
      </c>
      <c r="I1663">
        <v>55</v>
      </c>
      <c r="J1663">
        <v>55</v>
      </c>
      <c r="K1663" s="6">
        <v>100</v>
      </c>
      <c r="L1663" s="6">
        <v>0</v>
      </c>
      <c r="M1663" s="6">
        <v>100</v>
      </c>
      <c r="N1663">
        <v>0</v>
      </c>
      <c r="O1663" s="6">
        <v>0</v>
      </c>
      <c r="P1663">
        <v>0</v>
      </c>
      <c r="Q1663" s="8">
        <v>159.77000000000001</v>
      </c>
      <c r="R1663" s="8">
        <v>159.77000000000001</v>
      </c>
      <c r="S1663" t="s">
        <v>32</v>
      </c>
    </row>
    <row r="1664" spans="1:19" hidden="1" x14ac:dyDescent="0.25">
      <c r="A1664" t="s">
        <v>134</v>
      </c>
      <c r="B1664" t="s">
        <v>75</v>
      </c>
      <c r="C1664" t="s">
        <v>127</v>
      </c>
      <c r="D1664" t="s">
        <v>576</v>
      </c>
      <c r="E1664" t="s">
        <v>94</v>
      </c>
      <c r="F1664" t="s">
        <v>6</v>
      </c>
      <c r="G1664">
        <v>11</v>
      </c>
      <c r="H1664">
        <v>55</v>
      </c>
      <c r="I1664">
        <v>55</v>
      </c>
      <c r="J1664">
        <v>55</v>
      </c>
      <c r="K1664" s="6">
        <v>99.74</v>
      </c>
      <c r="L1664" s="6">
        <v>0</v>
      </c>
      <c r="M1664" s="6">
        <v>99.74</v>
      </c>
      <c r="N1664">
        <v>0</v>
      </c>
      <c r="O1664" s="6">
        <v>0</v>
      </c>
      <c r="P1664">
        <v>0</v>
      </c>
      <c r="Q1664" s="8">
        <v>159.77000000000001</v>
      </c>
      <c r="R1664" s="8">
        <v>159.36000000000001</v>
      </c>
      <c r="S1664" t="s">
        <v>32</v>
      </c>
    </row>
    <row r="1665" spans="1:19" hidden="1" x14ac:dyDescent="0.25">
      <c r="A1665" t="s">
        <v>134</v>
      </c>
      <c r="B1665" t="s">
        <v>75</v>
      </c>
      <c r="C1665" t="s">
        <v>127</v>
      </c>
      <c r="D1665" t="s">
        <v>578</v>
      </c>
      <c r="E1665" t="s">
        <v>94</v>
      </c>
      <c r="F1665" t="s">
        <v>94</v>
      </c>
      <c r="G1665">
        <v>0</v>
      </c>
      <c r="H1665">
        <v>61</v>
      </c>
      <c r="I1665">
        <v>61</v>
      </c>
      <c r="J1665">
        <v>61</v>
      </c>
      <c r="K1665" s="6">
        <v>100</v>
      </c>
      <c r="L1665" s="6">
        <v>0</v>
      </c>
      <c r="M1665" s="6">
        <v>100</v>
      </c>
      <c r="N1665">
        <v>0</v>
      </c>
      <c r="O1665" s="6">
        <v>0</v>
      </c>
      <c r="P1665">
        <v>0</v>
      </c>
      <c r="Q1665" s="8">
        <v>167.97</v>
      </c>
      <c r="R1665" s="8">
        <v>167.97</v>
      </c>
      <c r="S1665" s="9" t="s">
        <v>643</v>
      </c>
    </row>
    <row r="1666" spans="1:19" hidden="1" x14ac:dyDescent="0.25">
      <c r="A1666" t="s">
        <v>134</v>
      </c>
      <c r="B1666" t="s">
        <v>75</v>
      </c>
      <c r="C1666" t="s">
        <v>127</v>
      </c>
      <c r="D1666" t="s">
        <v>578</v>
      </c>
      <c r="E1666" t="s">
        <v>94</v>
      </c>
      <c r="F1666" t="s">
        <v>96</v>
      </c>
      <c r="G1666">
        <v>4</v>
      </c>
      <c r="H1666">
        <v>61</v>
      </c>
      <c r="I1666">
        <v>61</v>
      </c>
      <c r="J1666">
        <v>61</v>
      </c>
      <c r="K1666" s="6">
        <v>100</v>
      </c>
      <c r="L1666" s="6">
        <v>0</v>
      </c>
      <c r="M1666" s="6">
        <v>100</v>
      </c>
      <c r="N1666">
        <v>0</v>
      </c>
      <c r="O1666" s="6">
        <v>0</v>
      </c>
      <c r="P1666">
        <v>0</v>
      </c>
      <c r="Q1666" s="8">
        <v>167.97</v>
      </c>
      <c r="R1666" s="8">
        <v>167.97</v>
      </c>
      <c r="S1666" t="s">
        <v>32</v>
      </c>
    </row>
    <row r="1667" spans="1:19" hidden="1" x14ac:dyDescent="0.25">
      <c r="A1667" t="s">
        <v>134</v>
      </c>
      <c r="B1667" t="s">
        <v>75</v>
      </c>
      <c r="C1667" t="s">
        <v>127</v>
      </c>
      <c r="D1667" t="s">
        <v>578</v>
      </c>
      <c r="E1667" t="s">
        <v>94</v>
      </c>
      <c r="F1667" t="s">
        <v>6</v>
      </c>
      <c r="G1667">
        <v>11</v>
      </c>
      <c r="H1667">
        <v>61</v>
      </c>
      <c r="I1667">
        <v>61</v>
      </c>
      <c r="J1667">
        <v>61</v>
      </c>
      <c r="K1667" s="6">
        <v>99.69</v>
      </c>
      <c r="L1667" s="6">
        <v>0</v>
      </c>
      <c r="M1667" s="6">
        <v>99.69</v>
      </c>
      <c r="N1667">
        <v>0</v>
      </c>
      <c r="O1667" s="6">
        <v>0</v>
      </c>
      <c r="P1667">
        <v>0</v>
      </c>
      <c r="Q1667" s="8">
        <v>167.97</v>
      </c>
      <c r="R1667" s="8">
        <v>167.45</v>
      </c>
      <c r="S1667" t="s">
        <v>32</v>
      </c>
    </row>
    <row r="1668" spans="1:19" hidden="1" x14ac:dyDescent="0.25">
      <c r="A1668" t="s">
        <v>134</v>
      </c>
      <c r="B1668" t="s">
        <v>75</v>
      </c>
      <c r="C1668" t="s">
        <v>127</v>
      </c>
      <c r="D1668" t="s">
        <v>580</v>
      </c>
      <c r="E1668" t="s">
        <v>94</v>
      </c>
      <c r="F1668" t="s">
        <v>94</v>
      </c>
      <c r="G1668">
        <v>0</v>
      </c>
      <c r="H1668">
        <v>38</v>
      </c>
      <c r="I1668">
        <v>38</v>
      </c>
      <c r="J1668">
        <v>38</v>
      </c>
      <c r="K1668" s="6">
        <v>100</v>
      </c>
      <c r="L1668" s="6">
        <v>0</v>
      </c>
      <c r="M1668" s="6">
        <v>100</v>
      </c>
      <c r="N1668">
        <v>0</v>
      </c>
      <c r="O1668" s="6">
        <v>0</v>
      </c>
      <c r="P1668">
        <v>0</v>
      </c>
      <c r="Q1668" s="8">
        <v>168.95</v>
      </c>
      <c r="R1668" s="8">
        <v>168.95</v>
      </c>
      <c r="S1668" s="9" t="s">
        <v>610</v>
      </c>
    </row>
    <row r="1669" spans="1:19" hidden="1" x14ac:dyDescent="0.25">
      <c r="A1669" t="s">
        <v>134</v>
      </c>
      <c r="B1669" t="s">
        <v>75</v>
      </c>
      <c r="C1669" t="s">
        <v>127</v>
      </c>
      <c r="D1669" t="s">
        <v>580</v>
      </c>
      <c r="E1669" t="s">
        <v>94</v>
      </c>
      <c r="F1669" t="s">
        <v>96</v>
      </c>
      <c r="G1669">
        <v>4</v>
      </c>
      <c r="H1669">
        <v>38</v>
      </c>
      <c r="I1669">
        <v>38</v>
      </c>
      <c r="J1669">
        <v>38</v>
      </c>
      <c r="K1669" s="6">
        <v>100</v>
      </c>
      <c r="L1669" s="6">
        <v>0</v>
      </c>
      <c r="M1669" s="6">
        <v>100</v>
      </c>
      <c r="N1669">
        <v>0</v>
      </c>
      <c r="O1669" s="6">
        <v>0</v>
      </c>
      <c r="P1669">
        <v>0</v>
      </c>
      <c r="Q1669" s="8">
        <v>168.95</v>
      </c>
      <c r="R1669" s="8">
        <v>168.95</v>
      </c>
      <c r="S1669" t="s">
        <v>32</v>
      </c>
    </row>
    <row r="1670" spans="1:19" hidden="1" x14ac:dyDescent="0.25">
      <c r="A1670" t="s">
        <v>134</v>
      </c>
      <c r="B1670" t="s">
        <v>75</v>
      </c>
      <c r="C1670" t="s">
        <v>127</v>
      </c>
      <c r="D1670" t="s">
        <v>580</v>
      </c>
      <c r="E1670" t="s">
        <v>94</v>
      </c>
      <c r="F1670" t="s">
        <v>6</v>
      </c>
      <c r="G1670">
        <v>11</v>
      </c>
      <c r="H1670">
        <v>38</v>
      </c>
      <c r="I1670">
        <v>38</v>
      </c>
      <c r="J1670">
        <v>38</v>
      </c>
      <c r="K1670" s="6">
        <v>99.89</v>
      </c>
      <c r="L1670" s="6">
        <v>0</v>
      </c>
      <c r="M1670" s="6">
        <v>99.89</v>
      </c>
      <c r="N1670">
        <v>0</v>
      </c>
      <c r="O1670" s="6">
        <v>0</v>
      </c>
      <c r="P1670">
        <v>0</v>
      </c>
      <c r="Q1670" s="8">
        <v>168.95</v>
      </c>
      <c r="R1670" s="8">
        <v>168.76</v>
      </c>
      <c r="S1670" t="s">
        <v>32</v>
      </c>
    </row>
    <row r="1671" spans="1:19" hidden="1" x14ac:dyDescent="0.25">
      <c r="A1671" t="s">
        <v>134</v>
      </c>
      <c r="B1671" t="s">
        <v>75</v>
      </c>
      <c r="C1671" t="s">
        <v>127</v>
      </c>
      <c r="D1671" t="s">
        <v>582</v>
      </c>
      <c r="E1671" t="s">
        <v>94</v>
      </c>
      <c r="F1671" t="s">
        <v>94</v>
      </c>
      <c r="G1671">
        <v>0</v>
      </c>
      <c r="H1671">
        <v>21</v>
      </c>
      <c r="I1671">
        <v>21</v>
      </c>
      <c r="J1671">
        <v>21</v>
      </c>
      <c r="K1671" s="6">
        <v>100</v>
      </c>
      <c r="L1671" s="6">
        <v>0</v>
      </c>
      <c r="M1671" s="6">
        <v>100</v>
      </c>
      <c r="N1671">
        <v>0</v>
      </c>
      <c r="O1671" s="6">
        <v>0</v>
      </c>
      <c r="P1671">
        <v>0</v>
      </c>
      <c r="Q1671" s="8">
        <v>176.49</v>
      </c>
      <c r="R1671" s="8">
        <v>176.49</v>
      </c>
      <c r="S1671" s="9" t="s">
        <v>624</v>
      </c>
    </row>
    <row r="1672" spans="1:19" hidden="1" x14ac:dyDescent="0.25">
      <c r="A1672" t="s">
        <v>134</v>
      </c>
      <c r="B1672" t="s">
        <v>75</v>
      </c>
      <c r="C1672" t="s">
        <v>127</v>
      </c>
      <c r="D1672" t="s">
        <v>582</v>
      </c>
      <c r="E1672" t="s">
        <v>94</v>
      </c>
      <c r="F1672" t="s">
        <v>96</v>
      </c>
      <c r="G1672">
        <v>4</v>
      </c>
      <c r="H1672">
        <v>21</v>
      </c>
      <c r="I1672">
        <v>21</v>
      </c>
      <c r="J1672">
        <v>21</v>
      </c>
      <c r="K1672" s="6">
        <v>100</v>
      </c>
      <c r="L1672" s="6">
        <v>0</v>
      </c>
      <c r="M1672" s="6">
        <v>100</v>
      </c>
      <c r="N1672">
        <v>0</v>
      </c>
      <c r="O1672" s="6">
        <v>0</v>
      </c>
      <c r="P1672">
        <v>0</v>
      </c>
      <c r="Q1672" s="8">
        <v>176.49</v>
      </c>
      <c r="R1672" s="8">
        <v>176.49</v>
      </c>
      <c r="S1672" s="10" t="s">
        <v>625</v>
      </c>
    </row>
    <row r="1673" spans="1:19" hidden="1" x14ac:dyDescent="0.25">
      <c r="A1673" t="s">
        <v>134</v>
      </c>
      <c r="B1673" t="s">
        <v>75</v>
      </c>
      <c r="C1673" t="s">
        <v>127</v>
      </c>
      <c r="D1673" t="s">
        <v>582</v>
      </c>
      <c r="E1673" t="s">
        <v>94</v>
      </c>
      <c r="F1673" t="s">
        <v>6</v>
      </c>
      <c r="G1673">
        <v>11</v>
      </c>
      <c r="H1673">
        <v>21</v>
      </c>
      <c r="I1673">
        <v>21</v>
      </c>
      <c r="J1673">
        <v>21</v>
      </c>
      <c r="K1673" s="6">
        <v>100</v>
      </c>
      <c r="L1673" s="6">
        <v>0</v>
      </c>
      <c r="M1673" s="6">
        <v>100</v>
      </c>
      <c r="N1673">
        <v>0</v>
      </c>
      <c r="O1673" s="6">
        <v>0</v>
      </c>
      <c r="P1673">
        <v>0</v>
      </c>
      <c r="Q1673" s="8">
        <v>176.49</v>
      </c>
      <c r="R1673" s="8">
        <v>176.49</v>
      </c>
      <c r="S1673" s="10" t="s">
        <v>625</v>
      </c>
    </row>
    <row r="1674" spans="1:19" hidden="1" x14ac:dyDescent="0.25">
      <c r="A1674" t="s">
        <v>134</v>
      </c>
      <c r="B1674" t="s">
        <v>75</v>
      </c>
      <c r="C1674" t="s">
        <v>127</v>
      </c>
      <c r="D1674" t="s">
        <v>583</v>
      </c>
      <c r="E1674" t="s">
        <v>94</v>
      </c>
      <c r="F1674" t="s">
        <v>94</v>
      </c>
      <c r="G1674">
        <v>0</v>
      </c>
      <c r="H1674">
        <v>21</v>
      </c>
      <c r="I1674">
        <v>21</v>
      </c>
      <c r="J1674">
        <v>21</v>
      </c>
      <c r="K1674" s="6">
        <v>100</v>
      </c>
      <c r="L1674" s="6">
        <v>0</v>
      </c>
      <c r="M1674" s="6">
        <v>100</v>
      </c>
      <c r="N1674">
        <v>0</v>
      </c>
      <c r="O1674" s="6">
        <v>0</v>
      </c>
      <c r="P1674">
        <v>0</v>
      </c>
      <c r="Q1674" s="8">
        <v>204.8</v>
      </c>
      <c r="R1674" s="8">
        <v>204.8</v>
      </c>
      <c r="S1674" s="9" t="s">
        <v>624</v>
      </c>
    </row>
    <row r="1675" spans="1:19" hidden="1" x14ac:dyDescent="0.25">
      <c r="A1675" t="s">
        <v>134</v>
      </c>
      <c r="B1675" t="s">
        <v>75</v>
      </c>
      <c r="C1675" t="s">
        <v>127</v>
      </c>
      <c r="D1675" t="s">
        <v>583</v>
      </c>
      <c r="E1675" t="s">
        <v>94</v>
      </c>
      <c r="F1675" t="s">
        <v>96</v>
      </c>
      <c r="G1675">
        <v>4</v>
      </c>
      <c r="H1675">
        <v>21</v>
      </c>
      <c r="I1675">
        <v>21</v>
      </c>
      <c r="J1675">
        <v>21</v>
      </c>
      <c r="K1675" s="6">
        <v>100</v>
      </c>
      <c r="L1675" s="6">
        <v>0</v>
      </c>
      <c r="M1675" s="6">
        <v>100</v>
      </c>
      <c r="N1675">
        <v>0</v>
      </c>
      <c r="O1675" s="6">
        <v>0</v>
      </c>
      <c r="P1675">
        <v>0</v>
      </c>
      <c r="Q1675" s="8">
        <v>204.8</v>
      </c>
      <c r="R1675" s="8">
        <v>204.8</v>
      </c>
      <c r="S1675" s="10" t="s">
        <v>625</v>
      </c>
    </row>
    <row r="1676" spans="1:19" hidden="1" x14ac:dyDescent="0.25">
      <c r="A1676" t="s">
        <v>134</v>
      </c>
      <c r="B1676" t="s">
        <v>75</v>
      </c>
      <c r="C1676" t="s">
        <v>127</v>
      </c>
      <c r="D1676" t="s">
        <v>583</v>
      </c>
      <c r="E1676" t="s">
        <v>94</v>
      </c>
      <c r="F1676" t="s">
        <v>6</v>
      </c>
      <c r="G1676">
        <v>11</v>
      </c>
      <c r="H1676">
        <v>21</v>
      </c>
      <c r="I1676">
        <v>21</v>
      </c>
      <c r="J1676">
        <v>21</v>
      </c>
      <c r="K1676" s="6">
        <v>100</v>
      </c>
      <c r="L1676" s="6">
        <v>0</v>
      </c>
      <c r="M1676" s="6">
        <v>100</v>
      </c>
      <c r="N1676">
        <v>0</v>
      </c>
      <c r="O1676" s="6">
        <v>0</v>
      </c>
      <c r="P1676">
        <v>0</v>
      </c>
      <c r="Q1676" s="8">
        <v>204.8</v>
      </c>
      <c r="R1676" s="8">
        <v>204.8</v>
      </c>
      <c r="S1676" s="10" t="s">
        <v>625</v>
      </c>
    </row>
    <row r="1677" spans="1:19" hidden="1" x14ac:dyDescent="0.25">
      <c r="A1677" t="s">
        <v>134</v>
      </c>
      <c r="B1677" t="s">
        <v>75</v>
      </c>
      <c r="C1677" t="s">
        <v>127</v>
      </c>
      <c r="D1677" t="s">
        <v>585</v>
      </c>
      <c r="E1677" t="s">
        <v>94</v>
      </c>
      <c r="F1677" t="s">
        <v>94</v>
      </c>
      <c r="G1677">
        <v>0</v>
      </c>
      <c r="H1677">
        <v>24</v>
      </c>
      <c r="I1677">
        <v>24</v>
      </c>
      <c r="J1677">
        <v>24</v>
      </c>
      <c r="K1677" s="6">
        <v>100</v>
      </c>
      <c r="L1677" s="6">
        <v>0</v>
      </c>
      <c r="M1677" s="6">
        <v>100</v>
      </c>
      <c r="N1677">
        <v>0</v>
      </c>
      <c r="O1677" s="6">
        <v>0</v>
      </c>
      <c r="P1677">
        <v>0</v>
      </c>
      <c r="Q1677" s="8">
        <v>212.11</v>
      </c>
      <c r="R1677" s="8">
        <v>212.11</v>
      </c>
      <c r="S1677" s="9" t="s">
        <v>601</v>
      </c>
    </row>
    <row r="1678" spans="1:19" hidden="1" x14ac:dyDescent="0.25">
      <c r="A1678" t="s">
        <v>134</v>
      </c>
      <c r="B1678" t="s">
        <v>75</v>
      </c>
      <c r="C1678" t="s">
        <v>127</v>
      </c>
      <c r="D1678" t="s">
        <v>585</v>
      </c>
      <c r="E1678" t="s">
        <v>94</v>
      </c>
      <c r="F1678" t="s">
        <v>96</v>
      </c>
      <c r="G1678">
        <v>4</v>
      </c>
      <c r="H1678">
        <v>24</v>
      </c>
      <c r="I1678">
        <v>24</v>
      </c>
      <c r="J1678">
        <v>24</v>
      </c>
      <c r="K1678" s="6">
        <v>100</v>
      </c>
      <c r="L1678" s="6">
        <v>0</v>
      </c>
      <c r="M1678" s="6">
        <v>100</v>
      </c>
      <c r="N1678">
        <v>0</v>
      </c>
      <c r="O1678" s="6">
        <v>0</v>
      </c>
      <c r="P1678">
        <v>0</v>
      </c>
      <c r="Q1678" s="8">
        <v>212.11</v>
      </c>
      <c r="R1678" s="8">
        <v>212.11</v>
      </c>
      <c r="S1678" s="10" t="s">
        <v>602</v>
      </c>
    </row>
    <row r="1679" spans="1:19" hidden="1" x14ac:dyDescent="0.25">
      <c r="A1679" t="s">
        <v>134</v>
      </c>
      <c r="B1679" t="s">
        <v>75</v>
      </c>
      <c r="C1679" t="s">
        <v>127</v>
      </c>
      <c r="D1679" t="s">
        <v>585</v>
      </c>
      <c r="E1679" t="s">
        <v>94</v>
      </c>
      <c r="F1679" t="s">
        <v>6</v>
      </c>
      <c r="G1679">
        <v>11</v>
      </c>
      <c r="H1679">
        <v>24</v>
      </c>
      <c r="I1679">
        <v>24</v>
      </c>
      <c r="J1679">
        <v>24</v>
      </c>
      <c r="K1679" s="6">
        <v>100</v>
      </c>
      <c r="L1679" s="6">
        <v>0</v>
      </c>
      <c r="M1679" s="6">
        <v>100</v>
      </c>
      <c r="N1679">
        <v>0</v>
      </c>
      <c r="O1679" s="6">
        <v>0</v>
      </c>
      <c r="P1679">
        <v>0</v>
      </c>
      <c r="Q1679" s="8">
        <v>212.11</v>
      </c>
      <c r="R1679" s="8">
        <v>212.11</v>
      </c>
      <c r="S1679" s="10" t="s">
        <v>602</v>
      </c>
    </row>
    <row r="1680" spans="1:19" hidden="1" x14ac:dyDescent="0.25">
      <c r="A1680" t="s">
        <v>134</v>
      </c>
      <c r="B1680" t="s">
        <v>75</v>
      </c>
      <c r="C1680" t="s">
        <v>127</v>
      </c>
      <c r="D1680" t="s">
        <v>588</v>
      </c>
      <c r="E1680" t="s">
        <v>94</v>
      </c>
      <c r="F1680" t="s">
        <v>94</v>
      </c>
      <c r="G1680">
        <v>0</v>
      </c>
      <c r="H1680">
        <v>20</v>
      </c>
      <c r="I1680">
        <v>20</v>
      </c>
      <c r="J1680">
        <v>20</v>
      </c>
      <c r="K1680" s="6">
        <v>100</v>
      </c>
      <c r="L1680" s="6">
        <v>0</v>
      </c>
      <c r="M1680" s="6">
        <v>100</v>
      </c>
      <c r="N1680">
        <v>0</v>
      </c>
      <c r="O1680" s="6">
        <v>0</v>
      </c>
      <c r="P1680">
        <v>0</v>
      </c>
      <c r="Q1680" s="8">
        <v>188.15</v>
      </c>
      <c r="R1680" s="8">
        <v>188.15</v>
      </c>
      <c r="S1680" s="9" t="s">
        <v>622</v>
      </c>
    </row>
    <row r="1681" spans="1:19" hidden="1" x14ac:dyDescent="0.25">
      <c r="A1681" t="s">
        <v>134</v>
      </c>
      <c r="B1681" t="s">
        <v>75</v>
      </c>
      <c r="C1681" t="s">
        <v>127</v>
      </c>
      <c r="D1681" t="s">
        <v>588</v>
      </c>
      <c r="E1681" t="s">
        <v>94</v>
      </c>
      <c r="F1681" t="s">
        <v>96</v>
      </c>
      <c r="G1681">
        <v>4</v>
      </c>
      <c r="H1681">
        <v>20</v>
      </c>
      <c r="I1681">
        <v>20</v>
      </c>
      <c r="J1681">
        <v>20</v>
      </c>
      <c r="K1681" s="6">
        <v>100</v>
      </c>
      <c r="L1681" s="6">
        <v>0</v>
      </c>
      <c r="M1681" s="6">
        <v>100</v>
      </c>
      <c r="N1681">
        <v>0</v>
      </c>
      <c r="O1681" s="6">
        <v>0</v>
      </c>
      <c r="P1681">
        <v>0</v>
      </c>
      <c r="Q1681" s="8">
        <v>188.15</v>
      </c>
      <c r="R1681" s="8">
        <v>188.15</v>
      </c>
      <c r="S1681" s="10" t="s">
        <v>487</v>
      </c>
    </row>
    <row r="1682" spans="1:19" hidden="1" x14ac:dyDescent="0.25">
      <c r="A1682" t="s">
        <v>134</v>
      </c>
      <c r="B1682" t="s">
        <v>75</v>
      </c>
      <c r="C1682" t="s">
        <v>127</v>
      </c>
      <c r="D1682" t="s">
        <v>588</v>
      </c>
      <c r="E1682" t="s">
        <v>94</v>
      </c>
      <c r="F1682" t="s">
        <v>6</v>
      </c>
      <c r="G1682">
        <v>11</v>
      </c>
      <c r="H1682">
        <v>20</v>
      </c>
      <c r="I1682">
        <v>20</v>
      </c>
      <c r="J1682">
        <v>20</v>
      </c>
      <c r="K1682" s="6">
        <v>100</v>
      </c>
      <c r="L1682" s="6">
        <v>0</v>
      </c>
      <c r="M1682" s="6">
        <v>100</v>
      </c>
      <c r="N1682">
        <v>0</v>
      </c>
      <c r="O1682" s="6">
        <v>0</v>
      </c>
      <c r="P1682">
        <v>0</v>
      </c>
      <c r="Q1682" s="8">
        <v>188.15</v>
      </c>
      <c r="R1682" s="8">
        <v>188.15</v>
      </c>
      <c r="S1682" s="10" t="s">
        <v>487</v>
      </c>
    </row>
    <row r="1683" spans="1:19" hidden="1" x14ac:dyDescent="0.25">
      <c r="A1683" t="s">
        <v>134</v>
      </c>
      <c r="B1683" t="s">
        <v>75</v>
      </c>
      <c r="C1683" t="s">
        <v>127</v>
      </c>
      <c r="D1683" t="s">
        <v>589</v>
      </c>
      <c r="E1683" t="s">
        <v>94</v>
      </c>
      <c r="F1683" t="s">
        <v>94</v>
      </c>
      <c r="G1683">
        <v>0</v>
      </c>
      <c r="H1683">
        <v>23</v>
      </c>
      <c r="I1683">
        <v>23</v>
      </c>
      <c r="J1683">
        <v>23</v>
      </c>
      <c r="K1683" s="6">
        <v>100</v>
      </c>
      <c r="L1683" s="6">
        <v>0</v>
      </c>
      <c r="M1683" s="6">
        <v>100</v>
      </c>
      <c r="N1683">
        <v>0</v>
      </c>
      <c r="O1683" s="6">
        <v>0</v>
      </c>
      <c r="P1683">
        <v>0</v>
      </c>
      <c r="Q1683" s="8">
        <v>167.92</v>
      </c>
      <c r="R1683" s="8">
        <v>167.92</v>
      </c>
      <c r="S1683" s="9" t="s">
        <v>621</v>
      </c>
    </row>
    <row r="1684" spans="1:19" hidden="1" x14ac:dyDescent="0.25">
      <c r="A1684" t="s">
        <v>134</v>
      </c>
      <c r="B1684" t="s">
        <v>75</v>
      </c>
      <c r="C1684" t="s">
        <v>127</v>
      </c>
      <c r="D1684" t="s">
        <v>589</v>
      </c>
      <c r="E1684" t="s">
        <v>94</v>
      </c>
      <c r="F1684" t="s">
        <v>96</v>
      </c>
      <c r="G1684">
        <v>4</v>
      </c>
      <c r="H1684">
        <v>23</v>
      </c>
      <c r="I1684">
        <v>23</v>
      </c>
      <c r="J1684">
        <v>23</v>
      </c>
      <c r="K1684" s="6">
        <v>100</v>
      </c>
      <c r="L1684" s="6">
        <v>0</v>
      </c>
      <c r="M1684" s="6">
        <v>100</v>
      </c>
      <c r="N1684">
        <v>0</v>
      </c>
      <c r="O1684" s="6">
        <v>0</v>
      </c>
      <c r="P1684">
        <v>0</v>
      </c>
      <c r="Q1684" s="8">
        <v>167.92</v>
      </c>
      <c r="R1684" s="8">
        <v>167.92</v>
      </c>
      <c r="S1684" s="10" t="s">
        <v>132</v>
      </c>
    </row>
    <row r="1685" spans="1:19" hidden="1" x14ac:dyDescent="0.25">
      <c r="A1685" t="s">
        <v>134</v>
      </c>
      <c r="B1685" t="s">
        <v>75</v>
      </c>
      <c r="C1685" t="s">
        <v>127</v>
      </c>
      <c r="D1685" t="s">
        <v>589</v>
      </c>
      <c r="E1685" t="s">
        <v>94</v>
      </c>
      <c r="F1685" t="s">
        <v>6</v>
      </c>
      <c r="G1685">
        <v>11</v>
      </c>
      <c r="H1685">
        <v>23</v>
      </c>
      <c r="I1685">
        <v>23</v>
      </c>
      <c r="J1685">
        <v>23</v>
      </c>
      <c r="K1685" s="6">
        <v>100</v>
      </c>
      <c r="L1685" s="6">
        <v>0</v>
      </c>
      <c r="M1685" s="6">
        <v>100</v>
      </c>
      <c r="N1685">
        <v>0</v>
      </c>
      <c r="O1685" s="6">
        <v>0</v>
      </c>
      <c r="P1685">
        <v>0</v>
      </c>
      <c r="Q1685" s="8">
        <v>167.92</v>
      </c>
      <c r="R1685" s="8">
        <v>167.92</v>
      </c>
      <c r="S1685" s="10" t="s">
        <v>132</v>
      </c>
    </row>
    <row r="1686" spans="1:19" hidden="1" x14ac:dyDescent="0.25">
      <c r="A1686" t="s">
        <v>134</v>
      </c>
      <c r="B1686" t="s">
        <v>75</v>
      </c>
      <c r="C1686" t="s">
        <v>127</v>
      </c>
      <c r="D1686" t="s">
        <v>590</v>
      </c>
      <c r="E1686" t="s">
        <v>94</v>
      </c>
      <c r="F1686" t="s">
        <v>94</v>
      </c>
      <c r="G1686">
        <v>0</v>
      </c>
      <c r="H1686">
        <v>15</v>
      </c>
      <c r="I1686">
        <v>15</v>
      </c>
      <c r="J1686">
        <v>15</v>
      </c>
      <c r="K1686" s="6">
        <v>100</v>
      </c>
      <c r="L1686" s="6">
        <v>0</v>
      </c>
      <c r="M1686" s="6">
        <v>100</v>
      </c>
      <c r="N1686">
        <v>0</v>
      </c>
      <c r="O1686" s="6">
        <v>0</v>
      </c>
      <c r="P1686">
        <v>0</v>
      </c>
      <c r="Q1686" s="8">
        <v>156.80000000000001</v>
      </c>
      <c r="R1686" s="8">
        <v>156.80000000000001</v>
      </c>
      <c r="S1686" s="9" t="s">
        <v>611</v>
      </c>
    </row>
    <row r="1687" spans="1:19" hidden="1" x14ac:dyDescent="0.25">
      <c r="A1687" t="s">
        <v>134</v>
      </c>
      <c r="B1687" t="s">
        <v>75</v>
      </c>
      <c r="C1687" t="s">
        <v>127</v>
      </c>
      <c r="D1687" t="s">
        <v>590</v>
      </c>
      <c r="E1687" t="s">
        <v>94</v>
      </c>
      <c r="F1687" t="s">
        <v>96</v>
      </c>
      <c r="G1687">
        <v>4</v>
      </c>
      <c r="H1687">
        <v>15</v>
      </c>
      <c r="I1687">
        <v>15</v>
      </c>
      <c r="J1687">
        <v>15</v>
      </c>
      <c r="K1687" s="6">
        <v>100</v>
      </c>
      <c r="L1687" s="6">
        <v>0</v>
      </c>
      <c r="M1687" s="6">
        <v>100</v>
      </c>
      <c r="N1687">
        <v>0</v>
      </c>
      <c r="O1687" s="6">
        <v>0</v>
      </c>
      <c r="P1687">
        <v>0</v>
      </c>
      <c r="Q1687" s="8">
        <v>156.80000000000001</v>
      </c>
      <c r="R1687" s="8">
        <v>156.80000000000001</v>
      </c>
      <c r="S1687" s="10" t="s">
        <v>616</v>
      </c>
    </row>
    <row r="1688" spans="1:19" hidden="1" x14ac:dyDescent="0.25">
      <c r="A1688" t="s">
        <v>134</v>
      </c>
      <c r="B1688" t="s">
        <v>75</v>
      </c>
      <c r="C1688" t="s">
        <v>127</v>
      </c>
      <c r="D1688" t="s">
        <v>590</v>
      </c>
      <c r="E1688" t="s">
        <v>94</v>
      </c>
      <c r="F1688" t="s">
        <v>6</v>
      </c>
      <c r="G1688">
        <v>11</v>
      </c>
      <c r="H1688">
        <v>15</v>
      </c>
      <c r="I1688">
        <v>15</v>
      </c>
      <c r="J1688">
        <v>15</v>
      </c>
      <c r="K1688" s="6">
        <v>100</v>
      </c>
      <c r="L1688" s="6">
        <v>0</v>
      </c>
      <c r="M1688" s="6">
        <v>100</v>
      </c>
      <c r="N1688">
        <v>0</v>
      </c>
      <c r="O1688" s="6">
        <v>0</v>
      </c>
      <c r="P1688">
        <v>0</v>
      </c>
      <c r="Q1688" s="8">
        <v>156.80000000000001</v>
      </c>
      <c r="R1688" s="8">
        <v>156.80000000000001</v>
      </c>
      <c r="S1688" s="10" t="s">
        <v>616</v>
      </c>
    </row>
    <row r="1689" spans="1:19" hidden="1" x14ac:dyDescent="0.25">
      <c r="A1689" t="s">
        <v>134</v>
      </c>
      <c r="B1689" t="s">
        <v>75</v>
      </c>
      <c r="C1689" t="s">
        <v>128</v>
      </c>
      <c r="D1689" t="s">
        <v>539</v>
      </c>
      <c r="E1689" t="s">
        <v>91</v>
      </c>
      <c r="F1689" t="s">
        <v>91</v>
      </c>
      <c r="G1689">
        <v>0</v>
      </c>
      <c r="H1689">
        <v>30</v>
      </c>
      <c r="I1689">
        <v>30</v>
      </c>
      <c r="J1689">
        <v>30</v>
      </c>
      <c r="K1689" s="6">
        <v>100</v>
      </c>
      <c r="L1689" s="6">
        <v>0</v>
      </c>
      <c r="M1689" s="6">
        <v>100</v>
      </c>
      <c r="N1689">
        <v>0</v>
      </c>
      <c r="O1689" s="6">
        <v>0</v>
      </c>
      <c r="P1689">
        <v>0</v>
      </c>
      <c r="Q1689" s="8">
        <v>374.97</v>
      </c>
      <c r="R1689" s="8">
        <v>374.97</v>
      </c>
      <c r="S1689" s="9" t="s">
        <v>563</v>
      </c>
    </row>
    <row r="1690" spans="1:19" hidden="1" x14ac:dyDescent="0.25">
      <c r="A1690" t="s">
        <v>134</v>
      </c>
      <c r="B1690" t="s">
        <v>75</v>
      </c>
      <c r="C1690" t="s">
        <v>128</v>
      </c>
      <c r="D1690" t="s">
        <v>539</v>
      </c>
      <c r="E1690" t="s">
        <v>91</v>
      </c>
      <c r="F1690" t="s">
        <v>94</v>
      </c>
      <c r="G1690">
        <v>1</v>
      </c>
      <c r="H1690">
        <v>30</v>
      </c>
      <c r="I1690">
        <v>32</v>
      </c>
      <c r="J1690">
        <v>30</v>
      </c>
      <c r="K1690" s="6">
        <v>99</v>
      </c>
      <c r="L1690" s="6">
        <v>0</v>
      </c>
      <c r="M1690" s="6">
        <v>100.18</v>
      </c>
      <c r="N1690">
        <v>1.18</v>
      </c>
      <c r="O1690" s="6">
        <v>0</v>
      </c>
      <c r="P1690">
        <v>2</v>
      </c>
      <c r="Q1690" s="8">
        <v>374.97</v>
      </c>
      <c r="R1690" s="8">
        <v>371.22</v>
      </c>
      <c r="S1690" t="s">
        <v>32</v>
      </c>
    </row>
    <row r="1691" spans="1:19" hidden="1" x14ac:dyDescent="0.25">
      <c r="A1691" t="s">
        <v>134</v>
      </c>
      <c r="B1691" t="s">
        <v>75</v>
      </c>
      <c r="C1691" t="s">
        <v>128</v>
      </c>
      <c r="D1691" t="s">
        <v>539</v>
      </c>
      <c r="E1691" t="s">
        <v>91</v>
      </c>
      <c r="F1691" t="s">
        <v>96</v>
      </c>
      <c r="G1691">
        <v>5</v>
      </c>
      <c r="H1691">
        <v>30</v>
      </c>
      <c r="I1691">
        <v>31</v>
      </c>
      <c r="J1691">
        <v>30</v>
      </c>
      <c r="K1691" s="6">
        <v>99.61</v>
      </c>
      <c r="L1691" s="6">
        <v>0</v>
      </c>
      <c r="M1691" s="6">
        <v>100.59</v>
      </c>
      <c r="N1691">
        <v>0.98</v>
      </c>
      <c r="O1691" s="6">
        <v>0</v>
      </c>
      <c r="P1691">
        <v>1</v>
      </c>
      <c r="Q1691" s="8">
        <v>374.97</v>
      </c>
      <c r="R1691" s="8">
        <v>373.53</v>
      </c>
      <c r="S1691" t="s">
        <v>32</v>
      </c>
    </row>
    <row r="1692" spans="1:19" hidden="1" x14ac:dyDescent="0.25">
      <c r="A1692" t="s">
        <v>134</v>
      </c>
      <c r="B1692" t="s">
        <v>75</v>
      </c>
      <c r="C1692" t="s">
        <v>128</v>
      </c>
      <c r="D1692" t="s">
        <v>539</v>
      </c>
      <c r="E1692" t="s">
        <v>91</v>
      </c>
      <c r="F1692" t="s">
        <v>6</v>
      </c>
      <c r="G1692">
        <v>12</v>
      </c>
      <c r="H1692">
        <v>30</v>
      </c>
      <c r="I1692">
        <v>23</v>
      </c>
      <c r="J1692">
        <v>21</v>
      </c>
      <c r="K1692" s="6">
        <v>99.18</v>
      </c>
      <c r="L1692" s="6">
        <v>0</v>
      </c>
      <c r="M1692" s="6">
        <v>95.32</v>
      </c>
      <c r="N1692">
        <v>-3.86</v>
      </c>
      <c r="O1692" s="6">
        <v>30</v>
      </c>
      <c r="P1692">
        <v>2</v>
      </c>
      <c r="Q1692" s="8">
        <v>358.58</v>
      </c>
      <c r="R1692" s="8">
        <v>355.64</v>
      </c>
      <c r="S1692" s="10" t="s">
        <v>625</v>
      </c>
    </row>
    <row r="1693" spans="1:19" hidden="1" x14ac:dyDescent="0.25">
      <c r="A1693" t="s">
        <v>134</v>
      </c>
      <c r="B1693" t="s">
        <v>75</v>
      </c>
      <c r="C1693" t="s">
        <v>128</v>
      </c>
      <c r="D1693" t="s">
        <v>552</v>
      </c>
      <c r="E1693" t="s">
        <v>91</v>
      </c>
      <c r="F1693" t="s">
        <v>91</v>
      </c>
      <c r="G1693">
        <v>0</v>
      </c>
      <c r="H1693">
        <v>75</v>
      </c>
      <c r="I1693">
        <v>75</v>
      </c>
      <c r="J1693">
        <v>75</v>
      </c>
      <c r="K1693" s="6">
        <v>100</v>
      </c>
      <c r="L1693" s="6">
        <v>0</v>
      </c>
      <c r="M1693" s="6">
        <v>100</v>
      </c>
      <c r="N1693">
        <v>0</v>
      </c>
      <c r="O1693" s="6">
        <v>0</v>
      </c>
      <c r="P1693">
        <v>0</v>
      </c>
      <c r="Q1693" s="8">
        <v>417.56</v>
      </c>
      <c r="R1693" s="8">
        <v>417.56</v>
      </c>
      <c r="S1693" s="9" t="s">
        <v>551</v>
      </c>
    </row>
    <row r="1694" spans="1:19" hidden="1" x14ac:dyDescent="0.25">
      <c r="A1694" t="s">
        <v>134</v>
      </c>
      <c r="B1694" t="s">
        <v>75</v>
      </c>
      <c r="C1694" t="s">
        <v>128</v>
      </c>
      <c r="D1694" t="s">
        <v>552</v>
      </c>
      <c r="E1694" t="s">
        <v>91</v>
      </c>
      <c r="F1694" t="s">
        <v>94</v>
      </c>
      <c r="G1694">
        <v>1</v>
      </c>
      <c r="H1694">
        <v>75</v>
      </c>
      <c r="I1694">
        <v>75</v>
      </c>
      <c r="J1694">
        <v>75</v>
      </c>
      <c r="K1694" s="6">
        <v>98.42</v>
      </c>
      <c r="L1694" s="6">
        <v>0</v>
      </c>
      <c r="M1694" s="6">
        <v>98.42</v>
      </c>
      <c r="N1694">
        <v>0</v>
      </c>
      <c r="O1694" s="6">
        <v>0</v>
      </c>
      <c r="P1694">
        <v>0</v>
      </c>
      <c r="Q1694" s="8">
        <v>417.56</v>
      </c>
      <c r="R1694" s="8">
        <v>410.98</v>
      </c>
      <c r="S1694" t="s">
        <v>32</v>
      </c>
    </row>
    <row r="1695" spans="1:19" hidden="1" x14ac:dyDescent="0.25">
      <c r="A1695" t="s">
        <v>134</v>
      </c>
      <c r="B1695" t="s">
        <v>75</v>
      </c>
      <c r="C1695" t="s">
        <v>128</v>
      </c>
      <c r="D1695" t="s">
        <v>552</v>
      </c>
      <c r="E1695" t="s">
        <v>91</v>
      </c>
      <c r="F1695" t="s">
        <v>96</v>
      </c>
      <c r="G1695">
        <v>5</v>
      </c>
      <c r="H1695">
        <v>75</v>
      </c>
      <c r="I1695">
        <v>75</v>
      </c>
      <c r="J1695">
        <v>75</v>
      </c>
      <c r="K1695" s="6">
        <v>98.74</v>
      </c>
      <c r="L1695" s="6">
        <v>0</v>
      </c>
      <c r="M1695" s="6">
        <v>98.74</v>
      </c>
      <c r="N1695">
        <v>0</v>
      </c>
      <c r="O1695" s="6">
        <v>0</v>
      </c>
      <c r="P1695">
        <v>0</v>
      </c>
      <c r="Q1695" s="8">
        <v>417.56</v>
      </c>
      <c r="R1695" s="8">
        <v>412.31</v>
      </c>
      <c r="S1695" t="s">
        <v>32</v>
      </c>
    </row>
    <row r="1696" spans="1:19" hidden="1" x14ac:dyDescent="0.25">
      <c r="A1696" t="s">
        <v>134</v>
      </c>
      <c r="B1696" t="s">
        <v>75</v>
      </c>
      <c r="C1696" t="s">
        <v>128</v>
      </c>
      <c r="D1696" t="s">
        <v>552</v>
      </c>
      <c r="E1696" t="s">
        <v>91</v>
      </c>
      <c r="F1696" t="s">
        <v>6</v>
      </c>
      <c r="G1696">
        <v>12</v>
      </c>
      <c r="H1696">
        <v>75</v>
      </c>
      <c r="I1696">
        <v>78</v>
      </c>
      <c r="J1696">
        <v>73</v>
      </c>
      <c r="K1696" s="6">
        <v>98.85</v>
      </c>
      <c r="L1696" s="6">
        <v>-2.0499999999999998</v>
      </c>
      <c r="M1696" s="6">
        <v>98.55</v>
      </c>
      <c r="N1696">
        <v>-0.3</v>
      </c>
      <c r="O1696" s="6">
        <v>2.7</v>
      </c>
      <c r="P1696">
        <v>5</v>
      </c>
      <c r="Q1696" s="8">
        <v>420.1</v>
      </c>
      <c r="R1696" s="8">
        <v>415.29</v>
      </c>
      <c r="S1696" t="s">
        <v>32</v>
      </c>
    </row>
    <row r="1697" spans="1:19" hidden="1" x14ac:dyDescent="0.25">
      <c r="A1697" t="s">
        <v>134</v>
      </c>
      <c r="B1697" t="s">
        <v>75</v>
      </c>
      <c r="C1697" t="s">
        <v>128</v>
      </c>
      <c r="D1697" t="s">
        <v>554</v>
      </c>
      <c r="E1697" t="s">
        <v>91</v>
      </c>
      <c r="F1697" t="s">
        <v>91</v>
      </c>
      <c r="G1697">
        <v>0</v>
      </c>
      <c r="H1697">
        <v>63</v>
      </c>
      <c r="I1697">
        <v>63</v>
      </c>
      <c r="J1697">
        <v>63</v>
      </c>
      <c r="K1697" s="6">
        <v>100</v>
      </c>
      <c r="L1697" s="6">
        <v>0</v>
      </c>
      <c r="M1697" s="6">
        <v>100</v>
      </c>
      <c r="N1697">
        <v>0</v>
      </c>
      <c r="O1697" s="6">
        <v>0</v>
      </c>
      <c r="P1697">
        <v>0</v>
      </c>
      <c r="Q1697" s="8">
        <v>530.61</v>
      </c>
      <c r="R1697" s="8">
        <v>530.61</v>
      </c>
      <c r="S1697" s="9" t="s">
        <v>645</v>
      </c>
    </row>
    <row r="1698" spans="1:19" hidden="1" x14ac:dyDescent="0.25">
      <c r="A1698" t="s">
        <v>134</v>
      </c>
      <c r="B1698" t="s">
        <v>75</v>
      </c>
      <c r="C1698" t="s">
        <v>128</v>
      </c>
      <c r="D1698" t="s">
        <v>554</v>
      </c>
      <c r="E1698" t="s">
        <v>91</v>
      </c>
      <c r="F1698" t="s">
        <v>94</v>
      </c>
      <c r="G1698">
        <v>1</v>
      </c>
      <c r="H1698">
        <v>63</v>
      </c>
      <c r="I1698">
        <v>63</v>
      </c>
      <c r="J1698">
        <v>63</v>
      </c>
      <c r="K1698" s="6">
        <v>99.61</v>
      </c>
      <c r="L1698" s="6">
        <v>0</v>
      </c>
      <c r="M1698" s="6">
        <v>99.61</v>
      </c>
      <c r="N1698">
        <v>0</v>
      </c>
      <c r="O1698" s="6">
        <v>0</v>
      </c>
      <c r="P1698">
        <v>0</v>
      </c>
      <c r="Q1698" s="8">
        <v>530.61</v>
      </c>
      <c r="R1698" s="8">
        <v>528.54</v>
      </c>
      <c r="S1698" t="s">
        <v>32</v>
      </c>
    </row>
    <row r="1699" spans="1:19" hidden="1" x14ac:dyDescent="0.25">
      <c r="A1699" t="s">
        <v>134</v>
      </c>
      <c r="B1699" t="s">
        <v>75</v>
      </c>
      <c r="C1699" t="s">
        <v>128</v>
      </c>
      <c r="D1699" t="s">
        <v>554</v>
      </c>
      <c r="E1699" t="s">
        <v>91</v>
      </c>
      <c r="F1699" t="s">
        <v>96</v>
      </c>
      <c r="G1699">
        <v>5</v>
      </c>
      <c r="H1699">
        <v>63</v>
      </c>
      <c r="I1699">
        <v>62</v>
      </c>
      <c r="J1699">
        <v>62</v>
      </c>
      <c r="K1699" s="6">
        <v>99.49</v>
      </c>
      <c r="L1699" s="6">
        <v>0</v>
      </c>
      <c r="M1699" s="6">
        <v>98.13</v>
      </c>
      <c r="N1699">
        <v>-1.36</v>
      </c>
      <c r="O1699" s="6">
        <v>1.6</v>
      </c>
      <c r="P1699">
        <v>0</v>
      </c>
      <c r="Q1699" s="8">
        <v>523.34</v>
      </c>
      <c r="R1699" s="8">
        <v>520.66999999999996</v>
      </c>
      <c r="S1699" t="s">
        <v>32</v>
      </c>
    </row>
    <row r="1700" spans="1:19" hidden="1" x14ac:dyDescent="0.25">
      <c r="A1700" t="s">
        <v>134</v>
      </c>
      <c r="B1700" t="s">
        <v>75</v>
      </c>
      <c r="C1700" t="s">
        <v>128</v>
      </c>
      <c r="D1700" t="s">
        <v>554</v>
      </c>
      <c r="E1700" t="s">
        <v>91</v>
      </c>
      <c r="F1700" t="s">
        <v>6</v>
      </c>
      <c r="G1700">
        <v>12</v>
      </c>
      <c r="H1700">
        <v>63</v>
      </c>
      <c r="I1700">
        <v>62</v>
      </c>
      <c r="J1700">
        <v>60</v>
      </c>
      <c r="K1700" s="6">
        <v>98.34</v>
      </c>
      <c r="L1700" s="6">
        <v>-1.94</v>
      </c>
      <c r="M1700" s="6">
        <v>96.41</v>
      </c>
      <c r="N1700">
        <v>-1.93</v>
      </c>
      <c r="O1700" s="6">
        <v>4.8</v>
      </c>
      <c r="P1700">
        <v>2</v>
      </c>
      <c r="Q1700" s="8">
        <v>523.22</v>
      </c>
      <c r="R1700" s="8">
        <v>514.52</v>
      </c>
      <c r="S1700" t="s">
        <v>32</v>
      </c>
    </row>
    <row r="1701" spans="1:19" hidden="1" x14ac:dyDescent="0.25">
      <c r="A1701" t="s">
        <v>134</v>
      </c>
      <c r="B1701" t="s">
        <v>75</v>
      </c>
      <c r="C1701" t="s">
        <v>128</v>
      </c>
      <c r="D1701" t="s">
        <v>555</v>
      </c>
      <c r="E1701" t="s">
        <v>90</v>
      </c>
      <c r="F1701" t="s">
        <v>90</v>
      </c>
      <c r="G1701">
        <v>0</v>
      </c>
      <c r="H1701">
        <v>90</v>
      </c>
      <c r="I1701">
        <v>90</v>
      </c>
      <c r="J1701">
        <v>90</v>
      </c>
      <c r="K1701" s="6">
        <v>100</v>
      </c>
      <c r="L1701" s="6">
        <v>0</v>
      </c>
      <c r="M1701" s="6">
        <v>100</v>
      </c>
      <c r="N1701">
        <v>0</v>
      </c>
      <c r="O1701" s="6">
        <v>0</v>
      </c>
      <c r="P1701">
        <v>0</v>
      </c>
      <c r="Q1701" s="8">
        <v>468.16</v>
      </c>
      <c r="R1701" s="8">
        <v>468.16</v>
      </c>
      <c r="S1701" s="9" t="s">
        <v>650</v>
      </c>
    </row>
    <row r="1702" spans="1:19" hidden="1" x14ac:dyDescent="0.25">
      <c r="A1702" t="s">
        <v>134</v>
      </c>
      <c r="B1702" t="s">
        <v>75</v>
      </c>
      <c r="C1702" t="s">
        <v>128</v>
      </c>
      <c r="D1702" t="s">
        <v>555</v>
      </c>
      <c r="E1702" t="s">
        <v>90</v>
      </c>
      <c r="F1702" t="s">
        <v>91</v>
      </c>
      <c r="G1702">
        <v>1</v>
      </c>
      <c r="H1702">
        <v>90</v>
      </c>
      <c r="I1702">
        <v>90</v>
      </c>
      <c r="J1702">
        <v>90</v>
      </c>
      <c r="K1702" s="6">
        <v>100.17</v>
      </c>
      <c r="L1702" s="6">
        <v>0</v>
      </c>
      <c r="M1702" s="6">
        <v>100.17</v>
      </c>
      <c r="N1702">
        <v>0</v>
      </c>
      <c r="O1702" s="6">
        <v>0</v>
      </c>
      <c r="P1702">
        <v>0</v>
      </c>
      <c r="Q1702" s="8">
        <v>468.16</v>
      </c>
      <c r="R1702" s="8">
        <v>468.97</v>
      </c>
      <c r="S1702" t="s">
        <v>32</v>
      </c>
    </row>
    <row r="1703" spans="1:19" hidden="1" x14ac:dyDescent="0.25">
      <c r="A1703" t="s">
        <v>134</v>
      </c>
      <c r="B1703" t="s">
        <v>75</v>
      </c>
      <c r="C1703" t="s">
        <v>128</v>
      </c>
      <c r="D1703" t="s">
        <v>555</v>
      </c>
      <c r="E1703" t="s">
        <v>90</v>
      </c>
      <c r="F1703" t="s">
        <v>94</v>
      </c>
      <c r="G1703">
        <v>2</v>
      </c>
      <c r="H1703">
        <v>90</v>
      </c>
      <c r="I1703">
        <v>90</v>
      </c>
      <c r="J1703">
        <v>90</v>
      </c>
      <c r="K1703" s="6">
        <v>97.94</v>
      </c>
      <c r="L1703" s="6">
        <v>0</v>
      </c>
      <c r="M1703" s="6">
        <v>97.94</v>
      </c>
      <c r="N1703">
        <v>0</v>
      </c>
      <c r="O1703" s="6">
        <v>0</v>
      </c>
      <c r="P1703">
        <v>0</v>
      </c>
      <c r="Q1703" s="8">
        <v>468.16</v>
      </c>
      <c r="R1703" s="8">
        <v>458.51</v>
      </c>
      <c r="S1703" t="s">
        <v>32</v>
      </c>
    </row>
    <row r="1704" spans="1:19" hidden="1" x14ac:dyDescent="0.25">
      <c r="A1704" t="s">
        <v>134</v>
      </c>
      <c r="B1704" t="s">
        <v>75</v>
      </c>
      <c r="C1704" t="s">
        <v>128</v>
      </c>
      <c r="D1704" t="s">
        <v>555</v>
      </c>
      <c r="E1704" t="s">
        <v>90</v>
      </c>
      <c r="F1704" t="s">
        <v>96</v>
      </c>
      <c r="G1704">
        <v>6</v>
      </c>
      <c r="H1704">
        <v>90</v>
      </c>
      <c r="I1704">
        <v>90</v>
      </c>
      <c r="J1704">
        <v>90</v>
      </c>
      <c r="K1704" s="6">
        <v>98.48</v>
      </c>
      <c r="L1704" s="6">
        <v>0</v>
      </c>
      <c r="M1704" s="6">
        <v>98.48</v>
      </c>
      <c r="N1704">
        <v>0</v>
      </c>
      <c r="O1704" s="6">
        <v>0</v>
      </c>
      <c r="P1704">
        <v>0</v>
      </c>
      <c r="Q1704" s="8">
        <v>468.16</v>
      </c>
      <c r="R1704" s="8">
        <v>461.05</v>
      </c>
      <c r="S1704" t="s">
        <v>32</v>
      </c>
    </row>
    <row r="1705" spans="1:19" hidden="1" x14ac:dyDescent="0.25">
      <c r="A1705" t="s">
        <v>134</v>
      </c>
      <c r="B1705" t="s">
        <v>75</v>
      </c>
      <c r="C1705" t="s">
        <v>128</v>
      </c>
      <c r="D1705" t="s">
        <v>555</v>
      </c>
      <c r="E1705" t="s">
        <v>90</v>
      </c>
      <c r="F1705" t="s">
        <v>6</v>
      </c>
      <c r="G1705">
        <v>13</v>
      </c>
      <c r="H1705">
        <v>90</v>
      </c>
      <c r="I1705">
        <v>89</v>
      </c>
      <c r="J1705">
        <v>89</v>
      </c>
      <c r="K1705" s="6">
        <v>96.09</v>
      </c>
      <c r="L1705" s="6">
        <v>-1.83</v>
      </c>
      <c r="M1705" s="6">
        <v>93.25</v>
      </c>
      <c r="N1705">
        <v>-2.84</v>
      </c>
      <c r="O1705" s="6">
        <v>1.1000000000000001</v>
      </c>
      <c r="P1705">
        <v>0</v>
      </c>
      <c r="Q1705" s="8">
        <v>454.33</v>
      </c>
      <c r="R1705" s="8">
        <v>436.56</v>
      </c>
      <c r="S1705" t="s">
        <v>32</v>
      </c>
    </row>
    <row r="1706" spans="1:19" hidden="1" x14ac:dyDescent="0.25">
      <c r="A1706" t="s">
        <v>134</v>
      </c>
      <c r="B1706" t="s">
        <v>75</v>
      </c>
      <c r="C1706" t="s">
        <v>128</v>
      </c>
      <c r="D1706" t="s">
        <v>557</v>
      </c>
      <c r="E1706" t="s">
        <v>90</v>
      </c>
      <c r="F1706" t="s">
        <v>90</v>
      </c>
      <c r="G1706">
        <v>0</v>
      </c>
      <c r="H1706">
        <v>79</v>
      </c>
      <c r="I1706">
        <v>79</v>
      </c>
      <c r="J1706">
        <v>79</v>
      </c>
      <c r="K1706" s="6">
        <v>100</v>
      </c>
      <c r="L1706" s="6">
        <v>0</v>
      </c>
      <c r="M1706" s="6">
        <v>100</v>
      </c>
      <c r="N1706">
        <v>0</v>
      </c>
      <c r="O1706" s="6">
        <v>0</v>
      </c>
      <c r="P1706">
        <v>0</v>
      </c>
      <c r="Q1706" s="8">
        <v>478.56</v>
      </c>
      <c r="R1706" s="8">
        <v>478.56</v>
      </c>
      <c r="S1706" s="9" t="s">
        <v>651</v>
      </c>
    </row>
    <row r="1707" spans="1:19" hidden="1" x14ac:dyDescent="0.25">
      <c r="A1707" t="s">
        <v>134</v>
      </c>
      <c r="B1707" t="s">
        <v>75</v>
      </c>
      <c r="C1707" t="s">
        <v>128</v>
      </c>
      <c r="D1707" t="s">
        <v>557</v>
      </c>
      <c r="E1707" t="s">
        <v>90</v>
      </c>
      <c r="F1707" t="s">
        <v>91</v>
      </c>
      <c r="G1707">
        <v>1</v>
      </c>
      <c r="H1707">
        <v>79</v>
      </c>
      <c r="I1707">
        <v>79</v>
      </c>
      <c r="J1707">
        <v>79</v>
      </c>
      <c r="K1707" s="6">
        <v>100</v>
      </c>
      <c r="L1707" s="6">
        <v>0</v>
      </c>
      <c r="M1707" s="6">
        <v>100</v>
      </c>
      <c r="N1707">
        <v>0</v>
      </c>
      <c r="O1707" s="6">
        <v>0</v>
      </c>
      <c r="P1707">
        <v>0</v>
      </c>
      <c r="Q1707" s="8">
        <v>478.56</v>
      </c>
      <c r="R1707" s="8">
        <v>478.56</v>
      </c>
      <c r="S1707" t="s">
        <v>32</v>
      </c>
    </row>
    <row r="1708" spans="1:19" hidden="1" x14ac:dyDescent="0.25">
      <c r="A1708" t="s">
        <v>134</v>
      </c>
      <c r="B1708" t="s">
        <v>75</v>
      </c>
      <c r="C1708" t="s">
        <v>128</v>
      </c>
      <c r="D1708" t="s">
        <v>557</v>
      </c>
      <c r="E1708" t="s">
        <v>90</v>
      </c>
      <c r="F1708" t="s">
        <v>94</v>
      </c>
      <c r="G1708">
        <v>2</v>
      </c>
      <c r="H1708">
        <v>79</v>
      </c>
      <c r="I1708">
        <v>78</v>
      </c>
      <c r="J1708">
        <v>78</v>
      </c>
      <c r="K1708" s="6">
        <v>99.74</v>
      </c>
      <c r="L1708" s="6">
        <v>0</v>
      </c>
      <c r="M1708" s="6">
        <v>99.24</v>
      </c>
      <c r="N1708">
        <v>-0.5</v>
      </c>
      <c r="O1708" s="6">
        <v>1.3</v>
      </c>
      <c r="P1708">
        <v>0</v>
      </c>
      <c r="Q1708" s="8">
        <v>476.17</v>
      </c>
      <c r="R1708" s="8">
        <v>474.92</v>
      </c>
      <c r="S1708" t="s">
        <v>32</v>
      </c>
    </row>
    <row r="1709" spans="1:19" hidden="1" x14ac:dyDescent="0.25">
      <c r="A1709" t="s">
        <v>134</v>
      </c>
      <c r="B1709" t="s">
        <v>75</v>
      </c>
      <c r="C1709" t="s">
        <v>128</v>
      </c>
      <c r="D1709" t="s">
        <v>557</v>
      </c>
      <c r="E1709" t="s">
        <v>90</v>
      </c>
      <c r="F1709" t="s">
        <v>96</v>
      </c>
      <c r="G1709">
        <v>6</v>
      </c>
      <c r="H1709">
        <v>79</v>
      </c>
      <c r="I1709">
        <v>79</v>
      </c>
      <c r="J1709">
        <v>79</v>
      </c>
      <c r="K1709" s="6">
        <v>100.63</v>
      </c>
      <c r="L1709" s="6">
        <v>0</v>
      </c>
      <c r="M1709" s="6">
        <v>100.63</v>
      </c>
      <c r="N1709">
        <v>0</v>
      </c>
      <c r="O1709" s="6">
        <v>0</v>
      </c>
      <c r="P1709">
        <v>0</v>
      </c>
      <c r="Q1709" s="8">
        <v>478.56</v>
      </c>
      <c r="R1709" s="8">
        <v>481.56</v>
      </c>
      <c r="S1709" t="s">
        <v>32</v>
      </c>
    </row>
    <row r="1710" spans="1:19" hidden="1" x14ac:dyDescent="0.25">
      <c r="A1710" t="s">
        <v>134</v>
      </c>
      <c r="B1710" t="s">
        <v>75</v>
      </c>
      <c r="C1710" t="s">
        <v>128</v>
      </c>
      <c r="D1710" t="s">
        <v>557</v>
      </c>
      <c r="E1710" t="s">
        <v>90</v>
      </c>
      <c r="F1710" t="s">
        <v>6</v>
      </c>
      <c r="G1710">
        <v>13</v>
      </c>
      <c r="H1710">
        <v>79</v>
      </c>
      <c r="I1710">
        <v>79</v>
      </c>
      <c r="J1710">
        <v>79</v>
      </c>
      <c r="K1710" s="6">
        <v>99.01</v>
      </c>
      <c r="L1710" s="6">
        <v>0</v>
      </c>
      <c r="M1710" s="6">
        <v>99.01</v>
      </c>
      <c r="N1710">
        <v>0</v>
      </c>
      <c r="O1710" s="6">
        <v>0</v>
      </c>
      <c r="P1710">
        <v>0</v>
      </c>
      <c r="Q1710" s="8">
        <v>478.56</v>
      </c>
      <c r="R1710" s="8">
        <v>473.8</v>
      </c>
      <c r="S1710" t="s">
        <v>32</v>
      </c>
    </row>
    <row r="1711" spans="1:19" hidden="1" x14ac:dyDescent="0.25">
      <c r="A1711" t="s">
        <v>134</v>
      </c>
      <c r="B1711" t="s">
        <v>75</v>
      </c>
      <c r="C1711" t="s">
        <v>128</v>
      </c>
      <c r="D1711" t="s">
        <v>560</v>
      </c>
      <c r="E1711" t="s">
        <v>90</v>
      </c>
      <c r="F1711" t="s">
        <v>90</v>
      </c>
      <c r="G1711">
        <v>0</v>
      </c>
      <c r="H1711">
        <v>93</v>
      </c>
      <c r="I1711">
        <v>93</v>
      </c>
      <c r="J1711">
        <v>93</v>
      </c>
      <c r="K1711" s="6">
        <v>100</v>
      </c>
      <c r="L1711" s="6">
        <v>0</v>
      </c>
      <c r="M1711" s="6">
        <v>100</v>
      </c>
      <c r="N1711">
        <v>0</v>
      </c>
      <c r="O1711" s="6">
        <v>0</v>
      </c>
      <c r="P1711">
        <v>0</v>
      </c>
      <c r="Q1711" s="8">
        <v>496.68</v>
      </c>
      <c r="R1711" s="8">
        <v>496.68</v>
      </c>
      <c r="S1711" s="9" t="s">
        <v>652</v>
      </c>
    </row>
    <row r="1712" spans="1:19" hidden="1" x14ac:dyDescent="0.25">
      <c r="A1712" t="s">
        <v>134</v>
      </c>
      <c r="B1712" t="s">
        <v>75</v>
      </c>
      <c r="C1712" t="s">
        <v>128</v>
      </c>
      <c r="D1712" t="s">
        <v>560</v>
      </c>
      <c r="E1712" t="s">
        <v>90</v>
      </c>
      <c r="F1712" t="s">
        <v>91</v>
      </c>
      <c r="G1712">
        <v>1</v>
      </c>
      <c r="H1712">
        <v>93</v>
      </c>
      <c r="I1712">
        <v>93</v>
      </c>
      <c r="J1712">
        <v>93</v>
      </c>
      <c r="K1712" s="6">
        <v>100.37</v>
      </c>
      <c r="L1712" s="6">
        <v>0</v>
      </c>
      <c r="M1712" s="6">
        <v>100.37</v>
      </c>
      <c r="N1712">
        <v>0</v>
      </c>
      <c r="O1712" s="6">
        <v>0</v>
      </c>
      <c r="P1712">
        <v>0</v>
      </c>
      <c r="Q1712" s="8">
        <v>496.68</v>
      </c>
      <c r="R1712" s="8">
        <v>498.52</v>
      </c>
      <c r="S1712" t="s">
        <v>32</v>
      </c>
    </row>
    <row r="1713" spans="1:19" hidden="1" x14ac:dyDescent="0.25">
      <c r="A1713" t="s">
        <v>134</v>
      </c>
      <c r="B1713" t="s">
        <v>75</v>
      </c>
      <c r="C1713" t="s">
        <v>128</v>
      </c>
      <c r="D1713" t="s">
        <v>560</v>
      </c>
      <c r="E1713" t="s">
        <v>90</v>
      </c>
      <c r="F1713" t="s">
        <v>94</v>
      </c>
      <c r="G1713">
        <v>2</v>
      </c>
      <c r="H1713">
        <v>93</v>
      </c>
      <c r="I1713">
        <v>93</v>
      </c>
      <c r="J1713">
        <v>93</v>
      </c>
      <c r="K1713" s="6">
        <v>99.88</v>
      </c>
      <c r="L1713" s="6">
        <v>0</v>
      </c>
      <c r="M1713" s="6">
        <v>99.88</v>
      </c>
      <c r="N1713">
        <v>0</v>
      </c>
      <c r="O1713" s="6">
        <v>0</v>
      </c>
      <c r="P1713">
        <v>0</v>
      </c>
      <c r="Q1713" s="8">
        <v>496.68</v>
      </c>
      <c r="R1713" s="8">
        <v>496.09</v>
      </c>
      <c r="S1713" t="s">
        <v>32</v>
      </c>
    </row>
    <row r="1714" spans="1:19" hidden="1" x14ac:dyDescent="0.25">
      <c r="A1714" t="s">
        <v>134</v>
      </c>
      <c r="B1714" t="s">
        <v>75</v>
      </c>
      <c r="C1714" t="s">
        <v>128</v>
      </c>
      <c r="D1714" t="s">
        <v>560</v>
      </c>
      <c r="E1714" t="s">
        <v>90</v>
      </c>
      <c r="F1714" t="s">
        <v>96</v>
      </c>
      <c r="G1714">
        <v>6</v>
      </c>
      <c r="H1714">
        <v>93</v>
      </c>
      <c r="I1714">
        <v>93</v>
      </c>
      <c r="J1714">
        <v>93</v>
      </c>
      <c r="K1714" s="6">
        <v>100.12</v>
      </c>
      <c r="L1714" s="6">
        <v>0</v>
      </c>
      <c r="M1714" s="6">
        <v>100.12</v>
      </c>
      <c r="N1714">
        <v>0</v>
      </c>
      <c r="O1714" s="6">
        <v>0</v>
      </c>
      <c r="P1714">
        <v>0</v>
      </c>
      <c r="Q1714" s="8">
        <v>496.68</v>
      </c>
      <c r="R1714" s="8">
        <v>497.27</v>
      </c>
      <c r="S1714" t="s">
        <v>32</v>
      </c>
    </row>
    <row r="1715" spans="1:19" hidden="1" x14ac:dyDescent="0.25">
      <c r="A1715" t="s">
        <v>134</v>
      </c>
      <c r="B1715" t="s">
        <v>75</v>
      </c>
      <c r="C1715" t="s">
        <v>128</v>
      </c>
      <c r="D1715" t="s">
        <v>560</v>
      </c>
      <c r="E1715" t="s">
        <v>90</v>
      </c>
      <c r="F1715" t="s">
        <v>6</v>
      </c>
      <c r="G1715">
        <v>13</v>
      </c>
      <c r="H1715">
        <v>93</v>
      </c>
      <c r="I1715">
        <v>93</v>
      </c>
      <c r="J1715">
        <v>93</v>
      </c>
      <c r="K1715" s="6">
        <v>98.48</v>
      </c>
      <c r="L1715" s="6">
        <v>0</v>
      </c>
      <c r="M1715" s="6">
        <v>98.48</v>
      </c>
      <c r="N1715">
        <v>0</v>
      </c>
      <c r="O1715" s="6">
        <v>0</v>
      </c>
      <c r="P1715">
        <v>0</v>
      </c>
      <c r="Q1715" s="8">
        <v>496.68</v>
      </c>
      <c r="R1715" s="8">
        <v>489.14</v>
      </c>
      <c r="S1715" t="s">
        <v>32</v>
      </c>
    </row>
    <row r="1716" spans="1:19" hidden="1" x14ac:dyDescent="0.25">
      <c r="A1716" t="s">
        <v>134</v>
      </c>
      <c r="B1716" t="s">
        <v>75</v>
      </c>
      <c r="C1716" t="s">
        <v>128</v>
      </c>
      <c r="D1716" t="s">
        <v>524</v>
      </c>
      <c r="E1716" t="s">
        <v>90</v>
      </c>
      <c r="F1716" t="s">
        <v>90</v>
      </c>
      <c r="G1716">
        <v>0</v>
      </c>
      <c r="H1716">
        <v>38</v>
      </c>
      <c r="I1716">
        <v>38</v>
      </c>
      <c r="J1716">
        <v>38</v>
      </c>
      <c r="K1716" s="6">
        <v>100</v>
      </c>
      <c r="L1716" s="6">
        <v>0</v>
      </c>
      <c r="M1716" s="6">
        <v>100</v>
      </c>
      <c r="N1716">
        <v>0</v>
      </c>
      <c r="O1716" s="6">
        <v>0</v>
      </c>
      <c r="P1716">
        <v>0</v>
      </c>
      <c r="Q1716" s="8">
        <v>496.39</v>
      </c>
      <c r="R1716" s="8">
        <v>496.39</v>
      </c>
      <c r="S1716" s="9" t="s">
        <v>610</v>
      </c>
    </row>
    <row r="1717" spans="1:19" hidden="1" x14ac:dyDescent="0.25">
      <c r="A1717" t="s">
        <v>134</v>
      </c>
      <c r="B1717" t="s">
        <v>75</v>
      </c>
      <c r="C1717" t="s">
        <v>128</v>
      </c>
      <c r="D1717" t="s">
        <v>524</v>
      </c>
      <c r="E1717" t="s">
        <v>90</v>
      </c>
      <c r="F1717" t="s">
        <v>91</v>
      </c>
      <c r="G1717">
        <v>1</v>
      </c>
      <c r="H1717">
        <v>38</v>
      </c>
      <c r="I1717">
        <v>38</v>
      </c>
      <c r="J1717">
        <v>38</v>
      </c>
      <c r="K1717" s="6">
        <v>100.5</v>
      </c>
      <c r="L1717" s="6">
        <v>0</v>
      </c>
      <c r="M1717" s="6">
        <v>100.5</v>
      </c>
      <c r="N1717">
        <v>0</v>
      </c>
      <c r="O1717" s="6">
        <v>0</v>
      </c>
      <c r="P1717">
        <v>0</v>
      </c>
      <c r="Q1717" s="8">
        <v>496.39</v>
      </c>
      <c r="R1717" s="8">
        <v>498.87</v>
      </c>
      <c r="S1717" t="s">
        <v>32</v>
      </c>
    </row>
    <row r="1718" spans="1:19" hidden="1" x14ac:dyDescent="0.25">
      <c r="A1718" t="s">
        <v>134</v>
      </c>
      <c r="B1718" t="s">
        <v>75</v>
      </c>
      <c r="C1718" t="s">
        <v>128</v>
      </c>
      <c r="D1718" t="s">
        <v>524</v>
      </c>
      <c r="E1718" t="s">
        <v>90</v>
      </c>
      <c r="F1718" t="s">
        <v>94</v>
      </c>
      <c r="G1718">
        <v>2</v>
      </c>
      <c r="H1718">
        <v>38</v>
      </c>
      <c r="I1718">
        <v>38</v>
      </c>
      <c r="J1718">
        <v>38</v>
      </c>
      <c r="K1718" s="6">
        <v>100</v>
      </c>
      <c r="L1718" s="6">
        <v>0</v>
      </c>
      <c r="M1718" s="6">
        <v>100</v>
      </c>
      <c r="N1718">
        <v>0</v>
      </c>
      <c r="O1718" s="6">
        <v>0</v>
      </c>
      <c r="P1718">
        <v>0</v>
      </c>
      <c r="Q1718" s="8">
        <v>496.39</v>
      </c>
      <c r="R1718" s="8">
        <v>496.39</v>
      </c>
      <c r="S1718" t="s">
        <v>32</v>
      </c>
    </row>
    <row r="1719" spans="1:19" hidden="1" x14ac:dyDescent="0.25">
      <c r="A1719" t="s">
        <v>134</v>
      </c>
      <c r="B1719" t="s">
        <v>75</v>
      </c>
      <c r="C1719" t="s">
        <v>128</v>
      </c>
      <c r="D1719" t="s">
        <v>524</v>
      </c>
      <c r="E1719" t="s">
        <v>90</v>
      </c>
      <c r="F1719" t="s">
        <v>96</v>
      </c>
      <c r="G1719">
        <v>6</v>
      </c>
      <c r="H1719">
        <v>38</v>
      </c>
      <c r="I1719">
        <v>37</v>
      </c>
      <c r="J1719">
        <v>37</v>
      </c>
      <c r="K1719" s="6">
        <v>100.36</v>
      </c>
      <c r="L1719" s="6">
        <v>0</v>
      </c>
      <c r="M1719" s="6">
        <v>99.51</v>
      </c>
      <c r="N1719">
        <v>-0.85</v>
      </c>
      <c r="O1719" s="6">
        <v>2.6</v>
      </c>
      <c r="P1719">
        <v>0</v>
      </c>
      <c r="Q1719" s="8">
        <v>492.19</v>
      </c>
      <c r="R1719" s="8">
        <v>493.95</v>
      </c>
      <c r="S1719" t="s">
        <v>32</v>
      </c>
    </row>
    <row r="1720" spans="1:19" hidden="1" x14ac:dyDescent="0.25">
      <c r="A1720" t="s">
        <v>134</v>
      </c>
      <c r="B1720" t="s">
        <v>75</v>
      </c>
      <c r="C1720" t="s">
        <v>128</v>
      </c>
      <c r="D1720" t="s">
        <v>524</v>
      </c>
      <c r="E1720" t="s">
        <v>90</v>
      </c>
      <c r="F1720" t="s">
        <v>6</v>
      </c>
      <c r="G1720">
        <v>13</v>
      </c>
      <c r="H1720">
        <v>38</v>
      </c>
      <c r="I1720">
        <v>38</v>
      </c>
      <c r="J1720">
        <v>38</v>
      </c>
      <c r="K1720" s="6">
        <v>99.7</v>
      </c>
      <c r="L1720" s="6">
        <v>0</v>
      </c>
      <c r="M1720" s="6">
        <v>99.7</v>
      </c>
      <c r="N1720">
        <v>0</v>
      </c>
      <c r="O1720" s="6">
        <v>0</v>
      </c>
      <c r="P1720">
        <v>0</v>
      </c>
      <c r="Q1720" s="8">
        <v>496.39</v>
      </c>
      <c r="R1720" s="8">
        <v>494.92</v>
      </c>
      <c r="S1720" t="s">
        <v>32</v>
      </c>
    </row>
    <row r="1721" spans="1:19" hidden="1" x14ac:dyDescent="0.25">
      <c r="A1721" t="s">
        <v>134</v>
      </c>
      <c r="B1721" t="s">
        <v>75</v>
      </c>
      <c r="C1721" t="s">
        <v>128</v>
      </c>
      <c r="D1721" t="s">
        <v>527</v>
      </c>
      <c r="E1721" t="s">
        <v>90</v>
      </c>
      <c r="F1721" t="s">
        <v>90</v>
      </c>
      <c r="G1721">
        <v>0</v>
      </c>
      <c r="H1721">
        <v>32</v>
      </c>
      <c r="I1721">
        <v>32</v>
      </c>
      <c r="J1721">
        <v>32</v>
      </c>
      <c r="K1721" s="6">
        <v>100</v>
      </c>
      <c r="L1721" s="6">
        <v>0</v>
      </c>
      <c r="M1721" s="6">
        <v>100</v>
      </c>
      <c r="N1721">
        <v>0</v>
      </c>
      <c r="O1721" s="6">
        <v>0</v>
      </c>
      <c r="P1721">
        <v>0</v>
      </c>
      <c r="Q1721" s="8">
        <v>529.21</v>
      </c>
      <c r="R1721" s="8">
        <v>529.21</v>
      </c>
      <c r="S1721" s="9" t="s">
        <v>567</v>
      </c>
    </row>
    <row r="1722" spans="1:19" hidden="1" x14ac:dyDescent="0.25">
      <c r="A1722" t="s">
        <v>134</v>
      </c>
      <c r="B1722" t="s">
        <v>75</v>
      </c>
      <c r="C1722" t="s">
        <v>128</v>
      </c>
      <c r="D1722" t="s">
        <v>527</v>
      </c>
      <c r="E1722" t="s">
        <v>90</v>
      </c>
      <c r="F1722" t="s">
        <v>91</v>
      </c>
      <c r="G1722">
        <v>1</v>
      </c>
      <c r="H1722">
        <v>32</v>
      </c>
      <c r="I1722">
        <v>32</v>
      </c>
      <c r="J1722">
        <v>32</v>
      </c>
      <c r="K1722" s="6">
        <v>100</v>
      </c>
      <c r="L1722" s="6">
        <v>0</v>
      </c>
      <c r="M1722" s="6">
        <v>100</v>
      </c>
      <c r="N1722">
        <v>0</v>
      </c>
      <c r="O1722" s="6">
        <v>0</v>
      </c>
      <c r="P1722">
        <v>0</v>
      </c>
      <c r="Q1722" s="8">
        <v>529.21</v>
      </c>
      <c r="R1722" s="8">
        <v>529.21</v>
      </c>
      <c r="S1722" t="s">
        <v>32</v>
      </c>
    </row>
    <row r="1723" spans="1:19" hidden="1" x14ac:dyDescent="0.25">
      <c r="A1723" t="s">
        <v>134</v>
      </c>
      <c r="B1723" t="s">
        <v>75</v>
      </c>
      <c r="C1723" t="s">
        <v>128</v>
      </c>
      <c r="D1723" t="s">
        <v>527</v>
      </c>
      <c r="E1723" t="s">
        <v>90</v>
      </c>
      <c r="F1723" t="s">
        <v>94</v>
      </c>
      <c r="G1723">
        <v>2</v>
      </c>
      <c r="H1723">
        <v>32</v>
      </c>
      <c r="I1723">
        <v>32</v>
      </c>
      <c r="J1723">
        <v>32</v>
      </c>
      <c r="K1723" s="6">
        <v>99.84</v>
      </c>
      <c r="L1723" s="6">
        <v>0</v>
      </c>
      <c r="M1723" s="6">
        <v>99.84</v>
      </c>
      <c r="N1723">
        <v>0</v>
      </c>
      <c r="O1723" s="6">
        <v>0</v>
      </c>
      <c r="P1723">
        <v>0</v>
      </c>
      <c r="Q1723" s="8">
        <v>529.21</v>
      </c>
      <c r="R1723" s="8">
        <v>528.35</v>
      </c>
      <c r="S1723" t="s">
        <v>32</v>
      </c>
    </row>
    <row r="1724" spans="1:19" hidden="1" x14ac:dyDescent="0.25">
      <c r="A1724" t="s">
        <v>134</v>
      </c>
      <c r="B1724" t="s">
        <v>75</v>
      </c>
      <c r="C1724" t="s">
        <v>128</v>
      </c>
      <c r="D1724" t="s">
        <v>527</v>
      </c>
      <c r="E1724" t="s">
        <v>90</v>
      </c>
      <c r="F1724" t="s">
        <v>96</v>
      </c>
      <c r="G1724">
        <v>6</v>
      </c>
      <c r="H1724">
        <v>32</v>
      </c>
      <c r="I1724">
        <v>32</v>
      </c>
      <c r="J1724">
        <v>32</v>
      </c>
      <c r="K1724" s="6">
        <v>99.84</v>
      </c>
      <c r="L1724" s="6">
        <v>0</v>
      </c>
      <c r="M1724" s="6">
        <v>99.84</v>
      </c>
      <c r="N1724">
        <v>0</v>
      </c>
      <c r="O1724" s="6">
        <v>0</v>
      </c>
      <c r="P1724">
        <v>0</v>
      </c>
      <c r="Q1724" s="8">
        <v>529.21</v>
      </c>
      <c r="R1724" s="8">
        <v>528.35</v>
      </c>
      <c r="S1724" t="s">
        <v>32</v>
      </c>
    </row>
    <row r="1725" spans="1:19" hidden="1" x14ac:dyDescent="0.25">
      <c r="A1725" t="s">
        <v>134</v>
      </c>
      <c r="B1725" t="s">
        <v>75</v>
      </c>
      <c r="C1725" t="s">
        <v>128</v>
      </c>
      <c r="D1725" t="s">
        <v>527</v>
      </c>
      <c r="E1725" t="s">
        <v>90</v>
      </c>
      <c r="F1725" t="s">
        <v>6</v>
      </c>
      <c r="G1725">
        <v>13</v>
      </c>
      <c r="H1725">
        <v>32</v>
      </c>
      <c r="I1725">
        <v>32</v>
      </c>
      <c r="J1725">
        <v>32</v>
      </c>
      <c r="K1725" s="6">
        <v>99.8</v>
      </c>
      <c r="L1725" s="6">
        <v>0</v>
      </c>
      <c r="M1725" s="6">
        <v>99.8</v>
      </c>
      <c r="N1725">
        <v>0</v>
      </c>
      <c r="O1725" s="6">
        <v>0</v>
      </c>
      <c r="P1725">
        <v>0</v>
      </c>
      <c r="Q1725" s="8">
        <v>529.21</v>
      </c>
      <c r="R1725" s="8">
        <v>528.13</v>
      </c>
      <c r="S1725" t="s">
        <v>32</v>
      </c>
    </row>
    <row r="1726" spans="1:19" hidden="1" x14ac:dyDescent="0.25">
      <c r="A1726" t="s">
        <v>134</v>
      </c>
      <c r="B1726" t="s">
        <v>75</v>
      </c>
      <c r="C1726" t="s">
        <v>128</v>
      </c>
      <c r="D1726" t="s">
        <v>530</v>
      </c>
      <c r="E1726" t="s">
        <v>90</v>
      </c>
      <c r="F1726" t="s">
        <v>90</v>
      </c>
      <c r="G1726">
        <v>0</v>
      </c>
      <c r="H1726">
        <v>28</v>
      </c>
      <c r="I1726">
        <v>28</v>
      </c>
      <c r="J1726">
        <v>28</v>
      </c>
      <c r="K1726" s="6">
        <v>100</v>
      </c>
      <c r="L1726" s="6">
        <v>0</v>
      </c>
      <c r="M1726" s="6">
        <v>100</v>
      </c>
      <c r="N1726">
        <v>0</v>
      </c>
      <c r="O1726" s="6">
        <v>0</v>
      </c>
      <c r="P1726">
        <v>0</v>
      </c>
      <c r="Q1726" s="8">
        <v>589.54</v>
      </c>
      <c r="R1726" s="8">
        <v>589.54</v>
      </c>
      <c r="S1726" s="9" t="s">
        <v>556</v>
      </c>
    </row>
    <row r="1727" spans="1:19" hidden="1" x14ac:dyDescent="0.25">
      <c r="A1727" t="s">
        <v>134</v>
      </c>
      <c r="B1727" t="s">
        <v>75</v>
      </c>
      <c r="C1727" t="s">
        <v>128</v>
      </c>
      <c r="D1727" t="s">
        <v>530</v>
      </c>
      <c r="E1727" t="s">
        <v>90</v>
      </c>
      <c r="F1727" t="s">
        <v>91</v>
      </c>
      <c r="G1727">
        <v>1</v>
      </c>
      <c r="H1727">
        <v>28</v>
      </c>
      <c r="I1727">
        <v>28</v>
      </c>
      <c r="J1727">
        <v>28</v>
      </c>
      <c r="K1727" s="6">
        <v>100</v>
      </c>
      <c r="L1727" s="6">
        <v>0</v>
      </c>
      <c r="M1727" s="6">
        <v>100</v>
      </c>
      <c r="N1727">
        <v>0</v>
      </c>
      <c r="O1727" s="6">
        <v>0</v>
      </c>
      <c r="P1727">
        <v>0</v>
      </c>
      <c r="Q1727" s="8">
        <v>589.54</v>
      </c>
      <c r="R1727" s="8">
        <v>589.54</v>
      </c>
      <c r="S1727" s="10" t="s">
        <v>483</v>
      </c>
    </row>
    <row r="1728" spans="1:19" hidden="1" x14ac:dyDescent="0.25">
      <c r="A1728" t="s">
        <v>134</v>
      </c>
      <c r="B1728" t="s">
        <v>75</v>
      </c>
      <c r="C1728" t="s">
        <v>128</v>
      </c>
      <c r="D1728" t="s">
        <v>530</v>
      </c>
      <c r="E1728" t="s">
        <v>90</v>
      </c>
      <c r="F1728" t="s">
        <v>94</v>
      </c>
      <c r="G1728">
        <v>2</v>
      </c>
      <c r="H1728">
        <v>28</v>
      </c>
      <c r="I1728">
        <v>28</v>
      </c>
      <c r="J1728">
        <v>28</v>
      </c>
      <c r="K1728" s="6">
        <v>99.95</v>
      </c>
      <c r="L1728" s="6">
        <v>0</v>
      </c>
      <c r="M1728" s="6">
        <v>99.95</v>
      </c>
      <c r="N1728">
        <v>0</v>
      </c>
      <c r="O1728" s="6">
        <v>0</v>
      </c>
      <c r="P1728">
        <v>0</v>
      </c>
      <c r="Q1728" s="8">
        <v>589.54</v>
      </c>
      <c r="R1728" s="8">
        <v>589.25</v>
      </c>
      <c r="S1728" s="10" t="s">
        <v>483</v>
      </c>
    </row>
    <row r="1729" spans="1:19" hidden="1" x14ac:dyDescent="0.25">
      <c r="A1729" t="s">
        <v>134</v>
      </c>
      <c r="B1729" t="s">
        <v>75</v>
      </c>
      <c r="C1729" t="s">
        <v>128</v>
      </c>
      <c r="D1729" t="s">
        <v>530</v>
      </c>
      <c r="E1729" t="s">
        <v>90</v>
      </c>
      <c r="F1729" t="s">
        <v>96</v>
      </c>
      <c r="G1729">
        <v>6</v>
      </c>
      <c r="H1729">
        <v>28</v>
      </c>
      <c r="I1729">
        <v>28</v>
      </c>
      <c r="J1729">
        <v>28</v>
      </c>
      <c r="K1729" s="6">
        <v>99.95</v>
      </c>
      <c r="L1729" s="6">
        <v>0</v>
      </c>
      <c r="M1729" s="6">
        <v>99.95</v>
      </c>
      <c r="N1729">
        <v>0</v>
      </c>
      <c r="O1729" s="6">
        <v>0</v>
      </c>
      <c r="P1729">
        <v>0</v>
      </c>
      <c r="Q1729" s="8">
        <v>589.54</v>
      </c>
      <c r="R1729" s="8">
        <v>589.25</v>
      </c>
      <c r="S1729" s="10" t="s">
        <v>483</v>
      </c>
    </row>
    <row r="1730" spans="1:19" hidden="1" x14ac:dyDescent="0.25">
      <c r="A1730" t="s">
        <v>134</v>
      </c>
      <c r="B1730" t="s">
        <v>75</v>
      </c>
      <c r="C1730" t="s">
        <v>128</v>
      </c>
      <c r="D1730" t="s">
        <v>530</v>
      </c>
      <c r="E1730" t="s">
        <v>90</v>
      </c>
      <c r="F1730" t="s">
        <v>6</v>
      </c>
      <c r="G1730">
        <v>13</v>
      </c>
      <c r="H1730">
        <v>28</v>
      </c>
      <c r="I1730">
        <v>28</v>
      </c>
      <c r="J1730">
        <v>28</v>
      </c>
      <c r="K1730" s="6">
        <v>99.82</v>
      </c>
      <c r="L1730" s="6">
        <v>0</v>
      </c>
      <c r="M1730" s="6">
        <v>99.82</v>
      </c>
      <c r="N1730">
        <v>0</v>
      </c>
      <c r="O1730" s="6">
        <v>0</v>
      </c>
      <c r="P1730">
        <v>0</v>
      </c>
      <c r="Q1730" s="8">
        <v>589.54</v>
      </c>
      <c r="R1730" s="8">
        <v>588.49</v>
      </c>
      <c r="S1730" s="10" t="s">
        <v>483</v>
      </c>
    </row>
    <row r="1731" spans="1:19" hidden="1" x14ac:dyDescent="0.25">
      <c r="A1731" t="s">
        <v>134</v>
      </c>
      <c r="B1731" t="s">
        <v>75</v>
      </c>
      <c r="C1731" t="s">
        <v>128</v>
      </c>
      <c r="D1731" t="s">
        <v>531</v>
      </c>
      <c r="E1731" t="s">
        <v>90</v>
      </c>
      <c r="F1731" t="s">
        <v>90</v>
      </c>
      <c r="G1731">
        <v>0</v>
      </c>
      <c r="H1731">
        <v>34</v>
      </c>
      <c r="I1731">
        <v>34</v>
      </c>
      <c r="J1731">
        <v>34</v>
      </c>
      <c r="K1731" s="6">
        <v>100</v>
      </c>
      <c r="L1731" s="6">
        <v>0</v>
      </c>
      <c r="M1731" s="6">
        <v>100</v>
      </c>
      <c r="N1731">
        <v>0</v>
      </c>
      <c r="O1731" s="6">
        <v>0</v>
      </c>
      <c r="P1731">
        <v>0</v>
      </c>
      <c r="Q1731" s="8">
        <v>569.91999999999996</v>
      </c>
      <c r="R1731" s="8">
        <v>569.91999999999996</v>
      </c>
      <c r="S1731" s="9" t="s">
        <v>653</v>
      </c>
    </row>
    <row r="1732" spans="1:19" hidden="1" x14ac:dyDescent="0.25">
      <c r="A1732" t="s">
        <v>134</v>
      </c>
      <c r="B1732" t="s">
        <v>75</v>
      </c>
      <c r="C1732" t="s">
        <v>128</v>
      </c>
      <c r="D1732" t="s">
        <v>531</v>
      </c>
      <c r="E1732" t="s">
        <v>90</v>
      </c>
      <c r="F1732" t="s">
        <v>91</v>
      </c>
      <c r="G1732">
        <v>1</v>
      </c>
      <c r="H1732">
        <v>34</v>
      </c>
      <c r="I1732">
        <v>34</v>
      </c>
      <c r="J1732">
        <v>34</v>
      </c>
      <c r="K1732" s="6">
        <v>100</v>
      </c>
      <c r="L1732" s="6">
        <v>0</v>
      </c>
      <c r="M1732" s="6">
        <v>100</v>
      </c>
      <c r="N1732">
        <v>0</v>
      </c>
      <c r="O1732" s="6">
        <v>0</v>
      </c>
      <c r="P1732">
        <v>0</v>
      </c>
      <c r="Q1732" s="8">
        <v>569.91999999999996</v>
      </c>
      <c r="R1732" s="8">
        <v>569.91999999999996</v>
      </c>
      <c r="S1732" t="s">
        <v>32</v>
      </c>
    </row>
    <row r="1733" spans="1:19" hidden="1" x14ac:dyDescent="0.25">
      <c r="A1733" t="s">
        <v>134</v>
      </c>
      <c r="B1733" t="s">
        <v>75</v>
      </c>
      <c r="C1733" t="s">
        <v>128</v>
      </c>
      <c r="D1733" t="s">
        <v>531</v>
      </c>
      <c r="E1733" t="s">
        <v>90</v>
      </c>
      <c r="F1733" t="s">
        <v>94</v>
      </c>
      <c r="G1733">
        <v>2</v>
      </c>
      <c r="H1733">
        <v>34</v>
      </c>
      <c r="I1733">
        <v>34</v>
      </c>
      <c r="J1733">
        <v>34</v>
      </c>
      <c r="K1733" s="6">
        <v>99.84</v>
      </c>
      <c r="L1733" s="6">
        <v>0</v>
      </c>
      <c r="M1733" s="6">
        <v>99.84</v>
      </c>
      <c r="N1733">
        <v>0</v>
      </c>
      <c r="O1733" s="6">
        <v>0</v>
      </c>
      <c r="P1733">
        <v>0</v>
      </c>
      <c r="Q1733" s="8">
        <v>569.91999999999996</v>
      </c>
      <c r="R1733" s="8">
        <v>569.01</v>
      </c>
      <c r="S1733" t="s">
        <v>32</v>
      </c>
    </row>
    <row r="1734" spans="1:19" hidden="1" x14ac:dyDescent="0.25">
      <c r="A1734" t="s">
        <v>134</v>
      </c>
      <c r="B1734" t="s">
        <v>75</v>
      </c>
      <c r="C1734" t="s">
        <v>128</v>
      </c>
      <c r="D1734" t="s">
        <v>531</v>
      </c>
      <c r="E1734" t="s">
        <v>90</v>
      </c>
      <c r="F1734" t="s">
        <v>96</v>
      </c>
      <c r="G1734">
        <v>6</v>
      </c>
      <c r="H1734">
        <v>34</v>
      </c>
      <c r="I1734">
        <v>34</v>
      </c>
      <c r="J1734">
        <v>34</v>
      </c>
      <c r="K1734" s="6">
        <v>99.84</v>
      </c>
      <c r="L1734" s="6">
        <v>0</v>
      </c>
      <c r="M1734" s="6">
        <v>99.84</v>
      </c>
      <c r="N1734">
        <v>0</v>
      </c>
      <c r="O1734" s="6">
        <v>0</v>
      </c>
      <c r="P1734">
        <v>0</v>
      </c>
      <c r="Q1734" s="8">
        <v>569.91999999999996</v>
      </c>
      <c r="R1734" s="8">
        <v>569.01</v>
      </c>
      <c r="S1734" t="s">
        <v>32</v>
      </c>
    </row>
    <row r="1735" spans="1:19" hidden="1" x14ac:dyDescent="0.25">
      <c r="A1735" t="s">
        <v>134</v>
      </c>
      <c r="B1735" t="s">
        <v>75</v>
      </c>
      <c r="C1735" t="s">
        <v>128</v>
      </c>
      <c r="D1735" t="s">
        <v>531</v>
      </c>
      <c r="E1735" t="s">
        <v>90</v>
      </c>
      <c r="F1735" t="s">
        <v>6</v>
      </c>
      <c r="G1735">
        <v>13</v>
      </c>
      <c r="H1735">
        <v>34</v>
      </c>
      <c r="I1735">
        <v>34</v>
      </c>
      <c r="J1735">
        <v>34</v>
      </c>
      <c r="K1735" s="6">
        <v>99.84</v>
      </c>
      <c r="L1735" s="6">
        <v>0</v>
      </c>
      <c r="M1735" s="6">
        <v>99.84</v>
      </c>
      <c r="N1735">
        <v>0</v>
      </c>
      <c r="O1735" s="6">
        <v>0</v>
      </c>
      <c r="P1735">
        <v>0</v>
      </c>
      <c r="Q1735" s="8">
        <v>569.91999999999996</v>
      </c>
      <c r="R1735" s="8">
        <v>569.01</v>
      </c>
      <c r="S1735" t="s">
        <v>32</v>
      </c>
    </row>
    <row r="1736" spans="1:19" hidden="1" x14ac:dyDescent="0.25">
      <c r="A1736" t="s">
        <v>134</v>
      </c>
      <c r="B1736" t="s">
        <v>75</v>
      </c>
      <c r="C1736" t="s">
        <v>128</v>
      </c>
      <c r="D1736" t="s">
        <v>532</v>
      </c>
      <c r="E1736" t="s">
        <v>90</v>
      </c>
      <c r="F1736" t="s">
        <v>90</v>
      </c>
      <c r="G1736">
        <v>0</v>
      </c>
      <c r="H1736">
        <v>33</v>
      </c>
      <c r="I1736">
        <v>33</v>
      </c>
      <c r="J1736">
        <v>33</v>
      </c>
      <c r="K1736" s="6">
        <v>100</v>
      </c>
      <c r="L1736" s="6">
        <v>0</v>
      </c>
      <c r="M1736" s="6">
        <v>100</v>
      </c>
      <c r="N1736">
        <v>0</v>
      </c>
      <c r="O1736" s="6">
        <v>0</v>
      </c>
      <c r="P1736">
        <v>0</v>
      </c>
      <c r="Q1736" s="8">
        <v>538.26</v>
      </c>
      <c r="R1736" s="8">
        <v>538.26</v>
      </c>
      <c r="S1736" s="9" t="s">
        <v>561</v>
      </c>
    </row>
    <row r="1737" spans="1:19" hidden="1" x14ac:dyDescent="0.25">
      <c r="A1737" t="s">
        <v>134</v>
      </c>
      <c r="B1737" t="s">
        <v>75</v>
      </c>
      <c r="C1737" t="s">
        <v>128</v>
      </c>
      <c r="D1737" t="s">
        <v>532</v>
      </c>
      <c r="E1737" t="s">
        <v>90</v>
      </c>
      <c r="F1737" t="s">
        <v>91</v>
      </c>
      <c r="G1737">
        <v>1</v>
      </c>
      <c r="H1737">
        <v>33</v>
      </c>
      <c r="I1737">
        <v>33</v>
      </c>
      <c r="J1737">
        <v>33</v>
      </c>
      <c r="K1737" s="6">
        <v>100</v>
      </c>
      <c r="L1737" s="6">
        <v>0</v>
      </c>
      <c r="M1737" s="6">
        <v>100</v>
      </c>
      <c r="N1737">
        <v>0</v>
      </c>
      <c r="O1737" s="6">
        <v>0</v>
      </c>
      <c r="P1737">
        <v>0</v>
      </c>
      <c r="Q1737" s="8">
        <v>538.26</v>
      </c>
      <c r="R1737" s="8">
        <v>538.26</v>
      </c>
      <c r="S1737" t="s">
        <v>32</v>
      </c>
    </row>
    <row r="1738" spans="1:19" hidden="1" x14ac:dyDescent="0.25">
      <c r="A1738" t="s">
        <v>134</v>
      </c>
      <c r="B1738" t="s">
        <v>75</v>
      </c>
      <c r="C1738" t="s">
        <v>128</v>
      </c>
      <c r="D1738" t="s">
        <v>532</v>
      </c>
      <c r="E1738" t="s">
        <v>90</v>
      </c>
      <c r="F1738" t="s">
        <v>94</v>
      </c>
      <c r="G1738">
        <v>2</v>
      </c>
      <c r="H1738">
        <v>33</v>
      </c>
      <c r="I1738">
        <v>33</v>
      </c>
      <c r="J1738">
        <v>33</v>
      </c>
      <c r="K1738" s="6">
        <v>100</v>
      </c>
      <c r="L1738" s="6">
        <v>0</v>
      </c>
      <c r="M1738" s="6">
        <v>100</v>
      </c>
      <c r="N1738">
        <v>0</v>
      </c>
      <c r="O1738" s="6">
        <v>0</v>
      </c>
      <c r="P1738">
        <v>0</v>
      </c>
      <c r="Q1738" s="8">
        <v>538.26</v>
      </c>
      <c r="R1738" s="8">
        <v>538.26</v>
      </c>
      <c r="S1738" t="s">
        <v>32</v>
      </c>
    </row>
    <row r="1739" spans="1:19" hidden="1" x14ac:dyDescent="0.25">
      <c r="A1739" t="s">
        <v>134</v>
      </c>
      <c r="B1739" t="s">
        <v>75</v>
      </c>
      <c r="C1739" t="s">
        <v>128</v>
      </c>
      <c r="D1739" t="s">
        <v>532</v>
      </c>
      <c r="E1739" t="s">
        <v>90</v>
      </c>
      <c r="F1739" t="s">
        <v>96</v>
      </c>
      <c r="G1739">
        <v>6</v>
      </c>
      <c r="H1739">
        <v>33</v>
      </c>
      <c r="I1739">
        <v>33</v>
      </c>
      <c r="J1739">
        <v>33</v>
      </c>
      <c r="K1739" s="6">
        <v>100</v>
      </c>
      <c r="L1739" s="6">
        <v>0</v>
      </c>
      <c r="M1739" s="6">
        <v>100</v>
      </c>
      <c r="N1739">
        <v>0</v>
      </c>
      <c r="O1739" s="6">
        <v>0</v>
      </c>
      <c r="P1739">
        <v>0</v>
      </c>
      <c r="Q1739" s="8">
        <v>538.26</v>
      </c>
      <c r="R1739" s="8">
        <v>538.26</v>
      </c>
      <c r="S1739" t="s">
        <v>32</v>
      </c>
    </row>
    <row r="1740" spans="1:19" hidden="1" x14ac:dyDescent="0.25">
      <c r="A1740" t="s">
        <v>134</v>
      </c>
      <c r="B1740" t="s">
        <v>75</v>
      </c>
      <c r="C1740" t="s">
        <v>128</v>
      </c>
      <c r="D1740" t="s">
        <v>532</v>
      </c>
      <c r="E1740" t="s">
        <v>90</v>
      </c>
      <c r="F1740" t="s">
        <v>6</v>
      </c>
      <c r="G1740">
        <v>13</v>
      </c>
      <c r="H1740">
        <v>33</v>
      </c>
      <c r="I1740">
        <v>33</v>
      </c>
      <c r="J1740">
        <v>33</v>
      </c>
      <c r="K1740" s="6">
        <v>100</v>
      </c>
      <c r="L1740" s="6">
        <v>0</v>
      </c>
      <c r="M1740" s="6">
        <v>100</v>
      </c>
      <c r="N1740">
        <v>0</v>
      </c>
      <c r="O1740" s="6">
        <v>0</v>
      </c>
      <c r="P1740">
        <v>0</v>
      </c>
      <c r="Q1740" s="8">
        <v>538.26</v>
      </c>
      <c r="R1740" s="8">
        <v>538.26</v>
      </c>
      <c r="S1740" t="s">
        <v>32</v>
      </c>
    </row>
    <row r="1741" spans="1:19" hidden="1" x14ac:dyDescent="0.25">
      <c r="A1741" t="s">
        <v>134</v>
      </c>
      <c r="B1741" t="s">
        <v>75</v>
      </c>
      <c r="C1741" t="s">
        <v>128</v>
      </c>
      <c r="D1741" t="s">
        <v>533</v>
      </c>
      <c r="E1741" t="s">
        <v>94</v>
      </c>
      <c r="F1741" t="s">
        <v>94</v>
      </c>
      <c r="G1741">
        <v>0</v>
      </c>
      <c r="H1741">
        <v>31</v>
      </c>
      <c r="I1741">
        <v>31</v>
      </c>
      <c r="J1741">
        <v>31</v>
      </c>
      <c r="K1741" s="6">
        <v>100</v>
      </c>
      <c r="L1741" s="6">
        <v>0</v>
      </c>
      <c r="M1741" s="6">
        <v>100</v>
      </c>
      <c r="N1741">
        <v>0</v>
      </c>
      <c r="O1741" s="6">
        <v>0</v>
      </c>
      <c r="P1741">
        <v>0</v>
      </c>
      <c r="Q1741" s="8">
        <v>517.4</v>
      </c>
      <c r="R1741" s="8">
        <v>517.4</v>
      </c>
      <c r="S1741" s="9" t="s">
        <v>562</v>
      </c>
    </row>
    <row r="1742" spans="1:19" hidden="1" x14ac:dyDescent="0.25">
      <c r="A1742" t="s">
        <v>134</v>
      </c>
      <c r="B1742" t="s">
        <v>75</v>
      </c>
      <c r="C1742" t="s">
        <v>128</v>
      </c>
      <c r="D1742" t="s">
        <v>533</v>
      </c>
      <c r="E1742" t="s">
        <v>94</v>
      </c>
      <c r="F1742" t="s">
        <v>96</v>
      </c>
      <c r="G1742">
        <v>4</v>
      </c>
      <c r="H1742">
        <v>31</v>
      </c>
      <c r="I1742">
        <v>31</v>
      </c>
      <c r="J1742">
        <v>31</v>
      </c>
      <c r="K1742" s="6">
        <v>100</v>
      </c>
      <c r="L1742" s="6">
        <v>0</v>
      </c>
      <c r="M1742" s="6">
        <v>100</v>
      </c>
      <c r="N1742">
        <v>0</v>
      </c>
      <c r="O1742" s="6">
        <v>0</v>
      </c>
      <c r="P1742">
        <v>0</v>
      </c>
      <c r="Q1742" s="8">
        <v>517.4</v>
      </c>
      <c r="R1742" s="8">
        <v>517.4</v>
      </c>
      <c r="S1742" t="s">
        <v>32</v>
      </c>
    </row>
    <row r="1743" spans="1:19" hidden="1" x14ac:dyDescent="0.25">
      <c r="A1743" t="s">
        <v>134</v>
      </c>
      <c r="B1743" t="s">
        <v>75</v>
      </c>
      <c r="C1743" t="s">
        <v>128</v>
      </c>
      <c r="D1743" t="s">
        <v>533</v>
      </c>
      <c r="E1743" t="s">
        <v>94</v>
      </c>
      <c r="F1743" t="s">
        <v>6</v>
      </c>
      <c r="G1743">
        <v>11</v>
      </c>
      <c r="H1743">
        <v>31</v>
      </c>
      <c r="I1743">
        <v>31</v>
      </c>
      <c r="J1743">
        <v>31</v>
      </c>
      <c r="K1743" s="6">
        <v>99.91</v>
      </c>
      <c r="L1743" s="6">
        <v>0</v>
      </c>
      <c r="M1743" s="6">
        <v>99.91</v>
      </c>
      <c r="N1743">
        <v>0</v>
      </c>
      <c r="O1743" s="6">
        <v>0</v>
      </c>
      <c r="P1743">
        <v>0</v>
      </c>
      <c r="Q1743" s="8">
        <v>517.4</v>
      </c>
      <c r="R1743" s="8">
        <v>516.95000000000005</v>
      </c>
      <c r="S1743" t="s">
        <v>32</v>
      </c>
    </row>
    <row r="1744" spans="1:19" hidden="1" x14ac:dyDescent="0.25">
      <c r="A1744" t="s">
        <v>134</v>
      </c>
      <c r="B1744" t="s">
        <v>75</v>
      </c>
      <c r="C1744" t="s">
        <v>128</v>
      </c>
      <c r="D1744" t="s">
        <v>545</v>
      </c>
      <c r="E1744" t="s">
        <v>94</v>
      </c>
      <c r="F1744" t="s">
        <v>94</v>
      </c>
      <c r="G1744">
        <v>0</v>
      </c>
      <c r="H1744">
        <v>47</v>
      </c>
      <c r="I1744">
        <v>47</v>
      </c>
      <c r="J1744">
        <v>47</v>
      </c>
      <c r="K1744" s="6">
        <v>100</v>
      </c>
      <c r="L1744" s="6">
        <v>0</v>
      </c>
      <c r="M1744" s="6">
        <v>100</v>
      </c>
      <c r="N1744">
        <v>0</v>
      </c>
      <c r="O1744" s="6">
        <v>0</v>
      </c>
      <c r="P1744">
        <v>0</v>
      </c>
      <c r="Q1744" s="8">
        <v>518.32000000000005</v>
      </c>
      <c r="R1744" s="8">
        <v>518.32000000000005</v>
      </c>
      <c r="S1744" s="9" t="s">
        <v>648</v>
      </c>
    </row>
    <row r="1745" spans="1:19" hidden="1" x14ac:dyDescent="0.25">
      <c r="A1745" t="s">
        <v>134</v>
      </c>
      <c r="B1745" t="s">
        <v>75</v>
      </c>
      <c r="C1745" t="s">
        <v>128</v>
      </c>
      <c r="D1745" t="s">
        <v>545</v>
      </c>
      <c r="E1745" t="s">
        <v>94</v>
      </c>
      <c r="F1745" t="s">
        <v>96</v>
      </c>
      <c r="G1745">
        <v>4</v>
      </c>
      <c r="H1745">
        <v>47</v>
      </c>
      <c r="I1745">
        <v>47</v>
      </c>
      <c r="J1745">
        <v>47</v>
      </c>
      <c r="K1745" s="6">
        <v>100</v>
      </c>
      <c r="L1745" s="6">
        <v>0</v>
      </c>
      <c r="M1745" s="6">
        <v>100</v>
      </c>
      <c r="N1745">
        <v>0</v>
      </c>
      <c r="O1745" s="6">
        <v>0</v>
      </c>
      <c r="P1745">
        <v>0</v>
      </c>
      <c r="Q1745" s="8">
        <v>518.32000000000005</v>
      </c>
      <c r="R1745" s="8">
        <v>518.32000000000005</v>
      </c>
      <c r="S1745" t="s">
        <v>32</v>
      </c>
    </row>
    <row r="1746" spans="1:19" hidden="1" x14ac:dyDescent="0.25">
      <c r="A1746" t="s">
        <v>134</v>
      </c>
      <c r="B1746" t="s">
        <v>75</v>
      </c>
      <c r="C1746" t="s">
        <v>128</v>
      </c>
      <c r="D1746" t="s">
        <v>545</v>
      </c>
      <c r="E1746" t="s">
        <v>94</v>
      </c>
      <c r="F1746" t="s">
        <v>6</v>
      </c>
      <c r="G1746">
        <v>11</v>
      </c>
      <c r="H1746">
        <v>47</v>
      </c>
      <c r="I1746">
        <v>47</v>
      </c>
      <c r="J1746">
        <v>47</v>
      </c>
      <c r="K1746" s="6">
        <v>100</v>
      </c>
      <c r="L1746" s="6">
        <v>0</v>
      </c>
      <c r="M1746" s="6">
        <v>100</v>
      </c>
      <c r="N1746">
        <v>0</v>
      </c>
      <c r="O1746" s="6">
        <v>0</v>
      </c>
      <c r="P1746">
        <v>0</v>
      </c>
      <c r="Q1746" s="8">
        <v>518.32000000000005</v>
      </c>
      <c r="R1746" s="8">
        <v>518.32000000000005</v>
      </c>
      <c r="S1746" t="s">
        <v>32</v>
      </c>
    </row>
    <row r="1747" spans="1:19" hidden="1" x14ac:dyDescent="0.25">
      <c r="A1747" t="s">
        <v>134</v>
      </c>
      <c r="B1747" t="s">
        <v>75</v>
      </c>
      <c r="C1747" t="s">
        <v>128</v>
      </c>
      <c r="D1747" t="s">
        <v>570</v>
      </c>
      <c r="E1747" t="s">
        <v>94</v>
      </c>
      <c r="F1747" t="s">
        <v>94</v>
      </c>
      <c r="G1747">
        <v>0</v>
      </c>
      <c r="H1747">
        <v>78</v>
      </c>
      <c r="I1747">
        <v>78</v>
      </c>
      <c r="J1747">
        <v>78</v>
      </c>
      <c r="K1747" s="6">
        <v>100</v>
      </c>
      <c r="L1747" s="6">
        <v>0</v>
      </c>
      <c r="M1747" s="6">
        <v>100</v>
      </c>
      <c r="N1747">
        <v>0</v>
      </c>
      <c r="O1747" s="6">
        <v>0</v>
      </c>
      <c r="P1747">
        <v>0</v>
      </c>
      <c r="Q1747" s="8">
        <v>518.02</v>
      </c>
      <c r="R1747" s="8">
        <v>518.02</v>
      </c>
      <c r="S1747" s="9" t="s">
        <v>654</v>
      </c>
    </row>
    <row r="1748" spans="1:19" hidden="1" x14ac:dyDescent="0.25">
      <c r="A1748" t="s">
        <v>134</v>
      </c>
      <c r="B1748" t="s">
        <v>75</v>
      </c>
      <c r="C1748" t="s">
        <v>128</v>
      </c>
      <c r="D1748" t="s">
        <v>570</v>
      </c>
      <c r="E1748" t="s">
        <v>94</v>
      </c>
      <c r="F1748" t="s">
        <v>96</v>
      </c>
      <c r="G1748">
        <v>4</v>
      </c>
      <c r="H1748">
        <v>78</v>
      </c>
      <c r="I1748">
        <v>78</v>
      </c>
      <c r="J1748">
        <v>78</v>
      </c>
      <c r="K1748" s="6">
        <v>99.95</v>
      </c>
      <c r="L1748" s="6">
        <v>0</v>
      </c>
      <c r="M1748" s="6">
        <v>99.95</v>
      </c>
      <c r="N1748">
        <v>0</v>
      </c>
      <c r="O1748" s="6">
        <v>0</v>
      </c>
      <c r="P1748">
        <v>0</v>
      </c>
      <c r="Q1748" s="8">
        <v>518.02</v>
      </c>
      <c r="R1748" s="8">
        <v>517.75</v>
      </c>
      <c r="S1748" t="s">
        <v>32</v>
      </c>
    </row>
    <row r="1749" spans="1:19" hidden="1" x14ac:dyDescent="0.25">
      <c r="A1749" t="s">
        <v>134</v>
      </c>
      <c r="B1749" t="s">
        <v>75</v>
      </c>
      <c r="C1749" t="s">
        <v>128</v>
      </c>
      <c r="D1749" t="s">
        <v>570</v>
      </c>
      <c r="E1749" t="s">
        <v>94</v>
      </c>
      <c r="F1749" t="s">
        <v>6</v>
      </c>
      <c r="G1749">
        <v>11</v>
      </c>
      <c r="H1749">
        <v>78</v>
      </c>
      <c r="I1749">
        <v>78</v>
      </c>
      <c r="J1749">
        <v>78</v>
      </c>
      <c r="K1749" s="6">
        <v>99.71</v>
      </c>
      <c r="L1749" s="6">
        <v>0</v>
      </c>
      <c r="M1749" s="6">
        <v>99.71</v>
      </c>
      <c r="N1749">
        <v>0</v>
      </c>
      <c r="O1749" s="6">
        <v>0</v>
      </c>
      <c r="P1749">
        <v>0</v>
      </c>
      <c r="Q1749" s="8">
        <v>518.02</v>
      </c>
      <c r="R1749" s="8">
        <v>516.54</v>
      </c>
      <c r="S1749" t="s">
        <v>32</v>
      </c>
    </row>
    <row r="1750" spans="1:19" hidden="1" x14ac:dyDescent="0.25">
      <c r="A1750" t="s">
        <v>134</v>
      </c>
      <c r="B1750" t="s">
        <v>75</v>
      </c>
      <c r="C1750" t="s">
        <v>128</v>
      </c>
      <c r="D1750" t="s">
        <v>572</v>
      </c>
      <c r="E1750" t="s">
        <v>94</v>
      </c>
      <c r="F1750" t="s">
        <v>94</v>
      </c>
      <c r="G1750">
        <v>0</v>
      </c>
      <c r="H1750">
        <v>90</v>
      </c>
      <c r="I1750">
        <v>90</v>
      </c>
      <c r="J1750">
        <v>90</v>
      </c>
      <c r="K1750" s="6">
        <v>100</v>
      </c>
      <c r="L1750" s="6">
        <v>0</v>
      </c>
      <c r="M1750" s="6">
        <v>100</v>
      </c>
      <c r="N1750">
        <v>0</v>
      </c>
      <c r="O1750" s="6">
        <v>0</v>
      </c>
      <c r="P1750">
        <v>0</v>
      </c>
      <c r="Q1750" s="8">
        <v>617.62</v>
      </c>
      <c r="R1750" s="8">
        <v>617.62</v>
      </c>
      <c r="S1750" s="9" t="s">
        <v>650</v>
      </c>
    </row>
    <row r="1751" spans="1:19" hidden="1" x14ac:dyDescent="0.25">
      <c r="A1751" t="s">
        <v>134</v>
      </c>
      <c r="B1751" t="s">
        <v>75</v>
      </c>
      <c r="C1751" t="s">
        <v>128</v>
      </c>
      <c r="D1751" t="s">
        <v>572</v>
      </c>
      <c r="E1751" t="s">
        <v>94</v>
      </c>
      <c r="F1751" t="s">
        <v>96</v>
      </c>
      <c r="G1751">
        <v>4</v>
      </c>
      <c r="H1751">
        <v>90</v>
      </c>
      <c r="I1751">
        <v>90</v>
      </c>
      <c r="J1751">
        <v>90</v>
      </c>
      <c r="K1751" s="6">
        <v>99.97</v>
      </c>
      <c r="L1751" s="6">
        <v>0</v>
      </c>
      <c r="M1751" s="6">
        <v>99.97</v>
      </c>
      <c r="N1751">
        <v>0</v>
      </c>
      <c r="O1751" s="6">
        <v>0</v>
      </c>
      <c r="P1751">
        <v>0</v>
      </c>
      <c r="Q1751" s="8">
        <v>617.62</v>
      </c>
      <c r="R1751" s="8">
        <v>617.46</v>
      </c>
      <c r="S1751" t="s">
        <v>32</v>
      </c>
    </row>
    <row r="1752" spans="1:19" hidden="1" x14ac:dyDescent="0.25">
      <c r="A1752" t="s">
        <v>134</v>
      </c>
      <c r="B1752" t="s">
        <v>75</v>
      </c>
      <c r="C1752" t="s">
        <v>128</v>
      </c>
      <c r="D1752" t="s">
        <v>572</v>
      </c>
      <c r="E1752" t="s">
        <v>94</v>
      </c>
      <c r="F1752" t="s">
        <v>6</v>
      </c>
      <c r="G1752">
        <v>11</v>
      </c>
      <c r="H1752">
        <v>90</v>
      </c>
      <c r="I1752">
        <v>90</v>
      </c>
      <c r="J1752">
        <v>90</v>
      </c>
      <c r="K1752" s="6">
        <v>99.63</v>
      </c>
      <c r="L1752" s="6">
        <v>0</v>
      </c>
      <c r="M1752" s="6">
        <v>99.63</v>
      </c>
      <c r="N1752">
        <v>0</v>
      </c>
      <c r="O1752" s="6">
        <v>0</v>
      </c>
      <c r="P1752">
        <v>0</v>
      </c>
      <c r="Q1752" s="8">
        <v>617.62</v>
      </c>
      <c r="R1752" s="8">
        <v>615.32000000000005</v>
      </c>
      <c r="S1752" t="s">
        <v>32</v>
      </c>
    </row>
    <row r="1753" spans="1:19" hidden="1" x14ac:dyDescent="0.25">
      <c r="A1753" t="s">
        <v>134</v>
      </c>
      <c r="B1753" t="s">
        <v>75</v>
      </c>
      <c r="C1753" t="s">
        <v>128</v>
      </c>
      <c r="D1753" t="s">
        <v>574</v>
      </c>
      <c r="E1753" t="s">
        <v>94</v>
      </c>
      <c r="F1753" t="s">
        <v>94</v>
      </c>
      <c r="G1753">
        <v>0</v>
      </c>
      <c r="H1753">
        <v>99</v>
      </c>
      <c r="I1753">
        <v>99</v>
      </c>
      <c r="J1753">
        <v>99</v>
      </c>
      <c r="K1753" s="6">
        <v>100</v>
      </c>
      <c r="L1753" s="6">
        <v>0</v>
      </c>
      <c r="M1753" s="6">
        <v>100</v>
      </c>
      <c r="N1753">
        <v>0</v>
      </c>
      <c r="O1753" s="6">
        <v>0</v>
      </c>
      <c r="P1753">
        <v>0</v>
      </c>
      <c r="Q1753" s="8">
        <v>515.53</v>
      </c>
      <c r="R1753" s="8">
        <v>515.53</v>
      </c>
      <c r="S1753" s="9" t="s">
        <v>655</v>
      </c>
    </row>
    <row r="1754" spans="1:19" hidden="1" x14ac:dyDescent="0.25">
      <c r="A1754" t="s">
        <v>134</v>
      </c>
      <c r="B1754" t="s">
        <v>75</v>
      </c>
      <c r="C1754" t="s">
        <v>128</v>
      </c>
      <c r="D1754" t="s">
        <v>574</v>
      </c>
      <c r="E1754" t="s">
        <v>94</v>
      </c>
      <c r="F1754" t="s">
        <v>96</v>
      </c>
      <c r="G1754">
        <v>4</v>
      </c>
      <c r="H1754">
        <v>99</v>
      </c>
      <c r="I1754">
        <v>99</v>
      </c>
      <c r="J1754">
        <v>99</v>
      </c>
      <c r="K1754" s="6">
        <v>99.95</v>
      </c>
      <c r="L1754" s="6">
        <v>0</v>
      </c>
      <c r="M1754" s="6">
        <v>99.95</v>
      </c>
      <c r="N1754">
        <v>0</v>
      </c>
      <c r="O1754" s="6">
        <v>0</v>
      </c>
      <c r="P1754">
        <v>0</v>
      </c>
      <c r="Q1754" s="8">
        <v>515.53</v>
      </c>
      <c r="R1754" s="8">
        <v>515.27</v>
      </c>
      <c r="S1754" t="s">
        <v>32</v>
      </c>
    </row>
    <row r="1755" spans="1:19" hidden="1" x14ac:dyDescent="0.25">
      <c r="A1755" t="s">
        <v>134</v>
      </c>
      <c r="B1755" t="s">
        <v>75</v>
      </c>
      <c r="C1755" t="s">
        <v>128</v>
      </c>
      <c r="D1755" t="s">
        <v>574</v>
      </c>
      <c r="E1755" t="s">
        <v>94</v>
      </c>
      <c r="F1755" t="s">
        <v>6</v>
      </c>
      <c r="G1755">
        <v>11</v>
      </c>
      <c r="H1755">
        <v>99</v>
      </c>
      <c r="I1755">
        <v>99</v>
      </c>
      <c r="J1755">
        <v>99</v>
      </c>
      <c r="K1755" s="6">
        <v>99.5</v>
      </c>
      <c r="L1755" s="6">
        <v>0</v>
      </c>
      <c r="M1755" s="6">
        <v>99.5</v>
      </c>
      <c r="N1755">
        <v>0</v>
      </c>
      <c r="O1755" s="6">
        <v>0</v>
      </c>
      <c r="P1755">
        <v>0</v>
      </c>
      <c r="Q1755" s="8">
        <v>515.53</v>
      </c>
      <c r="R1755" s="8">
        <v>512.97</v>
      </c>
      <c r="S1755" t="s">
        <v>32</v>
      </c>
    </row>
    <row r="1756" spans="1:19" hidden="1" x14ac:dyDescent="0.25">
      <c r="A1756" t="s">
        <v>134</v>
      </c>
      <c r="B1756" t="s">
        <v>75</v>
      </c>
      <c r="C1756" t="s">
        <v>128</v>
      </c>
      <c r="D1756" t="s">
        <v>576</v>
      </c>
      <c r="E1756" t="s">
        <v>94</v>
      </c>
      <c r="F1756" t="s">
        <v>94</v>
      </c>
      <c r="G1756">
        <v>0</v>
      </c>
      <c r="H1756">
        <v>89</v>
      </c>
      <c r="I1756">
        <v>89</v>
      </c>
      <c r="J1756">
        <v>89</v>
      </c>
      <c r="K1756" s="6">
        <v>100</v>
      </c>
      <c r="L1756" s="6">
        <v>0</v>
      </c>
      <c r="M1756" s="6">
        <v>100</v>
      </c>
      <c r="N1756">
        <v>0</v>
      </c>
      <c r="O1756" s="6">
        <v>0</v>
      </c>
      <c r="P1756">
        <v>0</v>
      </c>
      <c r="Q1756" s="8">
        <v>517.78</v>
      </c>
      <c r="R1756" s="8">
        <v>517.78</v>
      </c>
      <c r="S1756" s="9" t="s">
        <v>656</v>
      </c>
    </row>
    <row r="1757" spans="1:19" hidden="1" x14ac:dyDescent="0.25">
      <c r="A1757" t="s">
        <v>134</v>
      </c>
      <c r="B1757" t="s">
        <v>75</v>
      </c>
      <c r="C1757" t="s">
        <v>128</v>
      </c>
      <c r="D1757" t="s">
        <v>576</v>
      </c>
      <c r="E1757" t="s">
        <v>94</v>
      </c>
      <c r="F1757" t="s">
        <v>96</v>
      </c>
      <c r="G1757">
        <v>4</v>
      </c>
      <c r="H1757">
        <v>89</v>
      </c>
      <c r="I1757">
        <v>89</v>
      </c>
      <c r="J1757">
        <v>89</v>
      </c>
      <c r="K1757" s="6">
        <v>100</v>
      </c>
      <c r="L1757" s="6">
        <v>0</v>
      </c>
      <c r="M1757" s="6">
        <v>100</v>
      </c>
      <c r="N1757">
        <v>0</v>
      </c>
      <c r="O1757" s="6">
        <v>0</v>
      </c>
      <c r="P1757">
        <v>0</v>
      </c>
      <c r="Q1757" s="8">
        <v>517.78</v>
      </c>
      <c r="R1757" s="8">
        <v>517.78</v>
      </c>
      <c r="S1757" t="s">
        <v>32</v>
      </c>
    </row>
    <row r="1758" spans="1:19" hidden="1" x14ac:dyDescent="0.25">
      <c r="A1758" t="s">
        <v>134</v>
      </c>
      <c r="B1758" t="s">
        <v>75</v>
      </c>
      <c r="C1758" t="s">
        <v>128</v>
      </c>
      <c r="D1758" t="s">
        <v>576</v>
      </c>
      <c r="E1758" t="s">
        <v>94</v>
      </c>
      <c r="F1758" t="s">
        <v>6</v>
      </c>
      <c r="G1758">
        <v>11</v>
      </c>
      <c r="H1758">
        <v>89</v>
      </c>
      <c r="I1758">
        <v>89</v>
      </c>
      <c r="J1758">
        <v>89</v>
      </c>
      <c r="K1758" s="6">
        <v>99.63</v>
      </c>
      <c r="L1758" s="6">
        <v>0</v>
      </c>
      <c r="M1758" s="6">
        <v>99.63</v>
      </c>
      <c r="N1758">
        <v>0</v>
      </c>
      <c r="O1758" s="6">
        <v>0</v>
      </c>
      <c r="P1758">
        <v>0</v>
      </c>
      <c r="Q1758" s="8">
        <v>517.78</v>
      </c>
      <c r="R1758" s="8">
        <v>515.86</v>
      </c>
      <c r="S1758" t="s">
        <v>32</v>
      </c>
    </row>
    <row r="1759" spans="1:19" hidden="1" x14ac:dyDescent="0.25">
      <c r="A1759" t="s">
        <v>134</v>
      </c>
      <c r="B1759" t="s">
        <v>75</v>
      </c>
      <c r="C1759" t="s">
        <v>128</v>
      </c>
      <c r="D1759" t="s">
        <v>578</v>
      </c>
      <c r="E1759" t="s">
        <v>94</v>
      </c>
      <c r="F1759" t="s">
        <v>94</v>
      </c>
      <c r="G1759">
        <v>0</v>
      </c>
      <c r="H1759">
        <v>94</v>
      </c>
      <c r="I1759">
        <v>94</v>
      </c>
      <c r="J1759">
        <v>94</v>
      </c>
      <c r="K1759" s="6">
        <v>100</v>
      </c>
      <c r="L1759" s="6">
        <v>0</v>
      </c>
      <c r="M1759" s="6">
        <v>100</v>
      </c>
      <c r="N1759">
        <v>0</v>
      </c>
      <c r="O1759" s="6">
        <v>0</v>
      </c>
      <c r="P1759">
        <v>0</v>
      </c>
      <c r="Q1759" s="8">
        <v>546.78</v>
      </c>
      <c r="R1759" s="8">
        <v>546.78</v>
      </c>
      <c r="S1759" s="9" t="s">
        <v>657</v>
      </c>
    </row>
    <row r="1760" spans="1:19" hidden="1" x14ac:dyDescent="0.25">
      <c r="A1760" t="s">
        <v>134</v>
      </c>
      <c r="B1760" t="s">
        <v>75</v>
      </c>
      <c r="C1760" t="s">
        <v>128</v>
      </c>
      <c r="D1760" t="s">
        <v>578</v>
      </c>
      <c r="E1760" t="s">
        <v>94</v>
      </c>
      <c r="F1760" t="s">
        <v>96</v>
      </c>
      <c r="G1760">
        <v>4</v>
      </c>
      <c r="H1760">
        <v>94</v>
      </c>
      <c r="I1760">
        <v>94</v>
      </c>
      <c r="J1760">
        <v>94</v>
      </c>
      <c r="K1760" s="6">
        <v>100</v>
      </c>
      <c r="L1760" s="6">
        <v>0</v>
      </c>
      <c r="M1760" s="6">
        <v>100</v>
      </c>
      <c r="N1760">
        <v>0</v>
      </c>
      <c r="O1760" s="6">
        <v>0</v>
      </c>
      <c r="P1760">
        <v>0</v>
      </c>
      <c r="Q1760" s="8">
        <v>546.78</v>
      </c>
      <c r="R1760" s="8">
        <v>546.78</v>
      </c>
      <c r="S1760" t="s">
        <v>32</v>
      </c>
    </row>
    <row r="1761" spans="1:19" hidden="1" x14ac:dyDescent="0.25">
      <c r="A1761" t="s">
        <v>134</v>
      </c>
      <c r="B1761" t="s">
        <v>75</v>
      </c>
      <c r="C1761" t="s">
        <v>128</v>
      </c>
      <c r="D1761" t="s">
        <v>578</v>
      </c>
      <c r="E1761" t="s">
        <v>94</v>
      </c>
      <c r="F1761" t="s">
        <v>6</v>
      </c>
      <c r="G1761">
        <v>11</v>
      </c>
      <c r="H1761">
        <v>94</v>
      </c>
      <c r="I1761">
        <v>94</v>
      </c>
      <c r="J1761">
        <v>94</v>
      </c>
      <c r="K1761" s="6">
        <v>99.81</v>
      </c>
      <c r="L1761" s="6">
        <v>0</v>
      </c>
      <c r="M1761" s="6">
        <v>99.81</v>
      </c>
      <c r="N1761">
        <v>0</v>
      </c>
      <c r="O1761" s="6">
        <v>0</v>
      </c>
      <c r="P1761">
        <v>0</v>
      </c>
      <c r="Q1761" s="8">
        <v>546.78</v>
      </c>
      <c r="R1761" s="8">
        <v>545.74</v>
      </c>
      <c r="S1761" t="s">
        <v>32</v>
      </c>
    </row>
    <row r="1762" spans="1:19" hidden="1" x14ac:dyDescent="0.25">
      <c r="A1762" t="s">
        <v>134</v>
      </c>
      <c r="B1762" t="s">
        <v>75</v>
      </c>
      <c r="C1762" t="s">
        <v>128</v>
      </c>
      <c r="D1762" t="s">
        <v>580</v>
      </c>
      <c r="E1762" t="s">
        <v>94</v>
      </c>
      <c r="F1762" t="s">
        <v>94</v>
      </c>
      <c r="G1762">
        <v>0</v>
      </c>
      <c r="H1762">
        <v>62</v>
      </c>
      <c r="I1762">
        <v>62</v>
      </c>
      <c r="J1762">
        <v>62</v>
      </c>
      <c r="K1762" s="6">
        <v>100</v>
      </c>
      <c r="L1762" s="6">
        <v>0</v>
      </c>
      <c r="M1762" s="6">
        <v>100</v>
      </c>
      <c r="N1762">
        <v>0</v>
      </c>
      <c r="O1762" s="6">
        <v>0</v>
      </c>
      <c r="P1762">
        <v>0</v>
      </c>
      <c r="Q1762" s="8">
        <v>499.14</v>
      </c>
      <c r="R1762" s="8">
        <v>499.14</v>
      </c>
      <c r="S1762" s="9" t="s">
        <v>634</v>
      </c>
    </row>
    <row r="1763" spans="1:19" hidden="1" x14ac:dyDescent="0.25">
      <c r="A1763" t="s">
        <v>134</v>
      </c>
      <c r="B1763" t="s">
        <v>75</v>
      </c>
      <c r="C1763" t="s">
        <v>128</v>
      </c>
      <c r="D1763" t="s">
        <v>580</v>
      </c>
      <c r="E1763" t="s">
        <v>94</v>
      </c>
      <c r="F1763" t="s">
        <v>96</v>
      </c>
      <c r="G1763">
        <v>4</v>
      </c>
      <c r="H1763">
        <v>62</v>
      </c>
      <c r="I1763">
        <v>62</v>
      </c>
      <c r="J1763">
        <v>62</v>
      </c>
      <c r="K1763" s="6">
        <v>100</v>
      </c>
      <c r="L1763" s="6">
        <v>0</v>
      </c>
      <c r="M1763" s="6">
        <v>100</v>
      </c>
      <c r="N1763">
        <v>0</v>
      </c>
      <c r="O1763" s="6">
        <v>0</v>
      </c>
      <c r="P1763">
        <v>0</v>
      </c>
      <c r="Q1763" s="8">
        <v>499.14</v>
      </c>
      <c r="R1763" s="8">
        <v>499.14</v>
      </c>
      <c r="S1763" t="s">
        <v>32</v>
      </c>
    </row>
    <row r="1764" spans="1:19" hidden="1" x14ac:dyDescent="0.25">
      <c r="A1764" t="s">
        <v>134</v>
      </c>
      <c r="B1764" t="s">
        <v>75</v>
      </c>
      <c r="C1764" t="s">
        <v>128</v>
      </c>
      <c r="D1764" t="s">
        <v>580</v>
      </c>
      <c r="E1764" t="s">
        <v>94</v>
      </c>
      <c r="F1764" t="s">
        <v>6</v>
      </c>
      <c r="G1764">
        <v>11</v>
      </c>
      <c r="H1764">
        <v>62</v>
      </c>
      <c r="I1764">
        <v>62</v>
      </c>
      <c r="J1764">
        <v>62</v>
      </c>
      <c r="K1764" s="6">
        <v>102.1</v>
      </c>
      <c r="L1764" s="6">
        <v>0</v>
      </c>
      <c r="M1764" s="6">
        <v>102.1</v>
      </c>
      <c r="N1764">
        <v>0</v>
      </c>
      <c r="O1764" s="6">
        <v>0</v>
      </c>
      <c r="P1764">
        <v>0</v>
      </c>
      <c r="Q1764" s="8">
        <v>499.14</v>
      </c>
      <c r="R1764" s="8">
        <v>509.63</v>
      </c>
      <c r="S1764" t="s">
        <v>32</v>
      </c>
    </row>
    <row r="1765" spans="1:19" hidden="1" x14ac:dyDescent="0.25">
      <c r="A1765" t="s">
        <v>134</v>
      </c>
      <c r="B1765" t="s">
        <v>75</v>
      </c>
      <c r="C1765" t="s">
        <v>128</v>
      </c>
      <c r="D1765" t="s">
        <v>582</v>
      </c>
      <c r="E1765" t="s">
        <v>94</v>
      </c>
      <c r="F1765" t="s">
        <v>94</v>
      </c>
      <c r="G1765">
        <v>0</v>
      </c>
      <c r="H1765">
        <v>38</v>
      </c>
      <c r="I1765">
        <v>38</v>
      </c>
      <c r="J1765">
        <v>38</v>
      </c>
      <c r="K1765" s="6">
        <v>100</v>
      </c>
      <c r="L1765" s="6">
        <v>0</v>
      </c>
      <c r="M1765" s="6">
        <v>100</v>
      </c>
      <c r="N1765">
        <v>0</v>
      </c>
      <c r="O1765" s="6">
        <v>0</v>
      </c>
      <c r="P1765">
        <v>0</v>
      </c>
      <c r="Q1765" s="8">
        <v>431.92</v>
      </c>
      <c r="R1765" s="8">
        <v>431.92</v>
      </c>
      <c r="S1765" s="9" t="s">
        <v>610</v>
      </c>
    </row>
    <row r="1766" spans="1:19" hidden="1" x14ac:dyDescent="0.25">
      <c r="A1766" t="s">
        <v>134</v>
      </c>
      <c r="B1766" t="s">
        <v>75</v>
      </c>
      <c r="C1766" t="s">
        <v>128</v>
      </c>
      <c r="D1766" t="s">
        <v>582</v>
      </c>
      <c r="E1766" t="s">
        <v>94</v>
      </c>
      <c r="F1766" t="s">
        <v>96</v>
      </c>
      <c r="G1766">
        <v>4</v>
      </c>
      <c r="H1766">
        <v>38</v>
      </c>
      <c r="I1766">
        <v>38</v>
      </c>
      <c r="J1766">
        <v>38</v>
      </c>
      <c r="K1766" s="6">
        <v>100</v>
      </c>
      <c r="L1766" s="6">
        <v>0</v>
      </c>
      <c r="M1766" s="6">
        <v>100</v>
      </c>
      <c r="N1766">
        <v>0</v>
      </c>
      <c r="O1766" s="6">
        <v>0</v>
      </c>
      <c r="P1766">
        <v>0</v>
      </c>
      <c r="Q1766" s="8">
        <v>431.92</v>
      </c>
      <c r="R1766" s="8">
        <v>431.92</v>
      </c>
      <c r="S1766" t="s">
        <v>32</v>
      </c>
    </row>
    <row r="1767" spans="1:19" hidden="1" x14ac:dyDescent="0.25">
      <c r="A1767" t="s">
        <v>134</v>
      </c>
      <c r="B1767" t="s">
        <v>75</v>
      </c>
      <c r="C1767" t="s">
        <v>128</v>
      </c>
      <c r="D1767" t="s">
        <v>582</v>
      </c>
      <c r="E1767" t="s">
        <v>94</v>
      </c>
      <c r="F1767" t="s">
        <v>6</v>
      </c>
      <c r="G1767">
        <v>11</v>
      </c>
      <c r="H1767">
        <v>38</v>
      </c>
      <c r="I1767">
        <v>38</v>
      </c>
      <c r="J1767">
        <v>38</v>
      </c>
      <c r="K1767" s="6">
        <v>105.72</v>
      </c>
      <c r="L1767" s="6">
        <v>6.92</v>
      </c>
      <c r="M1767" s="6">
        <v>105.72</v>
      </c>
      <c r="N1767">
        <v>0</v>
      </c>
      <c r="O1767" s="6">
        <v>0</v>
      </c>
      <c r="P1767">
        <v>0</v>
      </c>
      <c r="Q1767" s="8">
        <v>431.92</v>
      </c>
      <c r="R1767" s="8">
        <v>456.61</v>
      </c>
      <c r="S1767" t="s">
        <v>32</v>
      </c>
    </row>
    <row r="1768" spans="1:19" hidden="1" x14ac:dyDescent="0.25">
      <c r="A1768" t="s">
        <v>134</v>
      </c>
      <c r="B1768" t="s">
        <v>75</v>
      </c>
      <c r="C1768" t="s">
        <v>128</v>
      </c>
      <c r="D1768" t="s">
        <v>583</v>
      </c>
      <c r="E1768" t="s">
        <v>94</v>
      </c>
      <c r="F1768" t="s">
        <v>94</v>
      </c>
      <c r="G1768">
        <v>0</v>
      </c>
      <c r="H1768">
        <v>38</v>
      </c>
      <c r="I1768">
        <v>38</v>
      </c>
      <c r="J1768">
        <v>38</v>
      </c>
      <c r="K1768" s="6">
        <v>100</v>
      </c>
      <c r="L1768" s="6">
        <v>0</v>
      </c>
      <c r="M1768" s="6">
        <v>100</v>
      </c>
      <c r="N1768">
        <v>0</v>
      </c>
      <c r="O1768" s="6">
        <v>0</v>
      </c>
      <c r="P1768">
        <v>0</v>
      </c>
      <c r="Q1768" s="8">
        <v>475.66</v>
      </c>
      <c r="R1768" s="8">
        <v>475.66</v>
      </c>
      <c r="S1768" s="9" t="s">
        <v>610</v>
      </c>
    </row>
    <row r="1769" spans="1:19" hidden="1" x14ac:dyDescent="0.25">
      <c r="A1769" t="s">
        <v>134</v>
      </c>
      <c r="B1769" t="s">
        <v>75</v>
      </c>
      <c r="C1769" t="s">
        <v>128</v>
      </c>
      <c r="D1769" t="s">
        <v>583</v>
      </c>
      <c r="E1769" t="s">
        <v>94</v>
      </c>
      <c r="F1769" t="s">
        <v>96</v>
      </c>
      <c r="G1769">
        <v>4</v>
      </c>
      <c r="H1769">
        <v>38</v>
      </c>
      <c r="I1769">
        <v>38</v>
      </c>
      <c r="J1769">
        <v>38</v>
      </c>
      <c r="K1769" s="6">
        <v>100</v>
      </c>
      <c r="L1769" s="6">
        <v>0</v>
      </c>
      <c r="M1769" s="6">
        <v>100</v>
      </c>
      <c r="N1769">
        <v>0</v>
      </c>
      <c r="O1769" s="6">
        <v>0</v>
      </c>
      <c r="P1769">
        <v>0</v>
      </c>
      <c r="Q1769" s="8">
        <v>475.66</v>
      </c>
      <c r="R1769" s="8">
        <v>475.66</v>
      </c>
      <c r="S1769" t="s">
        <v>32</v>
      </c>
    </row>
    <row r="1770" spans="1:19" hidden="1" x14ac:dyDescent="0.25">
      <c r="A1770" t="s">
        <v>134</v>
      </c>
      <c r="B1770" t="s">
        <v>75</v>
      </c>
      <c r="C1770" t="s">
        <v>128</v>
      </c>
      <c r="D1770" t="s">
        <v>583</v>
      </c>
      <c r="E1770" t="s">
        <v>94</v>
      </c>
      <c r="F1770" t="s">
        <v>6</v>
      </c>
      <c r="G1770">
        <v>11</v>
      </c>
      <c r="H1770">
        <v>38</v>
      </c>
      <c r="I1770">
        <v>38</v>
      </c>
      <c r="J1770">
        <v>38</v>
      </c>
      <c r="K1770" s="6">
        <v>104.88</v>
      </c>
      <c r="L1770" s="6">
        <v>5.8</v>
      </c>
      <c r="M1770" s="6">
        <v>104.88</v>
      </c>
      <c r="N1770">
        <v>0</v>
      </c>
      <c r="O1770" s="6">
        <v>0</v>
      </c>
      <c r="P1770">
        <v>0</v>
      </c>
      <c r="Q1770" s="8">
        <v>475.66</v>
      </c>
      <c r="R1770" s="8">
        <v>498.87</v>
      </c>
      <c r="S1770" t="s">
        <v>32</v>
      </c>
    </row>
    <row r="1771" spans="1:19" hidden="1" x14ac:dyDescent="0.25">
      <c r="A1771" t="s">
        <v>134</v>
      </c>
      <c r="B1771" t="s">
        <v>75</v>
      </c>
      <c r="C1771" t="s">
        <v>128</v>
      </c>
      <c r="D1771" t="s">
        <v>585</v>
      </c>
      <c r="E1771" t="s">
        <v>94</v>
      </c>
      <c r="F1771" t="s">
        <v>94</v>
      </c>
      <c r="G1771">
        <v>0</v>
      </c>
      <c r="H1771">
        <v>43</v>
      </c>
      <c r="I1771">
        <v>43</v>
      </c>
      <c r="J1771">
        <v>43</v>
      </c>
      <c r="K1771" s="6">
        <v>100</v>
      </c>
      <c r="L1771" s="6">
        <v>0</v>
      </c>
      <c r="M1771" s="6">
        <v>100</v>
      </c>
      <c r="N1771">
        <v>0</v>
      </c>
      <c r="O1771" s="6">
        <v>0</v>
      </c>
      <c r="P1771">
        <v>0</v>
      </c>
      <c r="Q1771" s="8">
        <v>485.45</v>
      </c>
      <c r="R1771" s="8">
        <v>485.45</v>
      </c>
      <c r="S1771" s="9" t="s">
        <v>658</v>
      </c>
    </row>
    <row r="1772" spans="1:19" hidden="1" x14ac:dyDescent="0.25">
      <c r="A1772" t="s">
        <v>134</v>
      </c>
      <c r="B1772" t="s">
        <v>75</v>
      </c>
      <c r="C1772" t="s">
        <v>128</v>
      </c>
      <c r="D1772" t="s">
        <v>585</v>
      </c>
      <c r="E1772" t="s">
        <v>94</v>
      </c>
      <c r="F1772" t="s">
        <v>96</v>
      </c>
      <c r="G1772">
        <v>4</v>
      </c>
      <c r="H1772">
        <v>43</v>
      </c>
      <c r="I1772">
        <v>43</v>
      </c>
      <c r="J1772">
        <v>43</v>
      </c>
      <c r="K1772" s="6">
        <v>100</v>
      </c>
      <c r="L1772" s="6">
        <v>0</v>
      </c>
      <c r="M1772" s="6">
        <v>100</v>
      </c>
      <c r="N1772">
        <v>0</v>
      </c>
      <c r="O1772" s="6">
        <v>0</v>
      </c>
      <c r="P1772">
        <v>0</v>
      </c>
      <c r="Q1772" s="8">
        <v>485.45</v>
      </c>
      <c r="R1772" s="8">
        <v>485.45</v>
      </c>
      <c r="S1772" t="s">
        <v>32</v>
      </c>
    </row>
    <row r="1773" spans="1:19" hidden="1" x14ac:dyDescent="0.25">
      <c r="A1773" t="s">
        <v>134</v>
      </c>
      <c r="B1773" t="s">
        <v>75</v>
      </c>
      <c r="C1773" t="s">
        <v>128</v>
      </c>
      <c r="D1773" t="s">
        <v>585</v>
      </c>
      <c r="E1773" t="s">
        <v>94</v>
      </c>
      <c r="F1773" t="s">
        <v>6</v>
      </c>
      <c r="G1773">
        <v>11</v>
      </c>
      <c r="H1773">
        <v>43</v>
      </c>
      <c r="I1773">
        <v>43</v>
      </c>
      <c r="J1773">
        <v>43</v>
      </c>
      <c r="K1773" s="6">
        <v>105.28</v>
      </c>
      <c r="L1773" s="6">
        <v>5.8</v>
      </c>
      <c r="M1773" s="6">
        <v>105.28</v>
      </c>
      <c r="N1773">
        <v>0</v>
      </c>
      <c r="O1773" s="6">
        <v>0</v>
      </c>
      <c r="P1773">
        <v>0</v>
      </c>
      <c r="Q1773" s="8">
        <v>485.45</v>
      </c>
      <c r="R1773" s="8">
        <v>511.1</v>
      </c>
      <c r="S1773" t="s">
        <v>32</v>
      </c>
    </row>
    <row r="1774" spans="1:19" hidden="1" x14ac:dyDescent="0.25">
      <c r="A1774" t="s">
        <v>134</v>
      </c>
      <c r="B1774" t="s">
        <v>75</v>
      </c>
      <c r="C1774" t="s">
        <v>128</v>
      </c>
      <c r="D1774" t="s">
        <v>588</v>
      </c>
      <c r="E1774" t="s">
        <v>94</v>
      </c>
      <c r="F1774" t="s">
        <v>94</v>
      </c>
      <c r="G1774">
        <v>0</v>
      </c>
      <c r="H1774">
        <v>36</v>
      </c>
      <c r="I1774">
        <v>36</v>
      </c>
      <c r="J1774">
        <v>36</v>
      </c>
      <c r="K1774" s="6">
        <v>100</v>
      </c>
      <c r="L1774" s="6">
        <v>0</v>
      </c>
      <c r="M1774" s="6">
        <v>100</v>
      </c>
      <c r="N1774">
        <v>0</v>
      </c>
      <c r="O1774" s="6">
        <v>0</v>
      </c>
      <c r="P1774">
        <v>0</v>
      </c>
      <c r="Q1774" s="8">
        <v>459.56</v>
      </c>
      <c r="R1774" s="8">
        <v>459.56</v>
      </c>
      <c r="S1774" s="9" t="s">
        <v>640</v>
      </c>
    </row>
    <row r="1775" spans="1:19" hidden="1" x14ac:dyDescent="0.25">
      <c r="A1775" t="s">
        <v>134</v>
      </c>
      <c r="B1775" t="s">
        <v>75</v>
      </c>
      <c r="C1775" t="s">
        <v>128</v>
      </c>
      <c r="D1775" t="s">
        <v>588</v>
      </c>
      <c r="E1775" t="s">
        <v>94</v>
      </c>
      <c r="F1775" t="s">
        <v>96</v>
      </c>
      <c r="G1775">
        <v>4</v>
      </c>
      <c r="H1775">
        <v>36</v>
      </c>
      <c r="I1775">
        <v>36</v>
      </c>
      <c r="J1775">
        <v>36</v>
      </c>
      <c r="K1775" s="6">
        <v>100</v>
      </c>
      <c r="L1775" s="6">
        <v>0</v>
      </c>
      <c r="M1775" s="6">
        <v>100</v>
      </c>
      <c r="N1775">
        <v>0</v>
      </c>
      <c r="O1775" s="6">
        <v>0</v>
      </c>
      <c r="P1775">
        <v>0</v>
      </c>
      <c r="Q1775" s="8">
        <v>459.56</v>
      </c>
      <c r="R1775" s="8">
        <v>459.56</v>
      </c>
      <c r="S1775" t="s">
        <v>32</v>
      </c>
    </row>
    <row r="1776" spans="1:19" hidden="1" x14ac:dyDescent="0.25">
      <c r="A1776" t="s">
        <v>134</v>
      </c>
      <c r="B1776" t="s">
        <v>75</v>
      </c>
      <c r="C1776" t="s">
        <v>128</v>
      </c>
      <c r="D1776" t="s">
        <v>588</v>
      </c>
      <c r="E1776" t="s">
        <v>94</v>
      </c>
      <c r="F1776" t="s">
        <v>6</v>
      </c>
      <c r="G1776">
        <v>11</v>
      </c>
      <c r="H1776">
        <v>36</v>
      </c>
      <c r="I1776">
        <v>36</v>
      </c>
      <c r="J1776">
        <v>36</v>
      </c>
      <c r="K1776" s="6">
        <v>105.33</v>
      </c>
      <c r="L1776" s="6">
        <v>6.25</v>
      </c>
      <c r="M1776" s="6">
        <v>105.33</v>
      </c>
      <c r="N1776">
        <v>0</v>
      </c>
      <c r="O1776" s="6">
        <v>0</v>
      </c>
      <c r="P1776">
        <v>0</v>
      </c>
      <c r="Q1776" s="8">
        <v>459.56</v>
      </c>
      <c r="R1776" s="8">
        <v>484.06</v>
      </c>
      <c r="S1776" t="s">
        <v>32</v>
      </c>
    </row>
    <row r="1777" spans="1:19" hidden="1" x14ac:dyDescent="0.25">
      <c r="A1777" t="s">
        <v>134</v>
      </c>
      <c r="B1777" t="s">
        <v>75</v>
      </c>
      <c r="C1777" t="s">
        <v>128</v>
      </c>
      <c r="D1777" t="s">
        <v>589</v>
      </c>
      <c r="E1777" t="s">
        <v>94</v>
      </c>
      <c r="F1777" t="s">
        <v>94</v>
      </c>
      <c r="G1777">
        <v>0</v>
      </c>
      <c r="H1777">
        <v>42</v>
      </c>
      <c r="I1777">
        <v>42</v>
      </c>
      <c r="J1777">
        <v>42</v>
      </c>
      <c r="K1777" s="6">
        <v>100</v>
      </c>
      <c r="L1777" s="6">
        <v>0</v>
      </c>
      <c r="M1777" s="6">
        <v>100</v>
      </c>
      <c r="N1777">
        <v>0</v>
      </c>
      <c r="O1777" s="6">
        <v>0</v>
      </c>
      <c r="P1777">
        <v>0</v>
      </c>
      <c r="Q1777" s="8">
        <v>431.88</v>
      </c>
      <c r="R1777" s="8">
        <v>431.88</v>
      </c>
      <c r="S1777" s="9" t="s">
        <v>631</v>
      </c>
    </row>
    <row r="1778" spans="1:19" hidden="1" x14ac:dyDescent="0.25">
      <c r="A1778" t="s">
        <v>134</v>
      </c>
      <c r="B1778" t="s">
        <v>75</v>
      </c>
      <c r="C1778" t="s">
        <v>128</v>
      </c>
      <c r="D1778" t="s">
        <v>589</v>
      </c>
      <c r="E1778" t="s">
        <v>94</v>
      </c>
      <c r="F1778" t="s">
        <v>96</v>
      </c>
      <c r="G1778">
        <v>4</v>
      </c>
      <c r="H1778">
        <v>42</v>
      </c>
      <c r="I1778">
        <v>42</v>
      </c>
      <c r="J1778">
        <v>42</v>
      </c>
      <c r="K1778" s="6">
        <v>100</v>
      </c>
      <c r="L1778" s="6">
        <v>0</v>
      </c>
      <c r="M1778" s="6">
        <v>100</v>
      </c>
      <c r="N1778">
        <v>0</v>
      </c>
      <c r="O1778" s="6">
        <v>0</v>
      </c>
      <c r="P1778">
        <v>0</v>
      </c>
      <c r="Q1778" s="8">
        <v>431.88</v>
      </c>
      <c r="R1778" s="8">
        <v>431.88</v>
      </c>
      <c r="S1778" t="s">
        <v>32</v>
      </c>
    </row>
    <row r="1779" spans="1:19" hidden="1" x14ac:dyDescent="0.25">
      <c r="A1779" t="s">
        <v>134</v>
      </c>
      <c r="B1779" t="s">
        <v>75</v>
      </c>
      <c r="C1779" t="s">
        <v>128</v>
      </c>
      <c r="D1779" t="s">
        <v>589</v>
      </c>
      <c r="E1779" t="s">
        <v>94</v>
      </c>
      <c r="F1779" t="s">
        <v>6</v>
      </c>
      <c r="G1779">
        <v>11</v>
      </c>
      <c r="H1779">
        <v>42</v>
      </c>
      <c r="I1779">
        <v>42</v>
      </c>
      <c r="J1779">
        <v>42</v>
      </c>
      <c r="K1779" s="6">
        <v>105.57</v>
      </c>
      <c r="L1779" s="6">
        <v>6.78</v>
      </c>
      <c r="M1779" s="6">
        <v>105.57</v>
      </c>
      <c r="N1779">
        <v>0</v>
      </c>
      <c r="O1779" s="6">
        <v>0</v>
      </c>
      <c r="P1779">
        <v>0</v>
      </c>
      <c r="Q1779" s="8">
        <v>431.88</v>
      </c>
      <c r="R1779" s="8">
        <v>455.94</v>
      </c>
      <c r="S1779" t="s">
        <v>32</v>
      </c>
    </row>
    <row r="1780" spans="1:19" hidden="1" x14ac:dyDescent="0.25">
      <c r="A1780" t="s">
        <v>134</v>
      </c>
      <c r="B1780" t="s">
        <v>75</v>
      </c>
      <c r="C1780" t="s">
        <v>128</v>
      </c>
      <c r="D1780" t="s">
        <v>590</v>
      </c>
      <c r="E1780" t="s">
        <v>94</v>
      </c>
      <c r="F1780" t="s">
        <v>94</v>
      </c>
      <c r="G1780">
        <v>0</v>
      </c>
      <c r="H1780">
        <v>29</v>
      </c>
      <c r="I1780">
        <v>29</v>
      </c>
      <c r="J1780">
        <v>29</v>
      </c>
      <c r="K1780" s="6">
        <v>100</v>
      </c>
      <c r="L1780" s="6">
        <v>0</v>
      </c>
      <c r="M1780" s="6">
        <v>100</v>
      </c>
      <c r="N1780">
        <v>0</v>
      </c>
      <c r="O1780" s="6">
        <v>0</v>
      </c>
      <c r="P1780">
        <v>0</v>
      </c>
      <c r="Q1780" s="8">
        <v>416.11</v>
      </c>
      <c r="R1780" s="8">
        <v>416.11</v>
      </c>
      <c r="S1780" s="9" t="s">
        <v>564</v>
      </c>
    </row>
    <row r="1781" spans="1:19" hidden="1" x14ac:dyDescent="0.25">
      <c r="A1781" t="s">
        <v>134</v>
      </c>
      <c r="B1781" t="s">
        <v>75</v>
      </c>
      <c r="C1781" t="s">
        <v>128</v>
      </c>
      <c r="D1781" t="s">
        <v>590</v>
      </c>
      <c r="E1781" t="s">
        <v>94</v>
      </c>
      <c r="F1781" t="s">
        <v>96</v>
      </c>
      <c r="G1781">
        <v>4</v>
      </c>
      <c r="H1781">
        <v>29</v>
      </c>
      <c r="I1781">
        <v>29</v>
      </c>
      <c r="J1781">
        <v>29</v>
      </c>
      <c r="K1781" s="6">
        <v>100</v>
      </c>
      <c r="L1781" s="6">
        <v>0</v>
      </c>
      <c r="M1781" s="6">
        <v>100</v>
      </c>
      <c r="N1781">
        <v>0</v>
      </c>
      <c r="O1781" s="6">
        <v>0</v>
      </c>
      <c r="P1781">
        <v>0</v>
      </c>
      <c r="Q1781" s="8">
        <v>416.11</v>
      </c>
      <c r="R1781" s="8">
        <v>416.11</v>
      </c>
      <c r="S1781" s="10" t="s">
        <v>565</v>
      </c>
    </row>
    <row r="1782" spans="1:19" hidden="1" x14ac:dyDescent="0.25">
      <c r="A1782" t="s">
        <v>134</v>
      </c>
      <c r="B1782" t="s">
        <v>75</v>
      </c>
      <c r="C1782" t="s">
        <v>128</v>
      </c>
      <c r="D1782" t="s">
        <v>590</v>
      </c>
      <c r="E1782" t="s">
        <v>94</v>
      </c>
      <c r="F1782" t="s">
        <v>6</v>
      </c>
      <c r="G1782">
        <v>11</v>
      </c>
      <c r="H1782">
        <v>29</v>
      </c>
      <c r="I1782">
        <v>29</v>
      </c>
      <c r="J1782">
        <v>29</v>
      </c>
      <c r="K1782" s="6">
        <v>105.36</v>
      </c>
      <c r="L1782" s="6">
        <v>6.78</v>
      </c>
      <c r="M1782" s="6">
        <v>105.36</v>
      </c>
      <c r="N1782">
        <v>0</v>
      </c>
      <c r="O1782" s="6">
        <v>0</v>
      </c>
      <c r="P1782">
        <v>0</v>
      </c>
      <c r="Q1782" s="8">
        <v>416.11</v>
      </c>
      <c r="R1782" s="8">
        <v>438.4</v>
      </c>
      <c r="S1782" s="10" t="s">
        <v>565</v>
      </c>
    </row>
    <row r="1783" spans="1:19" hidden="1" x14ac:dyDescent="0.25">
      <c r="A1783" t="s">
        <v>134</v>
      </c>
      <c r="B1783" t="s">
        <v>77</v>
      </c>
      <c r="C1783" t="s">
        <v>124</v>
      </c>
      <c r="D1783" t="s">
        <v>539</v>
      </c>
      <c r="E1783" t="s">
        <v>91</v>
      </c>
      <c r="F1783" t="s">
        <v>91</v>
      </c>
      <c r="G1783">
        <v>0</v>
      </c>
      <c r="H1783">
        <v>3</v>
      </c>
      <c r="I1783">
        <v>3</v>
      </c>
      <c r="J1783">
        <v>3</v>
      </c>
      <c r="K1783" s="6">
        <v>100</v>
      </c>
      <c r="L1783" s="6">
        <v>0</v>
      </c>
      <c r="M1783" s="6">
        <v>100</v>
      </c>
      <c r="N1783">
        <v>0</v>
      </c>
      <c r="O1783" s="6">
        <v>0</v>
      </c>
      <c r="P1783">
        <v>0</v>
      </c>
      <c r="Q1783" s="8">
        <v>211.3</v>
      </c>
      <c r="R1783" s="8">
        <v>211.3</v>
      </c>
      <c r="S1783" s="9" t="s">
        <v>525</v>
      </c>
    </row>
    <row r="1784" spans="1:19" hidden="1" x14ac:dyDescent="0.25">
      <c r="A1784" t="s">
        <v>134</v>
      </c>
      <c r="B1784" t="s">
        <v>77</v>
      </c>
      <c r="C1784" t="s">
        <v>124</v>
      </c>
      <c r="D1784" t="s">
        <v>539</v>
      </c>
      <c r="E1784" t="s">
        <v>91</v>
      </c>
      <c r="F1784" t="s">
        <v>94</v>
      </c>
      <c r="G1784">
        <v>1</v>
      </c>
      <c r="H1784">
        <v>3</v>
      </c>
      <c r="I1784">
        <v>4</v>
      </c>
      <c r="J1784">
        <v>3</v>
      </c>
      <c r="K1784" s="6">
        <v>98.87</v>
      </c>
      <c r="L1784" s="6">
        <v>-1.2</v>
      </c>
      <c r="M1784" s="6">
        <v>127.74</v>
      </c>
      <c r="N1784">
        <v>28.87</v>
      </c>
      <c r="O1784" s="6">
        <v>0</v>
      </c>
      <c r="P1784">
        <v>1</v>
      </c>
      <c r="Q1784" s="8">
        <v>211.3</v>
      </c>
      <c r="R1784" s="8">
        <v>208.91</v>
      </c>
      <c r="S1784" s="9" t="s">
        <v>526</v>
      </c>
    </row>
    <row r="1785" spans="1:19" hidden="1" x14ac:dyDescent="0.25">
      <c r="A1785" t="s">
        <v>134</v>
      </c>
      <c r="B1785" t="s">
        <v>77</v>
      </c>
      <c r="C1785" t="s">
        <v>124</v>
      </c>
      <c r="D1785" t="s">
        <v>539</v>
      </c>
      <c r="E1785" t="s">
        <v>91</v>
      </c>
      <c r="F1785" t="s">
        <v>96</v>
      </c>
      <c r="G1785">
        <v>5</v>
      </c>
      <c r="H1785">
        <v>3</v>
      </c>
      <c r="I1785">
        <v>4</v>
      </c>
      <c r="J1785">
        <v>3</v>
      </c>
      <c r="K1785" s="6">
        <v>95.24</v>
      </c>
      <c r="L1785" s="6">
        <v>-4.4000000000000004</v>
      </c>
      <c r="M1785" s="6">
        <v>125.61</v>
      </c>
      <c r="N1785">
        <v>30.37</v>
      </c>
      <c r="O1785" s="6">
        <v>0</v>
      </c>
      <c r="P1785">
        <v>1</v>
      </c>
      <c r="Q1785" s="8">
        <v>211.3</v>
      </c>
      <c r="R1785" s="8">
        <v>201.24</v>
      </c>
      <c r="S1785" s="9" t="s">
        <v>526</v>
      </c>
    </row>
    <row r="1786" spans="1:19" hidden="1" x14ac:dyDescent="0.25">
      <c r="A1786" t="s">
        <v>134</v>
      </c>
      <c r="B1786" t="s">
        <v>77</v>
      </c>
      <c r="C1786" t="s">
        <v>124</v>
      </c>
      <c r="D1786" t="s">
        <v>539</v>
      </c>
      <c r="E1786" t="s">
        <v>91</v>
      </c>
      <c r="F1786" t="s">
        <v>6</v>
      </c>
      <c r="G1786">
        <v>12</v>
      </c>
      <c r="H1786">
        <v>3</v>
      </c>
      <c r="I1786">
        <v>4</v>
      </c>
      <c r="J1786">
        <v>3</v>
      </c>
      <c r="K1786" s="6">
        <v>95.24</v>
      </c>
      <c r="L1786" s="6">
        <v>-4.4000000000000004</v>
      </c>
      <c r="M1786" s="6">
        <v>124.42</v>
      </c>
      <c r="N1786">
        <v>29.18</v>
      </c>
      <c r="O1786" s="6">
        <v>0</v>
      </c>
      <c r="P1786">
        <v>1</v>
      </c>
      <c r="Q1786" s="8">
        <v>211.3</v>
      </c>
      <c r="R1786" s="8">
        <v>201.24</v>
      </c>
      <c r="S1786" s="9" t="s">
        <v>526</v>
      </c>
    </row>
    <row r="1787" spans="1:19" hidden="1" x14ac:dyDescent="0.25">
      <c r="A1787" t="s">
        <v>134</v>
      </c>
      <c r="B1787" t="s">
        <v>77</v>
      </c>
      <c r="C1787" t="s">
        <v>124</v>
      </c>
      <c r="D1787" t="s">
        <v>524</v>
      </c>
      <c r="E1787" t="s">
        <v>90</v>
      </c>
      <c r="F1787" t="s">
        <v>90</v>
      </c>
      <c r="G1787">
        <v>0</v>
      </c>
      <c r="H1787">
        <v>2</v>
      </c>
      <c r="I1787">
        <v>2</v>
      </c>
      <c r="J1787">
        <v>2</v>
      </c>
      <c r="K1787" s="6">
        <v>100</v>
      </c>
      <c r="L1787" s="6">
        <v>0</v>
      </c>
      <c r="M1787" s="6">
        <v>100</v>
      </c>
      <c r="N1787">
        <v>0</v>
      </c>
      <c r="O1787" s="6">
        <v>0</v>
      </c>
      <c r="P1787">
        <v>0</v>
      </c>
      <c r="Q1787" s="8">
        <v>287.89999999999998</v>
      </c>
      <c r="R1787" s="8">
        <v>287.89999999999998</v>
      </c>
      <c r="S1787" s="9" t="s">
        <v>536</v>
      </c>
    </row>
    <row r="1788" spans="1:19" hidden="1" x14ac:dyDescent="0.25">
      <c r="A1788" t="s">
        <v>134</v>
      </c>
      <c r="B1788" t="s">
        <v>77</v>
      </c>
      <c r="C1788" t="s">
        <v>124</v>
      </c>
      <c r="D1788" t="s">
        <v>524</v>
      </c>
      <c r="E1788" t="s">
        <v>90</v>
      </c>
      <c r="F1788" t="s">
        <v>91</v>
      </c>
      <c r="G1788">
        <v>1</v>
      </c>
      <c r="H1788">
        <v>2</v>
      </c>
      <c r="I1788">
        <v>2</v>
      </c>
      <c r="J1788">
        <v>2</v>
      </c>
      <c r="K1788" s="6">
        <v>100</v>
      </c>
      <c r="L1788" s="6">
        <v>0</v>
      </c>
      <c r="M1788" s="6">
        <v>100</v>
      </c>
      <c r="N1788">
        <v>0</v>
      </c>
      <c r="O1788" s="6">
        <v>0</v>
      </c>
      <c r="P1788">
        <v>0</v>
      </c>
      <c r="Q1788" s="8">
        <v>287.89999999999998</v>
      </c>
      <c r="R1788" s="8">
        <v>287.89999999999998</v>
      </c>
      <c r="S1788" s="9" t="s">
        <v>537</v>
      </c>
    </row>
    <row r="1789" spans="1:19" hidden="1" x14ac:dyDescent="0.25">
      <c r="A1789" t="s">
        <v>134</v>
      </c>
      <c r="B1789" t="s">
        <v>77</v>
      </c>
      <c r="C1789" t="s">
        <v>124</v>
      </c>
      <c r="D1789" t="s">
        <v>524</v>
      </c>
      <c r="E1789" t="s">
        <v>90</v>
      </c>
      <c r="F1789" t="s">
        <v>94</v>
      </c>
      <c r="G1789">
        <v>2</v>
      </c>
      <c r="H1789">
        <v>2</v>
      </c>
      <c r="I1789">
        <v>2</v>
      </c>
      <c r="J1789">
        <v>2</v>
      </c>
      <c r="K1789" s="6">
        <v>100</v>
      </c>
      <c r="L1789" s="6">
        <v>0</v>
      </c>
      <c r="M1789" s="6">
        <v>100</v>
      </c>
      <c r="N1789">
        <v>0</v>
      </c>
      <c r="O1789" s="6">
        <v>0</v>
      </c>
      <c r="P1789">
        <v>0</v>
      </c>
      <c r="Q1789" s="8">
        <v>287.89999999999998</v>
      </c>
      <c r="R1789" s="8">
        <v>287.89999999999998</v>
      </c>
      <c r="S1789" s="9" t="s">
        <v>537</v>
      </c>
    </row>
    <row r="1790" spans="1:19" hidden="1" x14ac:dyDescent="0.25">
      <c r="A1790" t="s">
        <v>134</v>
      </c>
      <c r="B1790" t="s">
        <v>77</v>
      </c>
      <c r="C1790" t="s">
        <v>124</v>
      </c>
      <c r="D1790" t="s">
        <v>524</v>
      </c>
      <c r="E1790" t="s">
        <v>90</v>
      </c>
      <c r="F1790" t="s">
        <v>96</v>
      </c>
      <c r="G1790">
        <v>6</v>
      </c>
      <c r="H1790">
        <v>2</v>
      </c>
      <c r="I1790">
        <v>2</v>
      </c>
      <c r="J1790">
        <v>2</v>
      </c>
      <c r="K1790" s="6">
        <v>100</v>
      </c>
      <c r="L1790" s="6">
        <v>0</v>
      </c>
      <c r="M1790" s="6">
        <v>100</v>
      </c>
      <c r="N1790">
        <v>0</v>
      </c>
      <c r="O1790" s="6">
        <v>0</v>
      </c>
      <c r="P1790">
        <v>0</v>
      </c>
      <c r="Q1790" s="8">
        <v>287.89999999999998</v>
      </c>
      <c r="R1790" s="8">
        <v>287.89999999999998</v>
      </c>
      <c r="S1790" s="9" t="s">
        <v>537</v>
      </c>
    </row>
    <row r="1791" spans="1:19" hidden="1" x14ac:dyDescent="0.25">
      <c r="A1791" t="s">
        <v>134</v>
      </c>
      <c r="B1791" t="s">
        <v>77</v>
      </c>
      <c r="C1791" t="s">
        <v>124</v>
      </c>
      <c r="D1791" t="s">
        <v>524</v>
      </c>
      <c r="E1791" t="s">
        <v>90</v>
      </c>
      <c r="F1791" t="s">
        <v>6</v>
      </c>
      <c r="G1791">
        <v>13</v>
      </c>
      <c r="H1791">
        <v>2</v>
      </c>
      <c r="I1791">
        <v>2</v>
      </c>
      <c r="J1791">
        <v>2</v>
      </c>
      <c r="K1791" s="6">
        <v>100</v>
      </c>
      <c r="L1791" s="6">
        <v>0</v>
      </c>
      <c r="M1791" s="6">
        <v>100</v>
      </c>
      <c r="N1791">
        <v>0</v>
      </c>
      <c r="O1791" s="6">
        <v>0</v>
      </c>
      <c r="P1791">
        <v>0</v>
      </c>
      <c r="Q1791" s="8">
        <v>287.89999999999998</v>
      </c>
      <c r="R1791" s="8">
        <v>287.89999999999998</v>
      </c>
      <c r="S1791" s="9" t="s">
        <v>537</v>
      </c>
    </row>
    <row r="1792" spans="1:19" hidden="1" x14ac:dyDescent="0.25">
      <c r="A1792" t="s">
        <v>134</v>
      </c>
      <c r="B1792" t="s">
        <v>77</v>
      </c>
      <c r="C1792" t="s">
        <v>124</v>
      </c>
      <c r="D1792" t="s">
        <v>530</v>
      </c>
      <c r="E1792" t="s">
        <v>90</v>
      </c>
      <c r="F1792" t="s">
        <v>90</v>
      </c>
      <c r="G1792">
        <v>0</v>
      </c>
      <c r="H1792">
        <v>6</v>
      </c>
      <c r="I1792">
        <v>6</v>
      </c>
      <c r="J1792">
        <v>6</v>
      </c>
      <c r="K1792" s="6">
        <v>100</v>
      </c>
      <c r="L1792" s="6">
        <v>0</v>
      </c>
      <c r="M1792" s="6">
        <v>100</v>
      </c>
      <c r="N1792">
        <v>0</v>
      </c>
      <c r="O1792" s="6">
        <v>0</v>
      </c>
      <c r="P1792">
        <v>0</v>
      </c>
      <c r="Q1792" s="8">
        <v>421.72</v>
      </c>
      <c r="R1792" s="8">
        <v>421.72</v>
      </c>
      <c r="S1792" s="9" t="s">
        <v>534</v>
      </c>
    </row>
    <row r="1793" spans="1:19" hidden="1" x14ac:dyDescent="0.25">
      <c r="A1793" t="s">
        <v>134</v>
      </c>
      <c r="B1793" t="s">
        <v>77</v>
      </c>
      <c r="C1793" t="s">
        <v>124</v>
      </c>
      <c r="D1793" t="s">
        <v>530</v>
      </c>
      <c r="E1793" t="s">
        <v>90</v>
      </c>
      <c r="F1793" t="s">
        <v>91</v>
      </c>
      <c r="G1793">
        <v>1</v>
      </c>
      <c r="H1793">
        <v>6</v>
      </c>
      <c r="I1793">
        <v>6</v>
      </c>
      <c r="J1793">
        <v>6</v>
      </c>
      <c r="K1793" s="6">
        <v>100</v>
      </c>
      <c r="L1793" s="6">
        <v>0</v>
      </c>
      <c r="M1793" s="6">
        <v>100</v>
      </c>
      <c r="N1793">
        <v>0</v>
      </c>
      <c r="O1793" s="6">
        <v>0</v>
      </c>
      <c r="P1793">
        <v>0</v>
      </c>
      <c r="Q1793" s="8">
        <v>421.72</v>
      </c>
      <c r="R1793" s="8">
        <v>421.72</v>
      </c>
      <c r="S1793" s="9" t="s">
        <v>535</v>
      </c>
    </row>
    <row r="1794" spans="1:19" hidden="1" x14ac:dyDescent="0.25">
      <c r="A1794" t="s">
        <v>134</v>
      </c>
      <c r="B1794" t="s">
        <v>77</v>
      </c>
      <c r="C1794" t="s">
        <v>124</v>
      </c>
      <c r="D1794" t="s">
        <v>530</v>
      </c>
      <c r="E1794" t="s">
        <v>90</v>
      </c>
      <c r="F1794" t="s">
        <v>94</v>
      </c>
      <c r="G1794">
        <v>2</v>
      </c>
      <c r="H1794">
        <v>6</v>
      </c>
      <c r="I1794">
        <v>6</v>
      </c>
      <c r="J1794">
        <v>6</v>
      </c>
      <c r="K1794" s="6">
        <v>100.4</v>
      </c>
      <c r="L1794" s="6">
        <v>0</v>
      </c>
      <c r="M1794" s="6">
        <v>100.4</v>
      </c>
      <c r="N1794">
        <v>0</v>
      </c>
      <c r="O1794" s="6">
        <v>0</v>
      </c>
      <c r="P1794">
        <v>0</v>
      </c>
      <c r="Q1794" s="8">
        <v>421.72</v>
      </c>
      <c r="R1794" s="8">
        <v>423.39</v>
      </c>
      <c r="S1794" s="9" t="s">
        <v>535</v>
      </c>
    </row>
    <row r="1795" spans="1:19" hidden="1" x14ac:dyDescent="0.25">
      <c r="A1795" t="s">
        <v>134</v>
      </c>
      <c r="B1795" t="s">
        <v>77</v>
      </c>
      <c r="C1795" t="s">
        <v>124</v>
      </c>
      <c r="D1795" t="s">
        <v>530</v>
      </c>
      <c r="E1795" t="s">
        <v>90</v>
      </c>
      <c r="F1795" t="s">
        <v>96</v>
      </c>
      <c r="G1795">
        <v>6</v>
      </c>
      <c r="H1795">
        <v>6</v>
      </c>
      <c r="I1795">
        <v>6</v>
      </c>
      <c r="J1795">
        <v>6</v>
      </c>
      <c r="K1795" s="6">
        <v>100.4</v>
      </c>
      <c r="L1795" s="6">
        <v>0</v>
      </c>
      <c r="M1795" s="6">
        <v>100.4</v>
      </c>
      <c r="N1795">
        <v>0</v>
      </c>
      <c r="O1795" s="6">
        <v>0</v>
      </c>
      <c r="P1795">
        <v>0</v>
      </c>
      <c r="Q1795" s="8">
        <v>421.72</v>
      </c>
      <c r="R1795" s="8">
        <v>423.39</v>
      </c>
      <c r="S1795" s="9" t="s">
        <v>535</v>
      </c>
    </row>
    <row r="1796" spans="1:19" hidden="1" x14ac:dyDescent="0.25">
      <c r="A1796" t="s">
        <v>134</v>
      </c>
      <c r="B1796" t="s">
        <v>77</v>
      </c>
      <c r="C1796" t="s">
        <v>124</v>
      </c>
      <c r="D1796" t="s">
        <v>530</v>
      </c>
      <c r="E1796" t="s">
        <v>90</v>
      </c>
      <c r="F1796" t="s">
        <v>6</v>
      </c>
      <c r="G1796">
        <v>13</v>
      </c>
      <c r="H1796">
        <v>6</v>
      </c>
      <c r="I1796">
        <v>4</v>
      </c>
      <c r="J1796">
        <v>4</v>
      </c>
      <c r="K1796" s="6">
        <v>100</v>
      </c>
      <c r="L1796" s="6">
        <v>0</v>
      </c>
      <c r="M1796" s="6">
        <v>96.66</v>
      </c>
      <c r="N1796">
        <v>-3.34</v>
      </c>
      <c r="O1796" s="6">
        <v>33.299999999999997</v>
      </c>
      <c r="P1796">
        <v>0</v>
      </c>
      <c r="Q1796" s="8">
        <v>407.63</v>
      </c>
      <c r="R1796" s="8">
        <v>407.63</v>
      </c>
      <c r="S1796" s="9" t="s">
        <v>548</v>
      </c>
    </row>
    <row r="1797" spans="1:19" hidden="1" x14ac:dyDescent="0.25">
      <c r="A1797" t="s">
        <v>134</v>
      </c>
      <c r="B1797" t="s">
        <v>77</v>
      </c>
      <c r="C1797" t="s">
        <v>124</v>
      </c>
      <c r="D1797" t="s">
        <v>531</v>
      </c>
      <c r="E1797" t="s">
        <v>90</v>
      </c>
      <c r="F1797" t="s">
        <v>90</v>
      </c>
      <c r="G1797">
        <v>0</v>
      </c>
      <c r="H1797">
        <v>8</v>
      </c>
      <c r="I1797">
        <v>8</v>
      </c>
      <c r="J1797">
        <v>8</v>
      </c>
      <c r="K1797" s="6">
        <v>100</v>
      </c>
      <c r="L1797" s="6">
        <v>0</v>
      </c>
      <c r="M1797" s="6">
        <v>100</v>
      </c>
      <c r="N1797">
        <v>0</v>
      </c>
      <c r="O1797" s="6">
        <v>0</v>
      </c>
      <c r="P1797">
        <v>0</v>
      </c>
      <c r="Q1797" s="8">
        <v>431.19</v>
      </c>
      <c r="R1797" s="8">
        <v>431.19</v>
      </c>
      <c r="S1797" s="9" t="s">
        <v>543</v>
      </c>
    </row>
    <row r="1798" spans="1:19" hidden="1" x14ac:dyDescent="0.25">
      <c r="A1798" t="s">
        <v>134</v>
      </c>
      <c r="B1798" t="s">
        <v>77</v>
      </c>
      <c r="C1798" t="s">
        <v>124</v>
      </c>
      <c r="D1798" t="s">
        <v>531</v>
      </c>
      <c r="E1798" t="s">
        <v>90</v>
      </c>
      <c r="F1798" t="s">
        <v>91</v>
      </c>
      <c r="G1798">
        <v>1</v>
      </c>
      <c r="H1798">
        <v>8</v>
      </c>
      <c r="I1798">
        <v>8</v>
      </c>
      <c r="J1798">
        <v>8</v>
      </c>
      <c r="K1798" s="6">
        <v>100</v>
      </c>
      <c r="L1798" s="6">
        <v>0</v>
      </c>
      <c r="M1798" s="6">
        <v>100</v>
      </c>
      <c r="N1798">
        <v>0</v>
      </c>
      <c r="O1798" s="6">
        <v>0</v>
      </c>
      <c r="P1798">
        <v>0</v>
      </c>
      <c r="Q1798" s="8">
        <v>431.19</v>
      </c>
      <c r="R1798" s="8">
        <v>431.19</v>
      </c>
      <c r="S1798" s="9" t="s">
        <v>544</v>
      </c>
    </row>
    <row r="1799" spans="1:19" hidden="1" x14ac:dyDescent="0.25">
      <c r="A1799" t="s">
        <v>134</v>
      </c>
      <c r="B1799" t="s">
        <v>77</v>
      </c>
      <c r="C1799" t="s">
        <v>124</v>
      </c>
      <c r="D1799" t="s">
        <v>531</v>
      </c>
      <c r="E1799" t="s">
        <v>90</v>
      </c>
      <c r="F1799" t="s">
        <v>94</v>
      </c>
      <c r="G1799">
        <v>2</v>
      </c>
      <c r="H1799">
        <v>8</v>
      </c>
      <c r="I1799">
        <v>6</v>
      </c>
      <c r="J1799">
        <v>6</v>
      </c>
      <c r="K1799" s="6">
        <v>100.72</v>
      </c>
      <c r="L1799" s="6">
        <v>0</v>
      </c>
      <c r="M1799" s="6">
        <v>107.98</v>
      </c>
      <c r="N1799">
        <v>7.26</v>
      </c>
      <c r="O1799" s="6">
        <v>25</v>
      </c>
      <c r="P1799">
        <v>0</v>
      </c>
      <c r="Q1799" s="8">
        <v>462.25</v>
      </c>
      <c r="R1799" s="8">
        <v>465.58</v>
      </c>
      <c r="S1799" s="9" t="s">
        <v>535</v>
      </c>
    </row>
    <row r="1800" spans="1:19" hidden="1" x14ac:dyDescent="0.25">
      <c r="A1800" t="s">
        <v>134</v>
      </c>
      <c r="B1800" t="s">
        <v>77</v>
      </c>
      <c r="C1800" t="s">
        <v>124</v>
      </c>
      <c r="D1800" t="s">
        <v>531</v>
      </c>
      <c r="E1800" t="s">
        <v>90</v>
      </c>
      <c r="F1800" t="s">
        <v>96</v>
      </c>
      <c r="G1800">
        <v>6</v>
      </c>
      <c r="H1800">
        <v>8</v>
      </c>
      <c r="I1800">
        <v>8</v>
      </c>
      <c r="J1800">
        <v>6</v>
      </c>
      <c r="K1800" s="6">
        <v>100.72</v>
      </c>
      <c r="L1800" s="6">
        <v>0</v>
      </c>
      <c r="M1800" s="6">
        <v>106.46</v>
      </c>
      <c r="N1800">
        <v>5.74</v>
      </c>
      <c r="O1800" s="6">
        <v>25</v>
      </c>
      <c r="P1800">
        <v>2</v>
      </c>
      <c r="Q1800" s="8">
        <v>462.25</v>
      </c>
      <c r="R1800" s="8">
        <v>465.58</v>
      </c>
      <c r="S1800" s="9" t="s">
        <v>535</v>
      </c>
    </row>
    <row r="1801" spans="1:19" hidden="1" x14ac:dyDescent="0.25">
      <c r="A1801" t="s">
        <v>134</v>
      </c>
      <c r="B1801" t="s">
        <v>77</v>
      </c>
      <c r="C1801" t="s">
        <v>124</v>
      </c>
      <c r="D1801" t="s">
        <v>531</v>
      </c>
      <c r="E1801" t="s">
        <v>90</v>
      </c>
      <c r="F1801" t="s">
        <v>6</v>
      </c>
      <c r="G1801">
        <v>13</v>
      </c>
      <c r="H1801">
        <v>8</v>
      </c>
      <c r="I1801">
        <v>8</v>
      </c>
      <c r="J1801">
        <v>6</v>
      </c>
      <c r="K1801" s="6">
        <v>101.26</v>
      </c>
      <c r="L1801" s="6">
        <v>0.61</v>
      </c>
      <c r="M1801" s="6">
        <v>106.89</v>
      </c>
      <c r="N1801">
        <v>5.63</v>
      </c>
      <c r="O1801" s="6">
        <v>25</v>
      </c>
      <c r="P1801">
        <v>2</v>
      </c>
      <c r="Q1801" s="8">
        <v>462.25</v>
      </c>
      <c r="R1801" s="8">
        <v>468.08</v>
      </c>
      <c r="S1801" s="9" t="s">
        <v>535</v>
      </c>
    </row>
    <row r="1802" spans="1:19" hidden="1" x14ac:dyDescent="0.25">
      <c r="A1802" t="s">
        <v>134</v>
      </c>
      <c r="B1802" t="s">
        <v>77</v>
      </c>
      <c r="C1802" t="s">
        <v>124</v>
      </c>
      <c r="D1802" t="s">
        <v>532</v>
      </c>
      <c r="E1802" t="s">
        <v>90</v>
      </c>
      <c r="F1802" t="s">
        <v>90</v>
      </c>
      <c r="G1802">
        <v>0</v>
      </c>
      <c r="H1802">
        <v>6</v>
      </c>
      <c r="I1802">
        <v>6</v>
      </c>
      <c r="J1802">
        <v>6</v>
      </c>
      <c r="K1802" s="6">
        <v>100</v>
      </c>
      <c r="L1802" s="6">
        <v>0</v>
      </c>
      <c r="M1802" s="6">
        <v>100</v>
      </c>
      <c r="N1802">
        <v>0</v>
      </c>
      <c r="O1802" s="6">
        <v>0</v>
      </c>
      <c r="P1802">
        <v>0</v>
      </c>
      <c r="Q1802" s="8">
        <v>400</v>
      </c>
      <c r="R1802" s="8">
        <v>400</v>
      </c>
      <c r="S1802" s="9" t="s">
        <v>534</v>
      </c>
    </row>
    <row r="1803" spans="1:19" hidden="1" x14ac:dyDescent="0.25">
      <c r="A1803" t="s">
        <v>134</v>
      </c>
      <c r="B1803" t="s">
        <v>77</v>
      </c>
      <c r="C1803" t="s">
        <v>124</v>
      </c>
      <c r="D1803" t="s">
        <v>532</v>
      </c>
      <c r="E1803" t="s">
        <v>90</v>
      </c>
      <c r="F1803" t="s">
        <v>91</v>
      </c>
      <c r="G1803">
        <v>1</v>
      </c>
      <c r="H1803">
        <v>6</v>
      </c>
      <c r="I1803">
        <v>6</v>
      </c>
      <c r="J1803">
        <v>6</v>
      </c>
      <c r="K1803" s="6">
        <v>100</v>
      </c>
      <c r="L1803" s="6">
        <v>0</v>
      </c>
      <c r="M1803" s="6">
        <v>100</v>
      </c>
      <c r="N1803">
        <v>0</v>
      </c>
      <c r="O1803" s="6">
        <v>0</v>
      </c>
      <c r="P1803">
        <v>0</v>
      </c>
      <c r="Q1803" s="8">
        <v>400</v>
      </c>
      <c r="R1803" s="8">
        <v>400</v>
      </c>
      <c r="S1803" s="9" t="s">
        <v>535</v>
      </c>
    </row>
    <row r="1804" spans="1:19" hidden="1" x14ac:dyDescent="0.25">
      <c r="A1804" t="s">
        <v>134</v>
      </c>
      <c r="B1804" t="s">
        <v>77</v>
      </c>
      <c r="C1804" t="s">
        <v>124</v>
      </c>
      <c r="D1804" t="s">
        <v>532</v>
      </c>
      <c r="E1804" t="s">
        <v>90</v>
      </c>
      <c r="F1804" t="s">
        <v>94</v>
      </c>
      <c r="G1804">
        <v>2</v>
      </c>
      <c r="H1804">
        <v>6</v>
      </c>
      <c r="I1804">
        <v>6</v>
      </c>
      <c r="J1804">
        <v>6</v>
      </c>
      <c r="K1804" s="6">
        <v>100.62</v>
      </c>
      <c r="L1804" s="6">
        <v>0.93</v>
      </c>
      <c r="M1804" s="6">
        <v>100.62</v>
      </c>
      <c r="N1804">
        <v>0</v>
      </c>
      <c r="O1804" s="6">
        <v>0</v>
      </c>
      <c r="P1804">
        <v>0</v>
      </c>
      <c r="Q1804" s="8">
        <v>400</v>
      </c>
      <c r="R1804" s="8">
        <v>402.47</v>
      </c>
      <c r="S1804" s="9" t="s">
        <v>535</v>
      </c>
    </row>
    <row r="1805" spans="1:19" hidden="1" x14ac:dyDescent="0.25">
      <c r="A1805" t="s">
        <v>134</v>
      </c>
      <c r="B1805" t="s">
        <v>77</v>
      </c>
      <c r="C1805" t="s">
        <v>124</v>
      </c>
      <c r="D1805" t="s">
        <v>532</v>
      </c>
      <c r="E1805" t="s">
        <v>90</v>
      </c>
      <c r="F1805" t="s">
        <v>96</v>
      </c>
      <c r="G1805">
        <v>6</v>
      </c>
      <c r="H1805">
        <v>6</v>
      </c>
      <c r="I1805">
        <v>6</v>
      </c>
      <c r="J1805">
        <v>6</v>
      </c>
      <c r="K1805" s="6">
        <v>100.94</v>
      </c>
      <c r="L1805" s="6">
        <v>1.87</v>
      </c>
      <c r="M1805" s="6">
        <v>100.94</v>
      </c>
      <c r="N1805">
        <v>0</v>
      </c>
      <c r="O1805" s="6">
        <v>0</v>
      </c>
      <c r="P1805">
        <v>0</v>
      </c>
      <c r="Q1805" s="8">
        <v>400</v>
      </c>
      <c r="R1805" s="8">
        <v>403.77</v>
      </c>
      <c r="S1805" s="9" t="s">
        <v>535</v>
      </c>
    </row>
    <row r="1806" spans="1:19" hidden="1" x14ac:dyDescent="0.25">
      <c r="A1806" t="s">
        <v>134</v>
      </c>
      <c r="B1806" t="s">
        <v>77</v>
      </c>
      <c r="C1806" t="s">
        <v>124</v>
      </c>
      <c r="D1806" t="s">
        <v>532</v>
      </c>
      <c r="E1806" t="s">
        <v>90</v>
      </c>
      <c r="F1806" t="s">
        <v>6</v>
      </c>
      <c r="G1806">
        <v>13</v>
      </c>
      <c r="H1806">
        <v>6</v>
      </c>
      <c r="I1806">
        <v>6</v>
      </c>
      <c r="J1806">
        <v>6</v>
      </c>
      <c r="K1806" s="6">
        <v>101.74</v>
      </c>
      <c r="L1806" s="6">
        <v>1.87</v>
      </c>
      <c r="M1806" s="6">
        <v>101.74</v>
      </c>
      <c r="N1806">
        <v>0</v>
      </c>
      <c r="O1806" s="6">
        <v>0</v>
      </c>
      <c r="P1806">
        <v>0</v>
      </c>
      <c r="Q1806" s="8">
        <v>400</v>
      </c>
      <c r="R1806" s="8">
        <v>406.97</v>
      </c>
      <c r="S1806" s="9" t="s">
        <v>535</v>
      </c>
    </row>
    <row r="1807" spans="1:19" hidden="1" x14ac:dyDescent="0.25">
      <c r="A1807" t="s">
        <v>134</v>
      </c>
      <c r="B1807" t="s">
        <v>77</v>
      </c>
      <c r="C1807" t="s">
        <v>124</v>
      </c>
      <c r="D1807" t="s">
        <v>533</v>
      </c>
      <c r="E1807" t="s">
        <v>94</v>
      </c>
      <c r="F1807" t="s">
        <v>94</v>
      </c>
      <c r="G1807">
        <v>0</v>
      </c>
      <c r="H1807">
        <v>1</v>
      </c>
      <c r="I1807">
        <v>1</v>
      </c>
      <c r="J1807">
        <v>1</v>
      </c>
      <c r="K1807" s="6">
        <v>100</v>
      </c>
      <c r="L1807" s="6">
        <v>0</v>
      </c>
      <c r="M1807" s="6">
        <v>100</v>
      </c>
      <c r="N1807">
        <v>0</v>
      </c>
      <c r="O1807" s="6">
        <v>0</v>
      </c>
      <c r="P1807">
        <v>0</v>
      </c>
      <c r="Q1807" s="8">
        <v>506.9</v>
      </c>
      <c r="R1807" s="8">
        <v>506.9</v>
      </c>
      <c r="S1807" s="9" t="s">
        <v>540</v>
      </c>
    </row>
    <row r="1808" spans="1:19" hidden="1" x14ac:dyDescent="0.25">
      <c r="A1808" t="s">
        <v>134</v>
      </c>
      <c r="B1808" t="s">
        <v>77</v>
      </c>
      <c r="C1808" t="s">
        <v>124</v>
      </c>
      <c r="D1808" t="s">
        <v>533</v>
      </c>
      <c r="E1808" t="s">
        <v>94</v>
      </c>
      <c r="F1808" t="s">
        <v>96</v>
      </c>
      <c r="G1808">
        <v>4</v>
      </c>
      <c r="H1808">
        <v>1</v>
      </c>
      <c r="I1808">
        <v>2</v>
      </c>
      <c r="J1808">
        <v>1</v>
      </c>
      <c r="K1808" s="6">
        <v>100</v>
      </c>
      <c r="L1808" s="6">
        <v>0</v>
      </c>
      <c r="M1808" s="6">
        <v>108.38</v>
      </c>
      <c r="N1808">
        <v>8.3800000000000008</v>
      </c>
      <c r="O1808" s="6">
        <v>0</v>
      </c>
      <c r="P1808">
        <v>1</v>
      </c>
      <c r="Q1808" s="8">
        <v>506.9</v>
      </c>
      <c r="R1808" s="8">
        <v>506.9</v>
      </c>
      <c r="S1808" s="9" t="s">
        <v>541</v>
      </c>
    </row>
    <row r="1809" spans="1:19" hidden="1" x14ac:dyDescent="0.25">
      <c r="A1809" t="s">
        <v>134</v>
      </c>
      <c r="B1809" t="s">
        <v>77</v>
      </c>
      <c r="C1809" t="s">
        <v>124</v>
      </c>
      <c r="D1809" t="s">
        <v>533</v>
      </c>
      <c r="E1809" t="s">
        <v>94</v>
      </c>
      <c r="F1809" t="s">
        <v>6</v>
      </c>
      <c r="G1809">
        <v>11</v>
      </c>
      <c r="H1809">
        <v>1</v>
      </c>
      <c r="I1809">
        <v>1</v>
      </c>
      <c r="J1809">
        <v>1</v>
      </c>
      <c r="K1809" s="6">
        <v>100.99</v>
      </c>
      <c r="L1809" s="6">
        <v>0.99</v>
      </c>
      <c r="M1809" s="6">
        <v>100.99</v>
      </c>
      <c r="N1809">
        <v>0</v>
      </c>
      <c r="O1809" s="6">
        <v>0</v>
      </c>
      <c r="P1809">
        <v>0</v>
      </c>
      <c r="Q1809" s="8">
        <v>506.9</v>
      </c>
      <c r="R1809" s="8">
        <v>511.9</v>
      </c>
      <c r="S1809" s="9" t="s">
        <v>541</v>
      </c>
    </row>
    <row r="1810" spans="1:19" hidden="1" x14ac:dyDescent="0.25">
      <c r="A1810" t="s">
        <v>134</v>
      </c>
      <c r="B1810" t="s">
        <v>77</v>
      </c>
      <c r="C1810" t="s">
        <v>124</v>
      </c>
      <c r="D1810" t="s">
        <v>545</v>
      </c>
      <c r="E1810" t="s">
        <v>94</v>
      </c>
      <c r="F1810" t="s">
        <v>94</v>
      </c>
      <c r="G1810">
        <v>0</v>
      </c>
      <c r="H1810">
        <v>2</v>
      </c>
      <c r="I1810">
        <v>2</v>
      </c>
      <c r="J1810">
        <v>2</v>
      </c>
      <c r="K1810" s="6">
        <v>100</v>
      </c>
      <c r="L1810" s="6">
        <v>0</v>
      </c>
      <c r="M1810" s="6">
        <v>100</v>
      </c>
      <c r="N1810">
        <v>0</v>
      </c>
      <c r="O1810" s="6">
        <v>0</v>
      </c>
      <c r="P1810">
        <v>0</v>
      </c>
      <c r="Q1810" s="8">
        <v>412.64</v>
      </c>
      <c r="R1810" s="8">
        <v>412.64</v>
      </c>
      <c r="S1810" s="9" t="s">
        <v>536</v>
      </c>
    </row>
    <row r="1811" spans="1:19" hidden="1" x14ac:dyDescent="0.25">
      <c r="A1811" t="s">
        <v>134</v>
      </c>
      <c r="B1811" t="s">
        <v>77</v>
      </c>
      <c r="C1811" t="s">
        <v>124</v>
      </c>
      <c r="D1811" t="s">
        <v>545</v>
      </c>
      <c r="E1811" t="s">
        <v>94</v>
      </c>
      <c r="F1811" t="s">
        <v>96</v>
      </c>
      <c r="G1811">
        <v>4</v>
      </c>
      <c r="H1811">
        <v>2</v>
      </c>
      <c r="I1811">
        <v>2</v>
      </c>
      <c r="J1811">
        <v>2</v>
      </c>
      <c r="K1811" s="6">
        <v>100</v>
      </c>
      <c r="L1811" s="6">
        <v>0</v>
      </c>
      <c r="M1811" s="6">
        <v>100</v>
      </c>
      <c r="N1811">
        <v>0</v>
      </c>
      <c r="O1811" s="6">
        <v>0</v>
      </c>
      <c r="P1811">
        <v>0</v>
      </c>
      <c r="Q1811" s="8">
        <v>412.64</v>
      </c>
      <c r="R1811" s="8">
        <v>412.64</v>
      </c>
      <c r="S1811" s="9" t="s">
        <v>537</v>
      </c>
    </row>
    <row r="1812" spans="1:19" hidden="1" x14ac:dyDescent="0.25">
      <c r="A1812" t="s">
        <v>134</v>
      </c>
      <c r="B1812" t="s">
        <v>77</v>
      </c>
      <c r="C1812" t="s">
        <v>124</v>
      </c>
      <c r="D1812" t="s">
        <v>545</v>
      </c>
      <c r="E1812" t="s">
        <v>94</v>
      </c>
      <c r="F1812" t="s">
        <v>6</v>
      </c>
      <c r="G1812">
        <v>11</v>
      </c>
      <c r="H1812">
        <v>2</v>
      </c>
      <c r="I1812">
        <v>2</v>
      </c>
      <c r="J1812">
        <v>2</v>
      </c>
      <c r="K1812" s="6">
        <v>99.45</v>
      </c>
      <c r="L1812" s="6">
        <v>-0.63</v>
      </c>
      <c r="M1812" s="6">
        <v>99.45</v>
      </c>
      <c r="N1812">
        <v>0</v>
      </c>
      <c r="O1812" s="6">
        <v>0</v>
      </c>
      <c r="P1812">
        <v>0</v>
      </c>
      <c r="Q1812" s="8">
        <v>412.64</v>
      </c>
      <c r="R1812" s="8">
        <v>410.36</v>
      </c>
      <c r="S1812" s="9" t="s">
        <v>537</v>
      </c>
    </row>
    <row r="1813" spans="1:19" hidden="1" x14ac:dyDescent="0.25">
      <c r="A1813" t="s">
        <v>134</v>
      </c>
      <c r="B1813" t="s">
        <v>77</v>
      </c>
      <c r="C1813" t="s">
        <v>124</v>
      </c>
      <c r="D1813" t="s">
        <v>580</v>
      </c>
      <c r="E1813" t="s">
        <v>94</v>
      </c>
      <c r="F1813" t="s">
        <v>94</v>
      </c>
      <c r="G1813">
        <v>0</v>
      </c>
      <c r="H1813">
        <v>4</v>
      </c>
      <c r="I1813">
        <v>4</v>
      </c>
      <c r="J1813">
        <v>4</v>
      </c>
      <c r="K1813" s="6">
        <v>100</v>
      </c>
      <c r="L1813" s="6">
        <v>0</v>
      </c>
      <c r="M1813" s="6">
        <v>100</v>
      </c>
      <c r="N1813">
        <v>0</v>
      </c>
      <c r="O1813" s="6">
        <v>0</v>
      </c>
      <c r="P1813">
        <v>0</v>
      </c>
      <c r="Q1813" s="8">
        <v>293.72000000000003</v>
      </c>
      <c r="R1813" s="8">
        <v>293.72000000000003</v>
      </c>
      <c r="S1813" s="9" t="s">
        <v>605</v>
      </c>
    </row>
    <row r="1814" spans="1:19" hidden="1" x14ac:dyDescent="0.25">
      <c r="A1814" t="s">
        <v>134</v>
      </c>
      <c r="B1814" t="s">
        <v>77</v>
      </c>
      <c r="C1814" t="s">
        <v>124</v>
      </c>
      <c r="D1814" t="s">
        <v>580</v>
      </c>
      <c r="E1814" t="s">
        <v>94</v>
      </c>
      <c r="F1814" t="s">
        <v>96</v>
      </c>
      <c r="G1814">
        <v>4</v>
      </c>
      <c r="H1814">
        <v>4</v>
      </c>
      <c r="I1814">
        <v>4</v>
      </c>
      <c r="J1814">
        <v>4</v>
      </c>
      <c r="K1814" s="6">
        <v>100</v>
      </c>
      <c r="L1814" s="6">
        <v>0</v>
      </c>
      <c r="M1814" s="6">
        <v>100</v>
      </c>
      <c r="N1814">
        <v>0</v>
      </c>
      <c r="O1814" s="6">
        <v>0</v>
      </c>
      <c r="P1814">
        <v>0</v>
      </c>
      <c r="Q1814" s="8">
        <v>293.72000000000003</v>
      </c>
      <c r="R1814" s="8">
        <v>293.72000000000003</v>
      </c>
      <c r="S1814" s="9" t="s">
        <v>548</v>
      </c>
    </row>
    <row r="1815" spans="1:19" hidden="1" x14ac:dyDescent="0.25">
      <c r="A1815" t="s">
        <v>134</v>
      </c>
      <c r="B1815" t="s">
        <v>77</v>
      </c>
      <c r="C1815" t="s">
        <v>124</v>
      </c>
      <c r="D1815" t="s">
        <v>580</v>
      </c>
      <c r="E1815" t="s">
        <v>94</v>
      </c>
      <c r="F1815" t="s">
        <v>6</v>
      </c>
      <c r="G1815">
        <v>11</v>
      </c>
      <c r="H1815">
        <v>4</v>
      </c>
      <c r="I1815">
        <v>4</v>
      </c>
      <c r="J1815">
        <v>4</v>
      </c>
      <c r="K1815" s="6">
        <v>100.53</v>
      </c>
      <c r="L1815" s="6">
        <v>0.59</v>
      </c>
      <c r="M1815" s="6">
        <v>100.53</v>
      </c>
      <c r="N1815">
        <v>0</v>
      </c>
      <c r="O1815" s="6">
        <v>0</v>
      </c>
      <c r="P1815">
        <v>0</v>
      </c>
      <c r="Q1815" s="8">
        <v>293.72000000000003</v>
      </c>
      <c r="R1815" s="8">
        <v>295.27999999999997</v>
      </c>
      <c r="S1815" s="9" t="s">
        <v>548</v>
      </c>
    </row>
    <row r="1816" spans="1:19" hidden="1" x14ac:dyDescent="0.25">
      <c r="A1816" t="s">
        <v>134</v>
      </c>
      <c r="B1816" t="s">
        <v>77</v>
      </c>
      <c r="C1816" t="s">
        <v>124</v>
      </c>
      <c r="D1816" t="s">
        <v>582</v>
      </c>
      <c r="E1816" t="s">
        <v>94</v>
      </c>
      <c r="F1816" t="s">
        <v>94</v>
      </c>
      <c r="G1816">
        <v>0</v>
      </c>
      <c r="H1816">
        <v>12</v>
      </c>
      <c r="I1816">
        <v>12</v>
      </c>
      <c r="J1816">
        <v>12</v>
      </c>
      <c r="K1816" s="6">
        <v>100</v>
      </c>
      <c r="L1816" s="6">
        <v>0</v>
      </c>
      <c r="M1816" s="6">
        <v>100</v>
      </c>
      <c r="N1816">
        <v>0</v>
      </c>
      <c r="O1816" s="6">
        <v>0</v>
      </c>
      <c r="P1816">
        <v>0</v>
      </c>
      <c r="Q1816" s="8">
        <v>325.45999999999998</v>
      </c>
      <c r="R1816" s="8">
        <v>325.45999999999998</v>
      </c>
      <c r="S1816" s="9" t="s">
        <v>586</v>
      </c>
    </row>
    <row r="1817" spans="1:19" hidden="1" x14ac:dyDescent="0.25">
      <c r="A1817" t="s">
        <v>134</v>
      </c>
      <c r="B1817" t="s">
        <v>77</v>
      </c>
      <c r="C1817" t="s">
        <v>124</v>
      </c>
      <c r="D1817" t="s">
        <v>582</v>
      </c>
      <c r="E1817" t="s">
        <v>94</v>
      </c>
      <c r="F1817" t="s">
        <v>96</v>
      </c>
      <c r="G1817">
        <v>4</v>
      </c>
      <c r="H1817">
        <v>12</v>
      </c>
      <c r="I1817">
        <v>12</v>
      </c>
      <c r="J1817">
        <v>12</v>
      </c>
      <c r="K1817" s="6">
        <v>100</v>
      </c>
      <c r="L1817" s="6">
        <v>0</v>
      </c>
      <c r="M1817" s="6">
        <v>100</v>
      </c>
      <c r="N1817">
        <v>0</v>
      </c>
      <c r="O1817" s="6">
        <v>0</v>
      </c>
      <c r="P1817">
        <v>0</v>
      </c>
      <c r="Q1817" s="8">
        <v>325.45999999999998</v>
      </c>
      <c r="R1817" s="8">
        <v>325.45999999999998</v>
      </c>
      <c r="S1817" s="10" t="s">
        <v>587</v>
      </c>
    </row>
    <row r="1818" spans="1:19" hidden="1" x14ac:dyDescent="0.25">
      <c r="A1818" t="s">
        <v>134</v>
      </c>
      <c r="B1818" t="s">
        <v>77</v>
      </c>
      <c r="C1818" t="s">
        <v>124</v>
      </c>
      <c r="D1818" t="s">
        <v>582</v>
      </c>
      <c r="E1818" t="s">
        <v>94</v>
      </c>
      <c r="F1818" t="s">
        <v>6</v>
      </c>
      <c r="G1818">
        <v>11</v>
      </c>
      <c r="H1818">
        <v>12</v>
      </c>
      <c r="I1818">
        <v>12</v>
      </c>
      <c r="J1818">
        <v>12</v>
      </c>
      <c r="K1818" s="6">
        <v>102.42</v>
      </c>
      <c r="L1818" s="6">
        <v>2.5</v>
      </c>
      <c r="M1818" s="6">
        <v>102.42</v>
      </c>
      <c r="N1818">
        <v>0</v>
      </c>
      <c r="O1818" s="6">
        <v>0</v>
      </c>
      <c r="P1818">
        <v>0</v>
      </c>
      <c r="Q1818" s="8">
        <v>325.45999999999998</v>
      </c>
      <c r="R1818" s="8">
        <v>333.35</v>
      </c>
      <c r="S1818" s="10" t="s">
        <v>587</v>
      </c>
    </row>
    <row r="1819" spans="1:19" hidden="1" x14ac:dyDescent="0.25">
      <c r="A1819" t="s">
        <v>134</v>
      </c>
      <c r="B1819" t="s">
        <v>77</v>
      </c>
      <c r="C1819" t="s">
        <v>124</v>
      </c>
      <c r="D1819" t="s">
        <v>583</v>
      </c>
      <c r="E1819" t="s">
        <v>94</v>
      </c>
      <c r="F1819" t="s">
        <v>94</v>
      </c>
      <c r="G1819">
        <v>0</v>
      </c>
      <c r="H1819">
        <v>18</v>
      </c>
      <c r="I1819">
        <v>18</v>
      </c>
      <c r="J1819">
        <v>18</v>
      </c>
      <c r="K1819" s="6">
        <v>100</v>
      </c>
      <c r="L1819" s="6">
        <v>0</v>
      </c>
      <c r="M1819" s="6">
        <v>100</v>
      </c>
      <c r="N1819">
        <v>0</v>
      </c>
      <c r="O1819" s="6">
        <v>0</v>
      </c>
      <c r="P1819">
        <v>0</v>
      </c>
      <c r="Q1819" s="8">
        <v>369.18</v>
      </c>
      <c r="R1819" s="8">
        <v>369.18</v>
      </c>
      <c r="S1819" s="9" t="s">
        <v>620</v>
      </c>
    </row>
    <row r="1820" spans="1:19" hidden="1" x14ac:dyDescent="0.25">
      <c r="A1820" t="s">
        <v>134</v>
      </c>
      <c r="B1820" t="s">
        <v>77</v>
      </c>
      <c r="C1820" t="s">
        <v>124</v>
      </c>
      <c r="D1820" t="s">
        <v>583</v>
      </c>
      <c r="E1820" t="s">
        <v>94</v>
      </c>
      <c r="F1820" t="s">
        <v>96</v>
      </c>
      <c r="G1820">
        <v>4</v>
      </c>
      <c r="H1820">
        <v>18</v>
      </c>
      <c r="I1820">
        <v>18</v>
      </c>
      <c r="J1820">
        <v>18</v>
      </c>
      <c r="K1820" s="6">
        <v>100</v>
      </c>
      <c r="L1820" s="6">
        <v>0</v>
      </c>
      <c r="M1820" s="6">
        <v>100</v>
      </c>
      <c r="N1820">
        <v>0</v>
      </c>
      <c r="O1820" s="6">
        <v>0</v>
      </c>
      <c r="P1820">
        <v>0</v>
      </c>
      <c r="Q1820" s="8">
        <v>369.18</v>
      </c>
      <c r="R1820" s="8">
        <v>369.18</v>
      </c>
      <c r="S1820" s="10" t="s">
        <v>488</v>
      </c>
    </row>
    <row r="1821" spans="1:19" hidden="1" x14ac:dyDescent="0.25">
      <c r="A1821" t="s">
        <v>134</v>
      </c>
      <c r="B1821" t="s">
        <v>77</v>
      </c>
      <c r="C1821" t="s">
        <v>124</v>
      </c>
      <c r="D1821" t="s">
        <v>583</v>
      </c>
      <c r="E1821" t="s">
        <v>94</v>
      </c>
      <c r="F1821" t="s">
        <v>6</v>
      </c>
      <c r="G1821">
        <v>11</v>
      </c>
      <c r="H1821">
        <v>18</v>
      </c>
      <c r="I1821">
        <v>18</v>
      </c>
      <c r="J1821">
        <v>18</v>
      </c>
      <c r="K1821" s="6">
        <v>102.23</v>
      </c>
      <c r="L1821" s="6">
        <v>2.12</v>
      </c>
      <c r="M1821" s="6">
        <v>102.23</v>
      </c>
      <c r="N1821">
        <v>0</v>
      </c>
      <c r="O1821" s="6">
        <v>0</v>
      </c>
      <c r="P1821">
        <v>0</v>
      </c>
      <c r="Q1821" s="8">
        <v>369.18</v>
      </c>
      <c r="R1821" s="8">
        <v>377.41</v>
      </c>
      <c r="S1821" s="10" t="s">
        <v>488</v>
      </c>
    </row>
    <row r="1822" spans="1:19" hidden="1" x14ac:dyDescent="0.25">
      <c r="A1822" t="s">
        <v>134</v>
      </c>
      <c r="B1822" t="s">
        <v>77</v>
      </c>
      <c r="C1822" t="s">
        <v>124</v>
      </c>
      <c r="D1822" t="s">
        <v>585</v>
      </c>
      <c r="E1822" t="s">
        <v>94</v>
      </c>
      <c r="F1822" t="s">
        <v>94</v>
      </c>
      <c r="G1822">
        <v>0</v>
      </c>
      <c r="H1822">
        <v>20</v>
      </c>
      <c r="I1822">
        <v>20</v>
      </c>
      <c r="J1822">
        <v>20</v>
      </c>
      <c r="K1822" s="6">
        <v>100</v>
      </c>
      <c r="L1822" s="6">
        <v>0</v>
      </c>
      <c r="M1822" s="6">
        <v>100</v>
      </c>
      <c r="N1822">
        <v>0</v>
      </c>
      <c r="O1822" s="6">
        <v>0</v>
      </c>
      <c r="P1822">
        <v>0</v>
      </c>
      <c r="Q1822" s="8">
        <v>380.9</v>
      </c>
      <c r="R1822" s="8">
        <v>380.9</v>
      </c>
      <c r="S1822" s="9" t="s">
        <v>622</v>
      </c>
    </row>
    <row r="1823" spans="1:19" hidden="1" x14ac:dyDescent="0.25">
      <c r="A1823" t="s">
        <v>134</v>
      </c>
      <c r="B1823" t="s">
        <v>77</v>
      </c>
      <c r="C1823" t="s">
        <v>124</v>
      </c>
      <c r="D1823" t="s">
        <v>585</v>
      </c>
      <c r="E1823" t="s">
        <v>94</v>
      </c>
      <c r="F1823" t="s">
        <v>96</v>
      </c>
      <c r="G1823">
        <v>4</v>
      </c>
      <c r="H1823">
        <v>20</v>
      </c>
      <c r="I1823">
        <v>20</v>
      </c>
      <c r="J1823">
        <v>20</v>
      </c>
      <c r="K1823" s="6">
        <v>100</v>
      </c>
      <c r="L1823" s="6">
        <v>0</v>
      </c>
      <c r="M1823" s="6">
        <v>100</v>
      </c>
      <c r="N1823">
        <v>0</v>
      </c>
      <c r="O1823" s="6">
        <v>0</v>
      </c>
      <c r="P1823">
        <v>0</v>
      </c>
      <c r="Q1823" s="8">
        <v>380.9</v>
      </c>
      <c r="R1823" s="8">
        <v>380.9</v>
      </c>
      <c r="S1823" s="10" t="s">
        <v>487</v>
      </c>
    </row>
    <row r="1824" spans="1:19" hidden="1" x14ac:dyDescent="0.25">
      <c r="A1824" t="s">
        <v>134</v>
      </c>
      <c r="B1824" t="s">
        <v>77</v>
      </c>
      <c r="C1824" t="s">
        <v>124</v>
      </c>
      <c r="D1824" t="s">
        <v>585</v>
      </c>
      <c r="E1824" t="s">
        <v>94</v>
      </c>
      <c r="F1824" t="s">
        <v>6</v>
      </c>
      <c r="G1824">
        <v>11</v>
      </c>
      <c r="H1824">
        <v>20</v>
      </c>
      <c r="I1824">
        <v>20</v>
      </c>
      <c r="J1824">
        <v>20</v>
      </c>
      <c r="K1824" s="6">
        <v>102.12</v>
      </c>
      <c r="L1824" s="6">
        <v>2.04</v>
      </c>
      <c r="M1824" s="6">
        <v>102.12</v>
      </c>
      <c r="N1824">
        <v>0</v>
      </c>
      <c r="O1824" s="6">
        <v>0</v>
      </c>
      <c r="P1824">
        <v>0</v>
      </c>
      <c r="Q1824" s="8">
        <v>380.9</v>
      </c>
      <c r="R1824" s="8">
        <v>388.96</v>
      </c>
      <c r="S1824" s="10" t="s">
        <v>487</v>
      </c>
    </row>
    <row r="1825" spans="1:19" hidden="1" x14ac:dyDescent="0.25">
      <c r="A1825" t="s">
        <v>134</v>
      </c>
      <c r="B1825" t="s">
        <v>77</v>
      </c>
      <c r="C1825" t="s">
        <v>124</v>
      </c>
      <c r="D1825" t="s">
        <v>588</v>
      </c>
      <c r="E1825" t="s">
        <v>94</v>
      </c>
      <c r="F1825" t="s">
        <v>94</v>
      </c>
      <c r="G1825">
        <v>0</v>
      </c>
      <c r="H1825">
        <v>20</v>
      </c>
      <c r="I1825">
        <v>20</v>
      </c>
      <c r="J1825">
        <v>20</v>
      </c>
      <c r="K1825" s="6">
        <v>100</v>
      </c>
      <c r="L1825" s="6">
        <v>0</v>
      </c>
      <c r="M1825" s="6">
        <v>100</v>
      </c>
      <c r="N1825">
        <v>0</v>
      </c>
      <c r="O1825" s="6">
        <v>0</v>
      </c>
      <c r="P1825">
        <v>0</v>
      </c>
      <c r="Q1825" s="8">
        <v>369.72</v>
      </c>
      <c r="R1825" s="8">
        <v>369.72</v>
      </c>
      <c r="S1825" s="9" t="s">
        <v>622</v>
      </c>
    </row>
    <row r="1826" spans="1:19" hidden="1" x14ac:dyDescent="0.25">
      <c r="A1826" t="s">
        <v>134</v>
      </c>
      <c r="B1826" t="s">
        <v>77</v>
      </c>
      <c r="C1826" t="s">
        <v>124</v>
      </c>
      <c r="D1826" t="s">
        <v>588</v>
      </c>
      <c r="E1826" t="s">
        <v>94</v>
      </c>
      <c r="F1826" t="s">
        <v>96</v>
      </c>
      <c r="G1826">
        <v>4</v>
      </c>
      <c r="H1826">
        <v>20</v>
      </c>
      <c r="I1826">
        <v>20</v>
      </c>
      <c r="J1826">
        <v>20</v>
      </c>
      <c r="K1826" s="6">
        <v>100</v>
      </c>
      <c r="L1826" s="6">
        <v>0</v>
      </c>
      <c r="M1826" s="6">
        <v>100</v>
      </c>
      <c r="N1826">
        <v>0</v>
      </c>
      <c r="O1826" s="6">
        <v>0</v>
      </c>
      <c r="P1826">
        <v>0</v>
      </c>
      <c r="Q1826" s="8">
        <v>369.72</v>
      </c>
      <c r="R1826" s="8">
        <v>369.72</v>
      </c>
      <c r="S1826" s="10" t="s">
        <v>487</v>
      </c>
    </row>
    <row r="1827" spans="1:19" hidden="1" x14ac:dyDescent="0.25">
      <c r="A1827" t="s">
        <v>134</v>
      </c>
      <c r="B1827" t="s">
        <v>77</v>
      </c>
      <c r="C1827" t="s">
        <v>124</v>
      </c>
      <c r="D1827" t="s">
        <v>588</v>
      </c>
      <c r="E1827" t="s">
        <v>94</v>
      </c>
      <c r="F1827" t="s">
        <v>6</v>
      </c>
      <c r="G1827">
        <v>11</v>
      </c>
      <c r="H1827">
        <v>20</v>
      </c>
      <c r="I1827">
        <v>20</v>
      </c>
      <c r="J1827">
        <v>20</v>
      </c>
      <c r="K1827" s="6">
        <v>102.16</v>
      </c>
      <c r="L1827" s="6">
        <v>2.0699999999999998</v>
      </c>
      <c r="M1827" s="6">
        <v>102.16</v>
      </c>
      <c r="N1827">
        <v>0</v>
      </c>
      <c r="O1827" s="6">
        <v>0</v>
      </c>
      <c r="P1827">
        <v>0</v>
      </c>
      <c r="Q1827" s="8">
        <v>369.72</v>
      </c>
      <c r="R1827" s="8">
        <v>377.71</v>
      </c>
      <c r="S1827" s="10" t="s">
        <v>487</v>
      </c>
    </row>
    <row r="1828" spans="1:19" hidden="1" x14ac:dyDescent="0.25">
      <c r="A1828" t="s">
        <v>134</v>
      </c>
      <c r="B1828" t="s">
        <v>77</v>
      </c>
      <c r="C1828" t="s">
        <v>124</v>
      </c>
      <c r="D1828" t="s">
        <v>589</v>
      </c>
      <c r="E1828" t="s">
        <v>94</v>
      </c>
      <c r="F1828" t="s">
        <v>94</v>
      </c>
      <c r="G1828">
        <v>0</v>
      </c>
      <c r="H1828">
        <v>16</v>
      </c>
      <c r="I1828">
        <v>16</v>
      </c>
      <c r="J1828">
        <v>16</v>
      </c>
      <c r="K1828" s="6">
        <v>100</v>
      </c>
      <c r="L1828" s="6">
        <v>0</v>
      </c>
      <c r="M1828" s="6">
        <v>100</v>
      </c>
      <c r="N1828">
        <v>0</v>
      </c>
      <c r="O1828" s="6">
        <v>0</v>
      </c>
      <c r="P1828">
        <v>0</v>
      </c>
      <c r="Q1828" s="8">
        <v>347.99</v>
      </c>
      <c r="R1828" s="8">
        <v>347.99</v>
      </c>
      <c r="S1828" s="9" t="s">
        <v>606</v>
      </c>
    </row>
    <row r="1829" spans="1:19" hidden="1" x14ac:dyDescent="0.25">
      <c r="A1829" t="s">
        <v>134</v>
      </c>
      <c r="B1829" t="s">
        <v>77</v>
      </c>
      <c r="C1829" t="s">
        <v>124</v>
      </c>
      <c r="D1829" t="s">
        <v>589</v>
      </c>
      <c r="E1829" t="s">
        <v>94</v>
      </c>
      <c r="F1829" t="s">
        <v>96</v>
      </c>
      <c r="G1829">
        <v>4</v>
      </c>
      <c r="H1829">
        <v>16</v>
      </c>
      <c r="I1829">
        <v>16</v>
      </c>
      <c r="J1829">
        <v>16</v>
      </c>
      <c r="K1829" s="6">
        <v>100</v>
      </c>
      <c r="L1829" s="6">
        <v>0</v>
      </c>
      <c r="M1829" s="6">
        <v>100</v>
      </c>
      <c r="N1829">
        <v>0</v>
      </c>
      <c r="O1829" s="6">
        <v>0</v>
      </c>
      <c r="P1829">
        <v>0</v>
      </c>
      <c r="Q1829" s="8">
        <v>347.99</v>
      </c>
      <c r="R1829" s="8">
        <v>347.99</v>
      </c>
      <c r="S1829" s="10" t="s">
        <v>609</v>
      </c>
    </row>
    <row r="1830" spans="1:19" hidden="1" x14ac:dyDescent="0.25">
      <c r="A1830" t="s">
        <v>134</v>
      </c>
      <c r="B1830" t="s">
        <v>77</v>
      </c>
      <c r="C1830" t="s">
        <v>124</v>
      </c>
      <c r="D1830" t="s">
        <v>589</v>
      </c>
      <c r="E1830" t="s">
        <v>94</v>
      </c>
      <c r="F1830" t="s">
        <v>6</v>
      </c>
      <c r="G1830">
        <v>11</v>
      </c>
      <c r="H1830">
        <v>16</v>
      </c>
      <c r="I1830">
        <v>16</v>
      </c>
      <c r="J1830">
        <v>16</v>
      </c>
      <c r="K1830" s="6">
        <v>102.28</v>
      </c>
      <c r="L1830" s="6">
        <v>2.25</v>
      </c>
      <c r="M1830" s="6">
        <v>102.28</v>
      </c>
      <c r="N1830">
        <v>0</v>
      </c>
      <c r="O1830" s="6">
        <v>0</v>
      </c>
      <c r="P1830">
        <v>0</v>
      </c>
      <c r="Q1830" s="8">
        <v>347.99</v>
      </c>
      <c r="R1830" s="8">
        <v>355.9</v>
      </c>
      <c r="S1830" s="10" t="s">
        <v>609</v>
      </c>
    </row>
    <row r="1831" spans="1:19" hidden="1" x14ac:dyDescent="0.25">
      <c r="A1831" t="s">
        <v>134</v>
      </c>
      <c r="B1831" t="s">
        <v>77</v>
      </c>
      <c r="C1831" t="s">
        <v>124</v>
      </c>
      <c r="D1831" t="s">
        <v>590</v>
      </c>
      <c r="E1831" t="s">
        <v>94</v>
      </c>
      <c r="F1831" t="s">
        <v>94</v>
      </c>
      <c r="G1831">
        <v>0</v>
      </c>
      <c r="H1831">
        <v>4</v>
      </c>
      <c r="I1831">
        <v>4</v>
      </c>
      <c r="J1831">
        <v>4</v>
      </c>
      <c r="K1831" s="6">
        <v>100</v>
      </c>
      <c r="L1831" s="6">
        <v>0</v>
      </c>
      <c r="M1831" s="6">
        <v>100</v>
      </c>
      <c r="N1831">
        <v>0</v>
      </c>
      <c r="O1831" s="6">
        <v>0</v>
      </c>
      <c r="P1831">
        <v>0</v>
      </c>
      <c r="Q1831" s="8">
        <v>305.67</v>
      </c>
      <c r="R1831" s="8">
        <v>305.67</v>
      </c>
      <c r="S1831" s="9" t="s">
        <v>605</v>
      </c>
    </row>
    <row r="1832" spans="1:19" hidden="1" x14ac:dyDescent="0.25">
      <c r="A1832" t="s">
        <v>134</v>
      </c>
      <c r="B1832" t="s">
        <v>77</v>
      </c>
      <c r="C1832" t="s">
        <v>124</v>
      </c>
      <c r="D1832" t="s">
        <v>590</v>
      </c>
      <c r="E1832" t="s">
        <v>94</v>
      </c>
      <c r="F1832" t="s">
        <v>96</v>
      </c>
      <c r="G1832">
        <v>4</v>
      </c>
      <c r="H1832">
        <v>4</v>
      </c>
      <c r="I1832">
        <v>4</v>
      </c>
      <c r="J1832">
        <v>4</v>
      </c>
      <c r="K1832" s="6">
        <v>100</v>
      </c>
      <c r="L1832" s="6">
        <v>0</v>
      </c>
      <c r="M1832" s="6">
        <v>100</v>
      </c>
      <c r="N1832">
        <v>0</v>
      </c>
      <c r="O1832" s="6">
        <v>0</v>
      </c>
      <c r="P1832">
        <v>0</v>
      </c>
      <c r="Q1832" s="8">
        <v>305.67</v>
      </c>
      <c r="R1832" s="8">
        <v>305.67</v>
      </c>
      <c r="S1832" s="9" t="s">
        <v>548</v>
      </c>
    </row>
    <row r="1833" spans="1:19" hidden="1" x14ac:dyDescent="0.25">
      <c r="A1833" t="s">
        <v>134</v>
      </c>
      <c r="B1833" t="s">
        <v>77</v>
      </c>
      <c r="C1833" t="s">
        <v>124</v>
      </c>
      <c r="D1833" t="s">
        <v>590</v>
      </c>
      <c r="E1833" t="s">
        <v>94</v>
      </c>
      <c r="F1833" t="s">
        <v>6</v>
      </c>
      <c r="G1833">
        <v>11</v>
      </c>
      <c r="H1833">
        <v>4</v>
      </c>
      <c r="I1833">
        <v>4</v>
      </c>
      <c r="J1833">
        <v>4</v>
      </c>
      <c r="K1833" s="6">
        <v>102.73</v>
      </c>
      <c r="L1833" s="6">
        <v>2.74</v>
      </c>
      <c r="M1833" s="6">
        <v>102.73</v>
      </c>
      <c r="N1833">
        <v>0</v>
      </c>
      <c r="O1833" s="6">
        <v>0</v>
      </c>
      <c r="P1833">
        <v>0</v>
      </c>
      <c r="Q1833" s="8">
        <v>305.67</v>
      </c>
      <c r="R1833" s="8">
        <v>314.02</v>
      </c>
      <c r="S1833" s="9" t="s">
        <v>548</v>
      </c>
    </row>
    <row r="1834" spans="1:19" hidden="1" x14ac:dyDescent="0.25">
      <c r="A1834" t="s">
        <v>134</v>
      </c>
      <c r="B1834" t="s">
        <v>77</v>
      </c>
      <c r="C1834" t="s">
        <v>126</v>
      </c>
      <c r="D1834" t="s">
        <v>539</v>
      </c>
      <c r="E1834" t="s">
        <v>91</v>
      </c>
      <c r="F1834" t="s">
        <v>91</v>
      </c>
      <c r="G1834">
        <v>0</v>
      </c>
      <c r="H1834">
        <v>2</v>
      </c>
      <c r="I1834">
        <v>2</v>
      </c>
      <c r="J1834">
        <v>2</v>
      </c>
      <c r="K1834" s="6">
        <v>100</v>
      </c>
      <c r="L1834" s="6">
        <v>0</v>
      </c>
      <c r="M1834" s="6">
        <v>100</v>
      </c>
      <c r="N1834">
        <v>0</v>
      </c>
      <c r="O1834" s="6">
        <v>0</v>
      </c>
      <c r="P1834">
        <v>0</v>
      </c>
      <c r="Q1834" s="8">
        <v>145.74</v>
      </c>
      <c r="R1834" s="8">
        <v>145.74</v>
      </c>
      <c r="S1834" s="9" t="s">
        <v>536</v>
      </c>
    </row>
    <row r="1835" spans="1:19" hidden="1" x14ac:dyDescent="0.25">
      <c r="A1835" t="s">
        <v>134</v>
      </c>
      <c r="B1835" t="s">
        <v>77</v>
      </c>
      <c r="C1835" t="s">
        <v>126</v>
      </c>
      <c r="D1835" t="s">
        <v>539</v>
      </c>
      <c r="E1835" t="s">
        <v>91</v>
      </c>
      <c r="F1835" t="s">
        <v>94</v>
      </c>
      <c r="G1835">
        <v>1</v>
      </c>
      <c r="H1835">
        <v>2</v>
      </c>
      <c r="I1835">
        <v>2</v>
      </c>
      <c r="J1835">
        <v>2</v>
      </c>
      <c r="K1835" s="6">
        <v>92.51</v>
      </c>
      <c r="L1835" s="6">
        <v>-5.71</v>
      </c>
      <c r="M1835" s="6">
        <v>92.51</v>
      </c>
      <c r="N1835">
        <v>0</v>
      </c>
      <c r="O1835" s="6">
        <v>0</v>
      </c>
      <c r="P1835">
        <v>0</v>
      </c>
      <c r="Q1835" s="8">
        <v>145.74</v>
      </c>
      <c r="R1835" s="8">
        <v>134.82</v>
      </c>
      <c r="S1835" s="9" t="s">
        <v>537</v>
      </c>
    </row>
    <row r="1836" spans="1:19" hidden="1" x14ac:dyDescent="0.25">
      <c r="A1836" t="s">
        <v>134</v>
      </c>
      <c r="B1836" t="s">
        <v>77</v>
      </c>
      <c r="C1836" t="s">
        <v>126</v>
      </c>
      <c r="D1836" t="s">
        <v>539</v>
      </c>
      <c r="E1836" t="s">
        <v>91</v>
      </c>
      <c r="F1836" t="s">
        <v>96</v>
      </c>
      <c r="G1836">
        <v>5</v>
      </c>
      <c r="H1836">
        <v>2</v>
      </c>
      <c r="I1836">
        <v>2</v>
      </c>
      <c r="J1836">
        <v>2</v>
      </c>
      <c r="K1836" s="6">
        <v>92.22</v>
      </c>
      <c r="L1836" s="6">
        <v>-6.16</v>
      </c>
      <c r="M1836" s="6">
        <v>92.22</v>
      </c>
      <c r="N1836">
        <v>0</v>
      </c>
      <c r="O1836" s="6">
        <v>0</v>
      </c>
      <c r="P1836">
        <v>0</v>
      </c>
      <c r="Q1836" s="8">
        <v>145.74</v>
      </c>
      <c r="R1836" s="8">
        <v>134.41</v>
      </c>
      <c r="S1836" s="9" t="s">
        <v>537</v>
      </c>
    </row>
    <row r="1837" spans="1:19" hidden="1" x14ac:dyDescent="0.25">
      <c r="A1837" t="s">
        <v>134</v>
      </c>
      <c r="B1837" t="s">
        <v>77</v>
      </c>
      <c r="C1837" t="s">
        <v>126</v>
      </c>
      <c r="D1837" t="s">
        <v>539</v>
      </c>
      <c r="E1837" t="s">
        <v>91</v>
      </c>
      <c r="F1837" t="s">
        <v>6</v>
      </c>
      <c r="G1837">
        <v>12</v>
      </c>
      <c r="H1837">
        <v>2</v>
      </c>
      <c r="I1837">
        <v>2</v>
      </c>
      <c r="J1837">
        <v>2</v>
      </c>
      <c r="K1837" s="6">
        <v>91.14</v>
      </c>
      <c r="L1837" s="6">
        <v>-8.19</v>
      </c>
      <c r="M1837" s="6">
        <v>91.14</v>
      </c>
      <c r="N1837">
        <v>0</v>
      </c>
      <c r="O1837" s="6">
        <v>0</v>
      </c>
      <c r="P1837">
        <v>0</v>
      </c>
      <c r="Q1837" s="8">
        <v>145.74</v>
      </c>
      <c r="R1837" s="8">
        <v>132.82</v>
      </c>
      <c r="S1837" s="9" t="s">
        <v>537</v>
      </c>
    </row>
    <row r="1838" spans="1:19" hidden="1" x14ac:dyDescent="0.25">
      <c r="A1838" t="s">
        <v>134</v>
      </c>
      <c r="B1838" t="s">
        <v>77</v>
      </c>
      <c r="C1838" t="s">
        <v>126</v>
      </c>
      <c r="D1838" t="s">
        <v>524</v>
      </c>
      <c r="E1838" t="s">
        <v>90</v>
      </c>
      <c r="F1838" t="s">
        <v>90</v>
      </c>
      <c r="G1838">
        <v>0</v>
      </c>
      <c r="H1838">
        <v>1</v>
      </c>
      <c r="I1838">
        <v>1</v>
      </c>
      <c r="J1838">
        <v>1</v>
      </c>
      <c r="K1838" s="6">
        <v>100</v>
      </c>
      <c r="L1838" s="6">
        <v>0</v>
      </c>
      <c r="M1838" s="6">
        <v>100</v>
      </c>
      <c r="N1838">
        <v>0</v>
      </c>
      <c r="O1838" s="6">
        <v>0</v>
      </c>
      <c r="P1838">
        <v>0</v>
      </c>
      <c r="Q1838" s="8">
        <v>145.9</v>
      </c>
      <c r="R1838" s="8">
        <v>145.9</v>
      </c>
      <c r="S1838" s="9" t="s">
        <v>540</v>
      </c>
    </row>
    <row r="1839" spans="1:19" hidden="1" x14ac:dyDescent="0.25">
      <c r="A1839" t="s">
        <v>134</v>
      </c>
      <c r="B1839" t="s">
        <v>77</v>
      </c>
      <c r="C1839" t="s">
        <v>126</v>
      </c>
      <c r="D1839" t="s">
        <v>524</v>
      </c>
      <c r="E1839" t="s">
        <v>90</v>
      </c>
      <c r="F1839" t="s">
        <v>91</v>
      </c>
      <c r="G1839">
        <v>1</v>
      </c>
      <c r="H1839">
        <v>1</v>
      </c>
      <c r="I1839">
        <v>1</v>
      </c>
      <c r="J1839">
        <v>1</v>
      </c>
      <c r="K1839" s="6">
        <v>100</v>
      </c>
      <c r="L1839" s="6">
        <v>0</v>
      </c>
      <c r="M1839" s="6">
        <v>100</v>
      </c>
      <c r="N1839">
        <v>0</v>
      </c>
      <c r="O1839" s="6">
        <v>0</v>
      </c>
      <c r="P1839">
        <v>0</v>
      </c>
      <c r="Q1839" s="8">
        <v>145.9</v>
      </c>
      <c r="R1839" s="8">
        <v>145.9</v>
      </c>
      <c r="S1839" s="9" t="s">
        <v>541</v>
      </c>
    </row>
    <row r="1840" spans="1:19" hidden="1" x14ac:dyDescent="0.25">
      <c r="A1840" t="s">
        <v>134</v>
      </c>
      <c r="B1840" t="s">
        <v>77</v>
      </c>
      <c r="C1840" t="s">
        <v>126</v>
      </c>
      <c r="D1840" t="s">
        <v>524</v>
      </c>
      <c r="E1840" t="s">
        <v>90</v>
      </c>
      <c r="F1840" t="s">
        <v>94</v>
      </c>
      <c r="G1840">
        <v>2</v>
      </c>
      <c r="H1840">
        <v>1</v>
      </c>
      <c r="I1840">
        <v>1</v>
      </c>
      <c r="J1840">
        <v>1</v>
      </c>
      <c r="K1840" s="6">
        <v>100</v>
      </c>
      <c r="L1840" s="6">
        <v>0</v>
      </c>
      <c r="M1840" s="6">
        <v>100</v>
      </c>
      <c r="N1840">
        <v>0</v>
      </c>
      <c r="O1840" s="6">
        <v>0</v>
      </c>
      <c r="P1840">
        <v>0</v>
      </c>
      <c r="Q1840" s="8">
        <v>145.9</v>
      </c>
      <c r="R1840" s="8">
        <v>145.9</v>
      </c>
      <c r="S1840" s="9" t="s">
        <v>541</v>
      </c>
    </row>
    <row r="1841" spans="1:19" hidden="1" x14ac:dyDescent="0.25">
      <c r="A1841" t="s">
        <v>134</v>
      </c>
      <c r="B1841" t="s">
        <v>77</v>
      </c>
      <c r="C1841" t="s">
        <v>126</v>
      </c>
      <c r="D1841" t="s">
        <v>524</v>
      </c>
      <c r="E1841" t="s">
        <v>90</v>
      </c>
      <c r="F1841" t="s">
        <v>96</v>
      </c>
      <c r="G1841">
        <v>6</v>
      </c>
      <c r="H1841">
        <v>1</v>
      </c>
      <c r="I1841">
        <v>1</v>
      </c>
      <c r="J1841">
        <v>1</v>
      </c>
      <c r="K1841" s="6">
        <v>100</v>
      </c>
      <c r="L1841" s="6">
        <v>0</v>
      </c>
      <c r="M1841" s="6">
        <v>100</v>
      </c>
      <c r="N1841">
        <v>0</v>
      </c>
      <c r="O1841" s="6">
        <v>0</v>
      </c>
      <c r="P1841">
        <v>0</v>
      </c>
      <c r="Q1841" s="8">
        <v>145.9</v>
      </c>
      <c r="R1841" s="8">
        <v>145.9</v>
      </c>
      <c r="S1841" s="9" t="s">
        <v>541</v>
      </c>
    </row>
    <row r="1842" spans="1:19" hidden="1" x14ac:dyDescent="0.25">
      <c r="A1842" t="s">
        <v>134</v>
      </c>
      <c r="B1842" t="s">
        <v>77</v>
      </c>
      <c r="C1842" t="s">
        <v>126</v>
      </c>
      <c r="D1842" t="s">
        <v>524</v>
      </c>
      <c r="E1842" t="s">
        <v>90</v>
      </c>
      <c r="F1842" t="s">
        <v>6</v>
      </c>
      <c r="G1842">
        <v>13</v>
      </c>
      <c r="H1842">
        <v>1</v>
      </c>
      <c r="I1842">
        <v>1</v>
      </c>
      <c r="J1842">
        <v>1</v>
      </c>
      <c r="K1842" s="6">
        <v>100</v>
      </c>
      <c r="L1842" s="6">
        <v>0</v>
      </c>
      <c r="M1842" s="6">
        <v>100</v>
      </c>
      <c r="N1842">
        <v>0</v>
      </c>
      <c r="O1842" s="6">
        <v>0</v>
      </c>
      <c r="P1842">
        <v>0</v>
      </c>
      <c r="Q1842" s="8">
        <v>145.9</v>
      </c>
      <c r="R1842" s="8">
        <v>145.9</v>
      </c>
      <c r="S1842" s="9" t="s">
        <v>541</v>
      </c>
    </row>
    <row r="1843" spans="1:19" hidden="1" x14ac:dyDescent="0.25">
      <c r="A1843" t="s">
        <v>134</v>
      </c>
      <c r="B1843" t="s">
        <v>77</v>
      </c>
      <c r="C1843" t="s">
        <v>126</v>
      </c>
      <c r="D1843" t="s">
        <v>530</v>
      </c>
      <c r="E1843" t="s">
        <v>90</v>
      </c>
      <c r="F1843" t="s">
        <v>90</v>
      </c>
      <c r="G1843">
        <v>0</v>
      </c>
      <c r="H1843">
        <v>3</v>
      </c>
      <c r="I1843">
        <v>3</v>
      </c>
      <c r="J1843">
        <v>3</v>
      </c>
      <c r="K1843" s="6">
        <v>100</v>
      </c>
      <c r="L1843" s="6">
        <v>0</v>
      </c>
      <c r="M1843" s="6">
        <v>100</v>
      </c>
      <c r="N1843">
        <v>0</v>
      </c>
      <c r="O1843" s="6">
        <v>0</v>
      </c>
      <c r="P1843">
        <v>0</v>
      </c>
      <c r="Q1843" s="8">
        <v>252.36</v>
      </c>
      <c r="R1843" s="8">
        <v>252.36</v>
      </c>
      <c r="S1843" s="9" t="s">
        <v>525</v>
      </c>
    </row>
    <row r="1844" spans="1:19" hidden="1" x14ac:dyDescent="0.25">
      <c r="A1844" t="s">
        <v>134</v>
      </c>
      <c r="B1844" t="s">
        <v>77</v>
      </c>
      <c r="C1844" t="s">
        <v>126</v>
      </c>
      <c r="D1844" t="s">
        <v>530</v>
      </c>
      <c r="E1844" t="s">
        <v>90</v>
      </c>
      <c r="F1844" t="s">
        <v>91</v>
      </c>
      <c r="G1844">
        <v>1</v>
      </c>
      <c r="H1844">
        <v>3</v>
      </c>
      <c r="I1844">
        <v>3</v>
      </c>
      <c r="J1844">
        <v>3</v>
      </c>
      <c r="K1844" s="6">
        <v>100</v>
      </c>
      <c r="L1844" s="6">
        <v>0</v>
      </c>
      <c r="M1844" s="6">
        <v>100</v>
      </c>
      <c r="N1844">
        <v>0</v>
      </c>
      <c r="O1844" s="6">
        <v>0</v>
      </c>
      <c r="P1844">
        <v>0</v>
      </c>
      <c r="Q1844" s="8">
        <v>252.36</v>
      </c>
      <c r="R1844" s="8">
        <v>252.36</v>
      </c>
      <c r="S1844" s="9" t="s">
        <v>526</v>
      </c>
    </row>
    <row r="1845" spans="1:19" hidden="1" x14ac:dyDescent="0.25">
      <c r="A1845" t="s">
        <v>134</v>
      </c>
      <c r="B1845" t="s">
        <v>77</v>
      </c>
      <c r="C1845" t="s">
        <v>126</v>
      </c>
      <c r="D1845" t="s">
        <v>530</v>
      </c>
      <c r="E1845" t="s">
        <v>90</v>
      </c>
      <c r="F1845" t="s">
        <v>94</v>
      </c>
      <c r="G1845">
        <v>2</v>
      </c>
      <c r="H1845">
        <v>3</v>
      </c>
      <c r="I1845">
        <v>3</v>
      </c>
      <c r="J1845">
        <v>3</v>
      </c>
      <c r="K1845" s="6">
        <v>100</v>
      </c>
      <c r="L1845" s="6">
        <v>0</v>
      </c>
      <c r="M1845" s="6">
        <v>100</v>
      </c>
      <c r="N1845">
        <v>0</v>
      </c>
      <c r="O1845" s="6">
        <v>0</v>
      </c>
      <c r="P1845">
        <v>0</v>
      </c>
      <c r="Q1845" s="8">
        <v>252.36</v>
      </c>
      <c r="R1845" s="8">
        <v>252.36</v>
      </c>
      <c r="S1845" s="9" t="s">
        <v>526</v>
      </c>
    </row>
    <row r="1846" spans="1:19" hidden="1" x14ac:dyDescent="0.25">
      <c r="A1846" t="s">
        <v>134</v>
      </c>
      <c r="B1846" t="s">
        <v>77</v>
      </c>
      <c r="C1846" t="s">
        <v>126</v>
      </c>
      <c r="D1846" t="s">
        <v>530</v>
      </c>
      <c r="E1846" t="s">
        <v>90</v>
      </c>
      <c r="F1846" t="s">
        <v>96</v>
      </c>
      <c r="G1846">
        <v>6</v>
      </c>
      <c r="H1846">
        <v>3</v>
      </c>
      <c r="I1846">
        <v>3</v>
      </c>
      <c r="J1846">
        <v>3</v>
      </c>
      <c r="K1846" s="6">
        <v>100</v>
      </c>
      <c r="L1846" s="6">
        <v>0</v>
      </c>
      <c r="M1846" s="6">
        <v>100</v>
      </c>
      <c r="N1846">
        <v>0</v>
      </c>
      <c r="O1846" s="6">
        <v>0</v>
      </c>
      <c r="P1846">
        <v>0</v>
      </c>
      <c r="Q1846" s="8">
        <v>252.36</v>
      </c>
      <c r="R1846" s="8">
        <v>252.36</v>
      </c>
      <c r="S1846" s="9" t="s">
        <v>526</v>
      </c>
    </row>
    <row r="1847" spans="1:19" hidden="1" x14ac:dyDescent="0.25">
      <c r="A1847" t="s">
        <v>134</v>
      </c>
      <c r="B1847" t="s">
        <v>77</v>
      </c>
      <c r="C1847" t="s">
        <v>126</v>
      </c>
      <c r="D1847" t="s">
        <v>530</v>
      </c>
      <c r="E1847" t="s">
        <v>90</v>
      </c>
      <c r="F1847" t="s">
        <v>6</v>
      </c>
      <c r="G1847">
        <v>13</v>
      </c>
      <c r="H1847">
        <v>3</v>
      </c>
      <c r="I1847">
        <v>2</v>
      </c>
      <c r="J1847">
        <v>2</v>
      </c>
      <c r="K1847" s="6">
        <v>100</v>
      </c>
      <c r="L1847" s="6">
        <v>0</v>
      </c>
      <c r="M1847" s="6">
        <v>92.36</v>
      </c>
      <c r="N1847">
        <v>-7.64</v>
      </c>
      <c r="O1847" s="6">
        <v>33.299999999999997</v>
      </c>
      <c r="P1847">
        <v>0</v>
      </c>
      <c r="Q1847" s="8">
        <v>233.09</v>
      </c>
      <c r="R1847" s="8">
        <v>233.09</v>
      </c>
      <c r="S1847" s="9" t="s">
        <v>537</v>
      </c>
    </row>
    <row r="1848" spans="1:19" hidden="1" x14ac:dyDescent="0.25">
      <c r="A1848" t="s">
        <v>134</v>
      </c>
      <c r="B1848" t="s">
        <v>77</v>
      </c>
      <c r="C1848" t="s">
        <v>126</v>
      </c>
      <c r="D1848" t="s">
        <v>531</v>
      </c>
      <c r="E1848" t="s">
        <v>90</v>
      </c>
      <c r="F1848" t="s">
        <v>90</v>
      </c>
      <c r="G1848">
        <v>0</v>
      </c>
      <c r="H1848">
        <v>4</v>
      </c>
      <c r="I1848">
        <v>4</v>
      </c>
      <c r="J1848">
        <v>4</v>
      </c>
      <c r="K1848" s="6">
        <v>100</v>
      </c>
      <c r="L1848" s="6">
        <v>0</v>
      </c>
      <c r="M1848" s="6">
        <v>100</v>
      </c>
      <c r="N1848">
        <v>0</v>
      </c>
      <c r="O1848" s="6">
        <v>0</v>
      </c>
      <c r="P1848">
        <v>0</v>
      </c>
      <c r="Q1848" s="8">
        <v>245.52</v>
      </c>
      <c r="R1848" s="8">
        <v>245.52</v>
      </c>
      <c r="S1848" s="9" t="s">
        <v>605</v>
      </c>
    </row>
    <row r="1849" spans="1:19" hidden="1" x14ac:dyDescent="0.25">
      <c r="A1849" t="s">
        <v>134</v>
      </c>
      <c r="B1849" t="s">
        <v>77</v>
      </c>
      <c r="C1849" t="s">
        <v>126</v>
      </c>
      <c r="D1849" t="s">
        <v>531</v>
      </c>
      <c r="E1849" t="s">
        <v>90</v>
      </c>
      <c r="F1849" t="s">
        <v>91</v>
      </c>
      <c r="G1849">
        <v>1</v>
      </c>
      <c r="H1849">
        <v>4</v>
      </c>
      <c r="I1849">
        <v>4</v>
      </c>
      <c r="J1849">
        <v>4</v>
      </c>
      <c r="K1849" s="6">
        <v>100</v>
      </c>
      <c r="L1849" s="6">
        <v>0</v>
      </c>
      <c r="M1849" s="6">
        <v>100</v>
      </c>
      <c r="N1849">
        <v>0</v>
      </c>
      <c r="O1849" s="6">
        <v>0</v>
      </c>
      <c r="P1849">
        <v>0</v>
      </c>
      <c r="Q1849" s="8">
        <v>245.52</v>
      </c>
      <c r="R1849" s="8">
        <v>245.52</v>
      </c>
      <c r="S1849" s="9" t="s">
        <v>548</v>
      </c>
    </row>
    <row r="1850" spans="1:19" hidden="1" x14ac:dyDescent="0.25">
      <c r="A1850" t="s">
        <v>134</v>
      </c>
      <c r="B1850" t="s">
        <v>77</v>
      </c>
      <c r="C1850" t="s">
        <v>126</v>
      </c>
      <c r="D1850" t="s">
        <v>531</v>
      </c>
      <c r="E1850" t="s">
        <v>90</v>
      </c>
      <c r="F1850" t="s">
        <v>94</v>
      </c>
      <c r="G1850">
        <v>2</v>
      </c>
      <c r="H1850">
        <v>4</v>
      </c>
      <c r="I1850">
        <v>3</v>
      </c>
      <c r="J1850">
        <v>3</v>
      </c>
      <c r="K1850" s="6">
        <v>100</v>
      </c>
      <c r="L1850" s="6">
        <v>0</v>
      </c>
      <c r="M1850" s="6">
        <v>105.86</v>
      </c>
      <c r="N1850">
        <v>5.86</v>
      </c>
      <c r="O1850" s="6">
        <v>25</v>
      </c>
      <c r="P1850">
        <v>0</v>
      </c>
      <c r="Q1850" s="8">
        <v>259.89999999999998</v>
      </c>
      <c r="R1850" s="8">
        <v>259.89999999999998</v>
      </c>
      <c r="S1850" s="9" t="s">
        <v>526</v>
      </c>
    </row>
    <row r="1851" spans="1:19" hidden="1" x14ac:dyDescent="0.25">
      <c r="A1851" t="s">
        <v>134</v>
      </c>
      <c r="B1851" t="s">
        <v>77</v>
      </c>
      <c r="C1851" t="s">
        <v>126</v>
      </c>
      <c r="D1851" t="s">
        <v>531</v>
      </c>
      <c r="E1851" t="s">
        <v>90</v>
      </c>
      <c r="F1851" t="s">
        <v>96</v>
      </c>
      <c r="G1851">
        <v>6</v>
      </c>
      <c r="H1851">
        <v>4</v>
      </c>
      <c r="I1851">
        <v>4</v>
      </c>
      <c r="J1851">
        <v>3</v>
      </c>
      <c r="K1851" s="6">
        <v>101.03</v>
      </c>
      <c r="L1851" s="6">
        <v>0</v>
      </c>
      <c r="M1851" s="6">
        <v>109.42</v>
      </c>
      <c r="N1851">
        <v>8.39</v>
      </c>
      <c r="O1851" s="6">
        <v>25</v>
      </c>
      <c r="P1851">
        <v>1</v>
      </c>
      <c r="Q1851" s="8">
        <v>259.89999999999998</v>
      </c>
      <c r="R1851" s="8">
        <v>262.57</v>
      </c>
      <c r="S1851" s="9" t="s">
        <v>526</v>
      </c>
    </row>
    <row r="1852" spans="1:19" hidden="1" x14ac:dyDescent="0.25">
      <c r="A1852" t="s">
        <v>134</v>
      </c>
      <c r="B1852" t="s">
        <v>77</v>
      </c>
      <c r="C1852" t="s">
        <v>126</v>
      </c>
      <c r="D1852" t="s">
        <v>531</v>
      </c>
      <c r="E1852" t="s">
        <v>90</v>
      </c>
      <c r="F1852" t="s">
        <v>6</v>
      </c>
      <c r="G1852">
        <v>13</v>
      </c>
      <c r="H1852">
        <v>4</v>
      </c>
      <c r="I1852">
        <v>4</v>
      </c>
      <c r="J1852">
        <v>3</v>
      </c>
      <c r="K1852" s="6">
        <v>101.92</v>
      </c>
      <c r="L1852" s="6">
        <v>0</v>
      </c>
      <c r="M1852" s="6">
        <v>110.44</v>
      </c>
      <c r="N1852">
        <v>8.52</v>
      </c>
      <c r="O1852" s="6">
        <v>25</v>
      </c>
      <c r="P1852">
        <v>1</v>
      </c>
      <c r="Q1852" s="8">
        <v>259.89999999999998</v>
      </c>
      <c r="R1852" s="8">
        <v>264.89999999999998</v>
      </c>
      <c r="S1852" s="9" t="s">
        <v>526</v>
      </c>
    </row>
    <row r="1853" spans="1:19" hidden="1" x14ac:dyDescent="0.25">
      <c r="A1853" t="s">
        <v>134</v>
      </c>
      <c r="B1853" t="s">
        <v>77</v>
      </c>
      <c r="C1853" t="s">
        <v>126</v>
      </c>
      <c r="D1853" t="s">
        <v>532</v>
      </c>
      <c r="E1853" t="s">
        <v>90</v>
      </c>
      <c r="F1853" t="s">
        <v>90</v>
      </c>
      <c r="G1853">
        <v>0</v>
      </c>
      <c r="H1853">
        <v>3</v>
      </c>
      <c r="I1853">
        <v>3</v>
      </c>
      <c r="J1853">
        <v>3</v>
      </c>
      <c r="K1853" s="6">
        <v>100</v>
      </c>
      <c r="L1853" s="6">
        <v>0</v>
      </c>
      <c r="M1853" s="6">
        <v>100</v>
      </c>
      <c r="N1853">
        <v>0</v>
      </c>
      <c r="O1853" s="6">
        <v>0</v>
      </c>
      <c r="P1853">
        <v>0</v>
      </c>
      <c r="Q1853" s="8">
        <v>233.4</v>
      </c>
      <c r="R1853" s="8">
        <v>233.4</v>
      </c>
      <c r="S1853" s="9" t="s">
        <v>525</v>
      </c>
    </row>
    <row r="1854" spans="1:19" hidden="1" x14ac:dyDescent="0.25">
      <c r="A1854" t="s">
        <v>134</v>
      </c>
      <c r="B1854" t="s">
        <v>77</v>
      </c>
      <c r="C1854" t="s">
        <v>126</v>
      </c>
      <c r="D1854" t="s">
        <v>532</v>
      </c>
      <c r="E1854" t="s">
        <v>90</v>
      </c>
      <c r="F1854" t="s">
        <v>91</v>
      </c>
      <c r="G1854">
        <v>1</v>
      </c>
      <c r="H1854">
        <v>3</v>
      </c>
      <c r="I1854">
        <v>3</v>
      </c>
      <c r="J1854">
        <v>3</v>
      </c>
      <c r="K1854" s="6">
        <v>100</v>
      </c>
      <c r="L1854" s="6">
        <v>0</v>
      </c>
      <c r="M1854" s="6">
        <v>100</v>
      </c>
      <c r="N1854">
        <v>0</v>
      </c>
      <c r="O1854" s="6">
        <v>0</v>
      </c>
      <c r="P1854">
        <v>0</v>
      </c>
      <c r="Q1854" s="8">
        <v>233.4</v>
      </c>
      <c r="R1854" s="8">
        <v>233.4</v>
      </c>
      <c r="S1854" s="9" t="s">
        <v>526</v>
      </c>
    </row>
    <row r="1855" spans="1:19" hidden="1" x14ac:dyDescent="0.25">
      <c r="A1855" t="s">
        <v>134</v>
      </c>
      <c r="B1855" t="s">
        <v>77</v>
      </c>
      <c r="C1855" t="s">
        <v>126</v>
      </c>
      <c r="D1855" t="s">
        <v>532</v>
      </c>
      <c r="E1855" t="s">
        <v>90</v>
      </c>
      <c r="F1855" t="s">
        <v>94</v>
      </c>
      <c r="G1855">
        <v>2</v>
      </c>
      <c r="H1855">
        <v>3</v>
      </c>
      <c r="I1855">
        <v>3</v>
      </c>
      <c r="J1855">
        <v>3</v>
      </c>
      <c r="K1855" s="6">
        <v>100.91</v>
      </c>
      <c r="L1855" s="6">
        <v>0</v>
      </c>
      <c r="M1855" s="6">
        <v>100.91</v>
      </c>
      <c r="N1855">
        <v>0</v>
      </c>
      <c r="O1855" s="6">
        <v>0</v>
      </c>
      <c r="P1855">
        <v>0</v>
      </c>
      <c r="Q1855" s="8">
        <v>233.4</v>
      </c>
      <c r="R1855" s="8">
        <v>235.52</v>
      </c>
      <c r="S1855" s="9" t="s">
        <v>526</v>
      </c>
    </row>
    <row r="1856" spans="1:19" hidden="1" x14ac:dyDescent="0.25">
      <c r="A1856" t="s">
        <v>134</v>
      </c>
      <c r="B1856" t="s">
        <v>77</v>
      </c>
      <c r="C1856" t="s">
        <v>126</v>
      </c>
      <c r="D1856" t="s">
        <v>532</v>
      </c>
      <c r="E1856" t="s">
        <v>90</v>
      </c>
      <c r="F1856" t="s">
        <v>96</v>
      </c>
      <c r="G1856">
        <v>6</v>
      </c>
      <c r="H1856">
        <v>3</v>
      </c>
      <c r="I1856">
        <v>3</v>
      </c>
      <c r="J1856">
        <v>3</v>
      </c>
      <c r="K1856" s="6">
        <v>100.91</v>
      </c>
      <c r="L1856" s="6">
        <v>0</v>
      </c>
      <c r="M1856" s="6">
        <v>100.91</v>
      </c>
      <c r="N1856">
        <v>0</v>
      </c>
      <c r="O1856" s="6">
        <v>0</v>
      </c>
      <c r="P1856">
        <v>0</v>
      </c>
      <c r="Q1856" s="8">
        <v>233.4</v>
      </c>
      <c r="R1856" s="8">
        <v>235.52</v>
      </c>
      <c r="S1856" s="9" t="s">
        <v>526</v>
      </c>
    </row>
    <row r="1857" spans="1:19" hidden="1" x14ac:dyDescent="0.25">
      <c r="A1857" t="s">
        <v>134</v>
      </c>
      <c r="B1857" t="s">
        <v>77</v>
      </c>
      <c r="C1857" t="s">
        <v>126</v>
      </c>
      <c r="D1857" t="s">
        <v>532</v>
      </c>
      <c r="E1857" t="s">
        <v>90</v>
      </c>
      <c r="F1857" t="s">
        <v>6</v>
      </c>
      <c r="G1857">
        <v>13</v>
      </c>
      <c r="H1857">
        <v>3</v>
      </c>
      <c r="I1857">
        <v>3</v>
      </c>
      <c r="J1857">
        <v>3</v>
      </c>
      <c r="K1857" s="6">
        <v>101.56</v>
      </c>
      <c r="L1857" s="6">
        <v>0</v>
      </c>
      <c r="M1857" s="6">
        <v>101.56</v>
      </c>
      <c r="N1857">
        <v>0</v>
      </c>
      <c r="O1857" s="6">
        <v>0</v>
      </c>
      <c r="P1857">
        <v>0</v>
      </c>
      <c r="Q1857" s="8">
        <v>233.4</v>
      </c>
      <c r="R1857" s="8">
        <v>237.03</v>
      </c>
      <c r="S1857" s="9" t="s">
        <v>526</v>
      </c>
    </row>
    <row r="1858" spans="1:19" hidden="1" x14ac:dyDescent="0.25">
      <c r="A1858" t="s">
        <v>134</v>
      </c>
      <c r="B1858" t="s">
        <v>77</v>
      </c>
      <c r="C1858" t="s">
        <v>126</v>
      </c>
      <c r="D1858" t="s">
        <v>533</v>
      </c>
      <c r="E1858" t="s">
        <v>94</v>
      </c>
      <c r="F1858" t="s">
        <v>94</v>
      </c>
      <c r="G1858">
        <v>0</v>
      </c>
      <c r="H1858">
        <v>1</v>
      </c>
      <c r="I1858">
        <v>1</v>
      </c>
      <c r="J1858">
        <v>1</v>
      </c>
      <c r="K1858" s="6">
        <v>100</v>
      </c>
      <c r="L1858" s="6">
        <v>0</v>
      </c>
      <c r="M1858" s="6">
        <v>100</v>
      </c>
      <c r="N1858">
        <v>0</v>
      </c>
      <c r="O1858" s="6">
        <v>0</v>
      </c>
      <c r="P1858">
        <v>0</v>
      </c>
      <c r="Q1858" s="8">
        <v>326.89999999999998</v>
      </c>
      <c r="R1858" s="8">
        <v>326.89999999999998</v>
      </c>
      <c r="S1858" s="9" t="s">
        <v>540</v>
      </c>
    </row>
    <row r="1859" spans="1:19" hidden="1" x14ac:dyDescent="0.25">
      <c r="A1859" t="s">
        <v>134</v>
      </c>
      <c r="B1859" t="s">
        <v>77</v>
      </c>
      <c r="C1859" t="s">
        <v>126</v>
      </c>
      <c r="D1859" t="s">
        <v>533</v>
      </c>
      <c r="E1859" t="s">
        <v>94</v>
      </c>
      <c r="F1859" t="s">
        <v>96</v>
      </c>
      <c r="G1859">
        <v>4</v>
      </c>
      <c r="H1859">
        <v>1</v>
      </c>
      <c r="I1859">
        <v>1</v>
      </c>
      <c r="J1859">
        <v>1</v>
      </c>
      <c r="K1859" s="6">
        <v>100</v>
      </c>
      <c r="L1859" s="6">
        <v>0</v>
      </c>
      <c r="M1859" s="6">
        <v>100</v>
      </c>
      <c r="N1859">
        <v>0</v>
      </c>
      <c r="O1859" s="6">
        <v>0</v>
      </c>
      <c r="P1859">
        <v>0</v>
      </c>
      <c r="Q1859" s="8">
        <v>326.89999999999998</v>
      </c>
      <c r="R1859" s="8">
        <v>326.89999999999998</v>
      </c>
      <c r="S1859" s="9" t="s">
        <v>541</v>
      </c>
    </row>
    <row r="1860" spans="1:19" hidden="1" x14ac:dyDescent="0.25">
      <c r="A1860" t="s">
        <v>134</v>
      </c>
      <c r="B1860" t="s">
        <v>77</v>
      </c>
      <c r="C1860" t="s">
        <v>126</v>
      </c>
      <c r="D1860" t="s">
        <v>533</v>
      </c>
      <c r="E1860" t="s">
        <v>94</v>
      </c>
      <c r="F1860" t="s">
        <v>6</v>
      </c>
      <c r="G1860">
        <v>11</v>
      </c>
      <c r="H1860">
        <v>1</v>
      </c>
      <c r="I1860">
        <v>1</v>
      </c>
      <c r="J1860">
        <v>1</v>
      </c>
      <c r="K1860" s="6">
        <v>101.53</v>
      </c>
      <c r="L1860" s="6">
        <v>1.53</v>
      </c>
      <c r="M1860" s="6">
        <v>101.53</v>
      </c>
      <c r="N1860">
        <v>0</v>
      </c>
      <c r="O1860" s="6">
        <v>0</v>
      </c>
      <c r="P1860">
        <v>0</v>
      </c>
      <c r="Q1860" s="8">
        <v>326.89999999999998</v>
      </c>
      <c r="R1860" s="8">
        <v>331.9</v>
      </c>
      <c r="S1860" s="9" t="s">
        <v>541</v>
      </c>
    </row>
    <row r="1861" spans="1:19" hidden="1" x14ac:dyDescent="0.25">
      <c r="A1861" t="s">
        <v>134</v>
      </c>
      <c r="B1861" t="s">
        <v>77</v>
      </c>
      <c r="C1861" t="s">
        <v>126</v>
      </c>
      <c r="D1861" t="s">
        <v>545</v>
      </c>
      <c r="E1861" t="s">
        <v>94</v>
      </c>
      <c r="F1861" t="s">
        <v>94</v>
      </c>
      <c r="G1861">
        <v>0</v>
      </c>
      <c r="H1861">
        <v>1</v>
      </c>
      <c r="I1861">
        <v>1</v>
      </c>
      <c r="J1861">
        <v>1</v>
      </c>
      <c r="K1861" s="6">
        <v>100</v>
      </c>
      <c r="L1861" s="6">
        <v>0</v>
      </c>
      <c r="M1861" s="6">
        <v>100</v>
      </c>
      <c r="N1861">
        <v>0</v>
      </c>
      <c r="O1861" s="6">
        <v>0</v>
      </c>
      <c r="P1861">
        <v>0</v>
      </c>
      <c r="Q1861" s="8">
        <v>265.36</v>
      </c>
      <c r="R1861" s="8">
        <v>265.36</v>
      </c>
      <c r="S1861" s="9" t="s">
        <v>540</v>
      </c>
    </row>
    <row r="1862" spans="1:19" hidden="1" x14ac:dyDescent="0.25">
      <c r="A1862" t="s">
        <v>134</v>
      </c>
      <c r="B1862" t="s">
        <v>77</v>
      </c>
      <c r="C1862" t="s">
        <v>126</v>
      </c>
      <c r="D1862" t="s">
        <v>545</v>
      </c>
      <c r="E1862" t="s">
        <v>94</v>
      </c>
      <c r="F1862" t="s">
        <v>96</v>
      </c>
      <c r="G1862">
        <v>4</v>
      </c>
      <c r="H1862">
        <v>1</v>
      </c>
      <c r="I1862">
        <v>1</v>
      </c>
      <c r="J1862">
        <v>1</v>
      </c>
      <c r="K1862" s="6">
        <v>100</v>
      </c>
      <c r="L1862" s="6">
        <v>0</v>
      </c>
      <c r="M1862" s="6">
        <v>100</v>
      </c>
      <c r="N1862">
        <v>0</v>
      </c>
      <c r="O1862" s="6">
        <v>0</v>
      </c>
      <c r="P1862">
        <v>0</v>
      </c>
      <c r="Q1862" s="8">
        <v>265.36</v>
      </c>
      <c r="R1862" s="8">
        <v>265.36</v>
      </c>
      <c r="S1862" s="9" t="s">
        <v>541</v>
      </c>
    </row>
    <row r="1863" spans="1:19" hidden="1" x14ac:dyDescent="0.25">
      <c r="A1863" t="s">
        <v>134</v>
      </c>
      <c r="B1863" t="s">
        <v>77</v>
      </c>
      <c r="C1863" t="s">
        <v>126</v>
      </c>
      <c r="D1863" t="s">
        <v>545</v>
      </c>
      <c r="E1863" t="s">
        <v>94</v>
      </c>
      <c r="F1863" t="s">
        <v>6</v>
      </c>
      <c r="G1863">
        <v>11</v>
      </c>
      <c r="H1863">
        <v>1</v>
      </c>
      <c r="I1863">
        <v>1</v>
      </c>
      <c r="J1863">
        <v>1</v>
      </c>
      <c r="K1863" s="6">
        <v>100</v>
      </c>
      <c r="L1863" s="6">
        <v>0</v>
      </c>
      <c r="M1863" s="6">
        <v>100</v>
      </c>
      <c r="N1863">
        <v>0</v>
      </c>
      <c r="O1863" s="6">
        <v>0</v>
      </c>
      <c r="P1863">
        <v>0</v>
      </c>
      <c r="Q1863" s="8">
        <v>265.36</v>
      </c>
      <c r="R1863" s="8">
        <v>265.36</v>
      </c>
      <c r="S1863" s="9" t="s">
        <v>541</v>
      </c>
    </row>
    <row r="1864" spans="1:19" hidden="1" x14ac:dyDescent="0.25">
      <c r="A1864" t="s">
        <v>134</v>
      </c>
      <c r="B1864" t="s">
        <v>77</v>
      </c>
      <c r="C1864" t="s">
        <v>126</v>
      </c>
      <c r="D1864" t="s">
        <v>580</v>
      </c>
      <c r="E1864" t="s">
        <v>94</v>
      </c>
      <c r="F1864" t="s">
        <v>94</v>
      </c>
      <c r="G1864">
        <v>0</v>
      </c>
      <c r="H1864">
        <v>2</v>
      </c>
      <c r="I1864">
        <v>2</v>
      </c>
      <c r="J1864">
        <v>2</v>
      </c>
      <c r="K1864" s="6">
        <v>100</v>
      </c>
      <c r="L1864" s="6">
        <v>0</v>
      </c>
      <c r="M1864" s="6">
        <v>100</v>
      </c>
      <c r="N1864">
        <v>0</v>
      </c>
      <c r="O1864" s="6">
        <v>0</v>
      </c>
      <c r="P1864">
        <v>0</v>
      </c>
      <c r="Q1864" s="8">
        <v>166.57</v>
      </c>
      <c r="R1864" s="8">
        <v>166.57</v>
      </c>
      <c r="S1864" s="9" t="s">
        <v>536</v>
      </c>
    </row>
    <row r="1865" spans="1:19" hidden="1" x14ac:dyDescent="0.25">
      <c r="A1865" t="s">
        <v>134</v>
      </c>
      <c r="B1865" t="s">
        <v>77</v>
      </c>
      <c r="C1865" t="s">
        <v>126</v>
      </c>
      <c r="D1865" t="s">
        <v>580</v>
      </c>
      <c r="E1865" t="s">
        <v>94</v>
      </c>
      <c r="F1865" t="s">
        <v>96</v>
      </c>
      <c r="G1865">
        <v>4</v>
      </c>
      <c r="H1865">
        <v>2</v>
      </c>
      <c r="I1865">
        <v>2</v>
      </c>
      <c r="J1865">
        <v>2</v>
      </c>
      <c r="K1865" s="6">
        <v>100</v>
      </c>
      <c r="L1865" s="6">
        <v>0</v>
      </c>
      <c r="M1865" s="6">
        <v>100</v>
      </c>
      <c r="N1865">
        <v>0</v>
      </c>
      <c r="O1865" s="6">
        <v>0</v>
      </c>
      <c r="P1865">
        <v>0</v>
      </c>
      <c r="Q1865" s="8">
        <v>166.57</v>
      </c>
      <c r="R1865" s="8">
        <v>166.57</v>
      </c>
      <c r="S1865" s="9" t="s">
        <v>537</v>
      </c>
    </row>
    <row r="1866" spans="1:19" hidden="1" x14ac:dyDescent="0.25">
      <c r="A1866" t="s">
        <v>134</v>
      </c>
      <c r="B1866" t="s">
        <v>77</v>
      </c>
      <c r="C1866" t="s">
        <v>126</v>
      </c>
      <c r="D1866" t="s">
        <v>580</v>
      </c>
      <c r="E1866" t="s">
        <v>94</v>
      </c>
      <c r="F1866" t="s">
        <v>6</v>
      </c>
      <c r="G1866">
        <v>11</v>
      </c>
      <c r="H1866">
        <v>2</v>
      </c>
      <c r="I1866">
        <v>2</v>
      </c>
      <c r="J1866">
        <v>2</v>
      </c>
      <c r="K1866" s="6">
        <v>100.94</v>
      </c>
      <c r="L1866" s="6">
        <v>0.98</v>
      </c>
      <c r="M1866" s="6">
        <v>100.94</v>
      </c>
      <c r="N1866">
        <v>0</v>
      </c>
      <c r="O1866" s="6">
        <v>0</v>
      </c>
      <c r="P1866">
        <v>0</v>
      </c>
      <c r="Q1866" s="8">
        <v>166.57</v>
      </c>
      <c r="R1866" s="8">
        <v>168.13</v>
      </c>
      <c r="S1866" s="9" t="s">
        <v>537</v>
      </c>
    </row>
    <row r="1867" spans="1:19" hidden="1" x14ac:dyDescent="0.25">
      <c r="A1867" t="s">
        <v>134</v>
      </c>
      <c r="B1867" t="s">
        <v>77</v>
      </c>
      <c r="C1867" t="s">
        <v>126</v>
      </c>
      <c r="D1867" t="s">
        <v>582</v>
      </c>
      <c r="E1867" t="s">
        <v>94</v>
      </c>
      <c r="F1867" t="s">
        <v>94</v>
      </c>
      <c r="G1867">
        <v>0</v>
      </c>
      <c r="H1867">
        <v>6</v>
      </c>
      <c r="I1867">
        <v>6</v>
      </c>
      <c r="J1867">
        <v>6</v>
      </c>
      <c r="K1867" s="6">
        <v>100</v>
      </c>
      <c r="L1867" s="6">
        <v>0</v>
      </c>
      <c r="M1867" s="6">
        <v>100</v>
      </c>
      <c r="N1867">
        <v>0</v>
      </c>
      <c r="O1867" s="6">
        <v>0</v>
      </c>
      <c r="P1867">
        <v>0</v>
      </c>
      <c r="Q1867" s="8">
        <v>191.63</v>
      </c>
      <c r="R1867" s="8">
        <v>191.63</v>
      </c>
      <c r="S1867" s="9" t="s">
        <v>534</v>
      </c>
    </row>
    <row r="1868" spans="1:19" hidden="1" x14ac:dyDescent="0.25">
      <c r="A1868" t="s">
        <v>134</v>
      </c>
      <c r="B1868" t="s">
        <v>77</v>
      </c>
      <c r="C1868" t="s">
        <v>126</v>
      </c>
      <c r="D1868" t="s">
        <v>582</v>
      </c>
      <c r="E1868" t="s">
        <v>94</v>
      </c>
      <c r="F1868" t="s">
        <v>96</v>
      </c>
      <c r="G1868">
        <v>4</v>
      </c>
      <c r="H1868">
        <v>6</v>
      </c>
      <c r="I1868">
        <v>6</v>
      </c>
      <c r="J1868">
        <v>6</v>
      </c>
      <c r="K1868" s="6">
        <v>100</v>
      </c>
      <c r="L1868" s="6">
        <v>0</v>
      </c>
      <c r="M1868" s="6">
        <v>100</v>
      </c>
      <c r="N1868">
        <v>0</v>
      </c>
      <c r="O1868" s="6">
        <v>0</v>
      </c>
      <c r="P1868">
        <v>0</v>
      </c>
      <c r="Q1868" s="8">
        <v>191.63</v>
      </c>
      <c r="R1868" s="8">
        <v>191.63</v>
      </c>
      <c r="S1868" s="9" t="s">
        <v>535</v>
      </c>
    </row>
    <row r="1869" spans="1:19" hidden="1" x14ac:dyDescent="0.25">
      <c r="A1869" t="s">
        <v>134</v>
      </c>
      <c r="B1869" t="s">
        <v>77</v>
      </c>
      <c r="C1869" t="s">
        <v>126</v>
      </c>
      <c r="D1869" t="s">
        <v>582</v>
      </c>
      <c r="E1869" t="s">
        <v>94</v>
      </c>
      <c r="F1869" t="s">
        <v>6</v>
      </c>
      <c r="G1869">
        <v>11</v>
      </c>
      <c r="H1869">
        <v>6</v>
      </c>
      <c r="I1869">
        <v>6</v>
      </c>
      <c r="J1869">
        <v>6</v>
      </c>
      <c r="K1869" s="6">
        <v>100</v>
      </c>
      <c r="L1869" s="6">
        <v>0</v>
      </c>
      <c r="M1869" s="6">
        <v>100</v>
      </c>
      <c r="N1869">
        <v>0</v>
      </c>
      <c r="O1869" s="6">
        <v>0</v>
      </c>
      <c r="P1869">
        <v>0</v>
      </c>
      <c r="Q1869" s="8">
        <v>191.63</v>
      </c>
      <c r="R1869" s="8">
        <v>191.63</v>
      </c>
      <c r="S1869" s="9" t="s">
        <v>535</v>
      </c>
    </row>
    <row r="1870" spans="1:19" hidden="1" x14ac:dyDescent="0.25">
      <c r="A1870" t="s">
        <v>134</v>
      </c>
      <c r="B1870" t="s">
        <v>77</v>
      </c>
      <c r="C1870" t="s">
        <v>126</v>
      </c>
      <c r="D1870" t="s">
        <v>583</v>
      </c>
      <c r="E1870" t="s">
        <v>94</v>
      </c>
      <c r="F1870" t="s">
        <v>94</v>
      </c>
      <c r="G1870">
        <v>0</v>
      </c>
      <c r="H1870">
        <v>9</v>
      </c>
      <c r="I1870">
        <v>9</v>
      </c>
      <c r="J1870">
        <v>9</v>
      </c>
      <c r="K1870" s="6">
        <v>100</v>
      </c>
      <c r="L1870" s="6">
        <v>0</v>
      </c>
      <c r="M1870" s="6">
        <v>100</v>
      </c>
      <c r="N1870">
        <v>0</v>
      </c>
      <c r="O1870" s="6">
        <v>0</v>
      </c>
      <c r="P1870">
        <v>0</v>
      </c>
      <c r="Q1870" s="8">
        <v>215.32</v>
      </c>
      <c r="R1870" s="8">
        <v>215.32</v>
      </c>
      <c r="S1870" s="9" t="s">
        <v>546</v>
      </c>
    </row>
    <row r="1871" spans="1:19" hidden="1" x14ac:dyDescent="0.25">
      <c r="A1871" t="s">
        <v>134</v>
      </c>
      <c r="B1871" t="s">
        <v>77</v>
      </c>
      <c r="C1871" t="s">
        <v>126</v>
      </c>
      <c r="D1871" t="s">
        <v>583</v>
      </c>
      <c r="E1871" t="s">
        <v>94</v>
      </c>
      <c r="F1871" t="s">
        <v>96</v>
      </c>
      <c r="G1871">
        <v>4</v>
      </c>
      <c r="H1871">
        <v>9</v>
      </c>
      <c r="I1871">
        <v>9</v>
      </c>
      <c r="J1871">
        <v>9</v>
      </c>
      <c r="K1871" s="6">
        <v>100</v>
      </c>
      <c r="L1871" s="6">
        <v>0</v>
      </c>
      <c r="M1871" s="6">
        <v>100</v>
      </c>
      <c r="N1871">
        <v>0</v>
      </c>
      <c r="O1871" s="6">
        <v>0</v>
      </c>
      <c r="P1871">
        <v>0</v>
      </c>
      <c r="Q1871" s="8">
        <v>215.32</v>
      </c>
      <c r="R1871" s="8">
        <v>215.32</v>
      </c>
      <c r="S1871" s="9" t="s">
        <v>547</v>
      </c>
    </row>
    <row r="1872" spans="1:19" hidden="1" x14ac:dyDescent="0.25">
      <c r="A1872" t="s">
        <v>134</v>
      </c>
      <c r="B1872" t="s">
        <v>77</v>
      </c>
      <c r="C1872" t="s">
        <v>126</v>
      </c>
      <c r="D1872" t="s">
        <v>583</v>
      </c>
      <c r="E1872" t="s">
        <v>94</v>
      </c>
      <c r="F1872" t="s">
        <v>6</v>
      </c>
      <c r="G1872">
        <v>11</v>
      </c>
      <c r="H1872">
        <v>9</v>
      </c>
      <c r="I1872">
        <v>9</v>
      </c>
      <c r="J1872">
        <v>9</v>
      </c>
      <c r="K1872" s="6">
        <v>100</v>
      </c>
      <c r="L1872" s="6">
        <v>0</v>
      </c>
      <c r="M1872" s="6">
        <v>100</v>
      </c>
      <c r="N1872">
        <v>0</v>
      </c>
      <c r="O1872" s="6">
        <v>0</v>
      </c>
      <c r="P1872">
        <v>0</v>
      </c>
      <c r="Q1872" s="8">
        <v>215.32</v>
      </c>
      <c r="R1872" s="8">
        <v>215.32</v>
      </c>
      <c r="S1872" s="9" t="s">
        <v>547</v>
      </c>
    </row>
    <row r="1873" spans="1:19" hidden="1" x14ac:dyDescent="0.25">
      <c r="A1873" t="s">
        <v>134</v>
      </c>
      <c r="B1873" t="s">
        <v>77</v>
      </c>
      <c r="C1873" t="s">
        <v>126</v>
      </c>
      <c r="D1873" t="s">
        <v>585</v>
      </c>
      <c r="E1873" t="s">
        <v>94</v>
      </c>
      <c r="F1873" t="s">
        <v>94</v>
      </c>
      <c r="G1873">
        <v>0</v>
      </c>
      <c r="H1873">
        <v>10</v>
      </c>
      <c r="I1873">
        <v>10</v>
      </c>
      <c r="J1873">
        <v>10</v>
      </c>
      <c r="K1873" s="6">
        <v>100</v>
      </c>
      <c r="L1873" s="6">
        <v>0</v>
      </c>
      <c r="M1873" s="6">
        <v>100</v>
      </c>
      <c r="N1873">
        <v>0</v>
      </c>
      <c r="O1873" s="6">
        <v>0</v>
      </c>
      <c r="P1873">
        <v>0</v>
      </c>
      <c r="Q1873" s="8">
        <v>223.95</v>
      </c>
      <c r="R1873" s="8">
        <v>223.95</v>
      </c>
      <c r="S1873" s="9" t="s">
        <v>584</v>
      </c>
    </row>
    <row r="1874" spans="1:19" hidden="1" x14ac:dyDescent="0.25">
      <c r="A1874" t="s">
        <v>134</v>
      </c>
      <c r="B1874" t="s">
        <v>77</v>
      </c>
      <c r="C1874" t="s">
        <v>126</v>
      </c>
      <c r="D1874" t="s">
        <v>585</v>
      </c>
      <c r="E1874" t="s">
        <v>94</v>
      </c>
      <c r="F1874" t="s">
        <v>96</v>
      </c>
      <c r="G1874">
        <v>4</v>
      </c>
      <c r="H1874">
        <v>10</v>
      </c>
      <c r="I1874">
        <v>10</v>
      </c>
      <c r="J1874">
        <v>10</v>
      </c>
      <c r="K1874" s="6">
        <v>100</v>
      </c>
      <c r="L1874" s="6">
        <v>0</v>
      </c>
      <c r="M1874" s="6">
        <v>100</v>
      </c>
      <c r="N1874">
        <v>0</v>
      </c>
      <c r="O1874" s="6">
        <v>0</v>
      </c>
      <c r="P1874">
        <v>0</v>
      </c>
      <c r="Q1874" s="8">
        <v>223.95</v>
      </c>
      <c r="R1874" s="8">
        <v>223.95</v>
      </c>
      <c r="S1874" s="10" t="s">
        <v>131</v>
      </c>
    </row>
    <row r="1875" spans="1:19" hidden="1" x14ac:dyDescent="0.25">
      <c r="A1875" t="s">
        <v>134</v>
      </c>
      <c r="B1875" t="s">
        <v>77</v>
      </c>
      <c r="C1875" t="s">
        <v>126</v>
      </c>
      <c r="D1875" t="s">
        <v>585</v>
      </c>
      <c r="E1875" t="s">
        <v>94</v>
      </c>
      <c r="F1875" t="s">
        <v>6</v>
      </c>
      <c r="G1875">
        <v>11</v>
      </c>
      <c r="H1875">
        <v>10</v>
      </c>
      <c r="I1875">
        <v>10</v>
      </c>
      <c r="J1875">
        <v>10</v>
      </c>
      <c r="K1875" s="6">
        <v>100</v>
      </c>
      <c r="L1875" s="6">
        <v>0</v>
      </c>
      <c r="M1875" s="6">
        <v>100</v>
      </c>
      <c r="N1875">
        <v>0</v>
      </c>
      <c r="O1875" s="6">
        <v>0</v>
      </c>
      <c r="P1875">
        <v>0</v>
      </c>
      <c r="Q1875" s="8">
        <v>223.95</v>
      </c>
      <c r="R1875" s="8">
        <v>223.95</v>
      </c>
      <c r="S1875" s="10" t="s">
        <v>131</v>
      </c>
    </row>
    <row r="1876" spans="1:19" hidden="1" x14ac:dyDescent="0.25">
      <c r="A1876" t="s">
        <v>134</v>
      </c>
      <c r="B1876" t="s">
        <v>77</v>
      </c>
      <c r="C1876" t="s">
        <v>126</v>
      </c>
      <c r="D1876" t="s">
        <v>588</v>
      </c>
      <c r="E1876" t="s">
        <v>94</v>
      </c>
      <c r="F1876" t="s">
        <v>94</v>
      </c>
      <c r="G1876">
        <v>0</v>
      </c>
      <c r="H1876">
        <v>10</v>
      </c>
      <c r="I1876">
        <v>10</v>
      </c>
      <c r="J1876">
        <v>10</v>
      </c>
      <c r="K1876" s="6">
        <v>100</v>
      </c>
      <c r="L1876" s="6">
        <v>0</v>
      </c>
      <c r="M1876" s="6">
        <v>100</v>
      </c>
      <c r="N1876">
        <v>0</v>
      </c>
      <c r="O1876" s="6">
        <v>0</v>
      </c>
      <c r="P1876">
        <v>0</v>
      </c>
      <c r="Q1876" s="8">
        <v>214.18</v>
      </c>
      <c r="R1876" s="8">
        <v>214.18</v>
      </c>
      <c r="S1876" s="9" t="s">
        <v>584</v>
      </c>
    </row>
    <row r="1877" spans="1:19" hidden="1" x14ac:dyDescent="0.25">
      <c r="A1877" t="s">
        <v>134</v>
      </c>
      <c r="B1877" t="s">
        <v>77</v>
      </c>
      <c r="C1877" t="s">
        <v>126</v>
      </c>
      <c r="D1877" t="s">
        <v>588</v>
      </c>
      <c r="E1877" t="s">
        <v>94</v>
      </c>
      <c r="F1877" t="s">
        <v>96</v>
      </c>
      <c r="G1877">
        <v>4</v>
      </c>
      <c r="H1877">
        <v>10</v>
      </c>
      <c r="I1877">
        <v>10</v>
      </c>
      <c r="J1877">
        <v>10</v>
      </c>
      <c r="K1877" s="6">
        <v>100</v>
      </c>
      <c r="L1877" s="6">
        <v>0</v>
      </c>
      <c r="M1877" s="6">
        <v>100</v>
      </c>
      <c r="N1877">
        <v>0</v>
      </c>
      <c r="O1877" s="6">
        <v>0</v>
      </c>
      <c r="P1877">
        <v>0</v>
      </c>
      <c r="Q1877" s="8">
        <v>214.18</v>
      </c>
      <c r="R1877" s="8">
        <v>214.18</v>
      </c>
      <c r="S1877" s="10" t="s">
        <v>131</v>
      </c>
    </row>
    <row r="1878" spans="1:19" hidden="1" x14ac:dyDescent="0.25">
      <c r="A1878" t="s">
        <v>134</v>
      </c>
      <c r="B1878" t="s">
        <v>77</v>
      </c>
      <c r="C1878" t="s">
        <v>126</v>
      </c>
      <c r="D1878" t="s">
        <v>588</v>
      </c>
      <c r="E1878" t="s">
        <v>94</v>
      </c>
      <c r="F1878" t="s">
        <v>6</v>
      </c>
      <c r="G1878">
        <v>11</v>
      </c>
      <c r="H1878">
        <v>10</v>
      </c>
      <c r="I1878">
        <v>10</v>
      </c>
      <c r="J1878">
        <v>10</v>
      </c>
      <c r="K1878" s="6">
        <v>100</v>
      </c>
      <c r="L1878" s="6">
        <v>0</v>
      </c>
      <c r="M1878" s="6">
        <v>100</v>
      </c>
      <c r="N1878">
        <v>0</v>
      </c>
      <c r="O1878" s="6">
        <v>0</v>
      </c>
      <c r="P1878">
        <v>0</v>
      </c>
      <c r="Q1878" s="8">
        <v>214.18</v>
      </c>
      <c r="R1878" s="8">
        <v>214.18</v>
      </c>
      <c r="S1878" s="10" t="s">
        <v>131</v>
      </c>
    </row>
    <row r="1879" spans="1:19" hidden="1" x14ac:dyDescent="0.25">
      <c r="A1879" t="s">
        <v>134</v>
      </c>
      <c r="B1879" t="s">
        <v>77</v>
      </c>
      <c r="C1879" t="s">
        <v>126</v>
      </c>
      <c r="D1879" t="s">
        <v>589</v>
      </c>
      <c r="E1879" t="s">
        <v>94</v>
      </c>
      <c r="F1879" t="s">
        <v>94</v>
      </c>
      <c r="G1879">
        <v>0</v>
      </c>
      <c r="H1879">
        <v>8</v>
      </c>
      <c r="I1879">
        <v>8</v>
      </c>
      <c r="J1879">
        <v>8</v>
      </c>
      <c r="K1879" s="6">
        <v>100</v>
      </c>
      <c r="L1879" s="6">
        <v>0</v>
      </c>
      <c r="M1879" s="6">
        <v>100</v>
      </c>
      <c r="N1879">
        <v>0</v>
      </c>
      <c r="O1879" s="6">
        <v>0</v>
      </c>
      <c r="P1879">
        <v>0</v>
      </c>
      <c r="Q1879" s="8">
        <v>197.68</v>
      </c>
      <c r="R1879" s="8">
        <v>197.68</v>
      </c>
      <c r="S1879" s="9" t="s">
        <v>543</v>
      </c>
    </row>
    <row r="1880" spans="1:19" hidden="1" x14ac:dyDescent="0.25">
      <c r="A1880" t="s">
        <v>134</v>
      </c>
      <c r="B1880" t="s">
        <v>77</v>
      </c>
      <c r="C1880" t="s">
        <v>126</v>
      </c>
      <c r="D1880" t="s">
        <v>589</v>
      </c>
      <c r="E1880" t="s">
        <v>94</v>
      </c>
      <c r="F1880" t="s">
        <v>96</v>
      </c>
      <c r="G1880">
        <v>4</v>
      </c>
      <c r="H1880">
        <v>8</v>
      </c>
      <c r="I1880">
        <v>8</v>
      </c>
      <c r="J1880">
        <v>8</v>
      </c>
      <c r="K1880" s="6">
        <v>100</v>
      </c>
      <c r="L1880" s="6">
        <v>0</v>
      </c>
      <c r="M1880" s="6">
        <v>100</v>
      </c>
      <c r="N1880">
        <v>0</v>
      </c>
      <c r="O1880" s="6">
        <v>0</v>
      </c>
      <c r="P1880">
        <v>0</v>
      </c>
      <c r="Q1880" s="8">
        <v>197.68</v>
      </c>
      <c r="R1880" s="8">
        <v>197.68</v>
      </c>
      <c r="S1880" s="9" t="s">
        <v>544</v>
      </c>
    </row>
    <row r="1881" spans="1:19" hidden="1" x14ac:dyDescent="0.25">
      <c r="A1881" t="s">
        <v>134</v>
      </c>
      <c r="B1881" t="s">
        <v>77</v>
      </c>
      <c r="C1881" t="s">
        <v>126</v>
      </c>
      <c r="D1881" t="s">
        <v>589</v>
      </c>
      <c r="E1881" t="s">
        <v>94</v>
      </c>
      <c r="F1881" t="s">
        <v>6</v>
      </c>
      <c r="G1881">
        <v>11</v>
      </c>
      <c r="H1881">
        <v>8</v>
      </c>
      <c r="I1881">
        <v>8</v>
      </c>
      <c r="J1881">
        <v>8</v>
      </c>
      <c r="K1881" s="6">
        <v>100</v>
      </c>
      <c r="L1881" s="6">
        <v>0</v>
      </c>
      <c r="M1881" s="6">
        <v>100</v>
      </c>
      <c r="N1881">
        <v>0</v>
      </c>
      <c r="O1881" s="6">
        <v>0</v>
      </c>
      <c r="P1881">
        <v>0</v>
      </c>
      <c r="Q1881" s="8">
        <v>197.68</v>
      </c>
      <c r="R1881" s="8">
        <v>197.68</v>
      </c>
      <c r="S1881" s="9" t="s">
        <v>544</v>
      </c>
    </row>
    <row r="1882" spans="1:19" hidden="1" x14ac:dyDescent="0.25">
      <c r="A1882" t="s">
        <v>134</v>
      </c>
      <c r="B1882" t="s">
        <v>77</v>
      </c>
      <c r="C1882" t="s">
        <v>126</v>
      </c>
      <c r="D1882" t="s">
        <v>590</v>
      </c>
      <c r="E1882" t="s">
        <v>94</v>
      </c>
      <c r="F1882" t="s">
        <v>94</v>
      </c>
      <c r="G1882">
        <v>0</v>
      </c>
      <c r="H1882">
        <v>2</v>
      </c>
      <c r="I1882">
        <v>2</v>
      </c>
      <c r="J1882">
        <v>2</v>
      </c>
      <c r="K1882" s="6">
        <v>100</v>
      </c>
      <c r="L1882" s="6">
        <v>0</v>
      </c>
      <c r="M1882" s="6">
        <v>100</v>
      </c>
      <c r="N1882">
        <v>0</v>
      </c>
      <c r="O1882" s="6">
        <v>0</v>
      </c>
      <c r="P1882">
        <v>0</v>
      </c>
      <c r="Q1882" s="8">
        <v>191.18</v>
      </c>
      <c r="R1882" s="8">
        <v>191.18</v>
      </c>
      <c r="S1882" s="9" t="s">
        <v>536</v>
      </c>
    </row>
    <row r="1883" spans="1:19" hidden="1" x14ac:dyDescent="0.25">
      <c r="A1883" t="s">
        <v>134</v>
      </c>
      <c r="B1883" t="s">
        <v>77</v>
      </c>
      <c r="C1883" t="s">
        <v>126</v>
      </c>
      <c r="D1883" t="s">
        <v>590</v>
      </c>
      <c r="E1883" t="s">
        <v>94</v>
      </c>
      <c r="F1883" t="s">
        <v>96</v>
      </c>
      <c r="G1883">
        <v>4</v>
      </c>
      <c r="H1883">
        <v>2</v>
      </c>
      <c r="I1883">
        <v>2</v>
      </c>
      <c r="J1883">
        <v>2</v>
      </c>
      <c r="K1883" s="6">
        <v>100</v>
      </c>
      <c r="L1883" s="6">
        <v>0</v>
      </c>
      <c r="M1883" s="6">
        <v>100</v>
      </c>
      <c r="N1883">
        <v>0</v>
      </c>
      <c r="O1883" s="6">
        <v>0</v>
      </c>
      <c r="P1883">
        <v>0</v>
      </c>
      <c r="Q1883" s="8">
        <v>191.18</v>
      </c>
      <c r="R1883" s="8">
        <v>191.18</v>
      </c>
      <c r="S1883" s="9" t="s">
        <v>537</v>
      </c>
    </row>
    <row r="1884" spans="1:19" hidden="1" x14ac:dyDescent="0.25">
      <c r="A1884" t="s">
        <v>134</v>
      </c>
      <c r="B1884" t="s">
        <v>77</v>
      </c>
      <c r="C1884" t="s">
        <v>126</v>
      </c>
      <c r="D1884" t="s">
        <v>590</v>
      </c>
      <c r="E1884" t="s">
        <v>94</v>
      </c>
      <c r="F1884" t="s">
        <v>6</v>
      </c>
      <c r="G1884">
        <v>11</v>
      </c>
      <c r="H1884">
        <v>2</v>
      </c>
      <c r="I1884">
        <v>2</v>
      </c>
      <c r="J1884">
        <v>2</v>
      </c>
      <c r="K1884" s="6">
        <v>100</v>
      </c>
      <c r="L1884" s="6">
        <v>0</v>
      </c>
      <c r="M1884" s="6">
        <v>100</v>
      </c>
      <c r="N1884">
        <v>0</v>
      </c>
      <c r="O1884" s="6">
        <v>0</v>
      </c>
      <c r="P1884">
        <v>0</v>
      </c>
      <c r="Q1884" s="8">
        <v>191.18</v>
      </c>
      <c r="R1884" s="8">
        <v>191.18</v>
      </c>
      <c r="S1884" s="9" t="s">
        <v>537</v>
      </c>
    </row>
    <row r="1885" spans="1:19" hidden="1" x14ac:dyDescent="0.25">
      <c r="A1885" t="s">
        <v>134</v>
      </c>
      <c r="B1885" t="s">
        <v>77</v>
      </c>
      <c r="C1885" t="s">
        <v>127</v>
      </c>
      <c r="D1885" t="s">
        <v>539</v>
      </c>
      <c r="E1885" t="s">
        <v>91</v>
      </c>
      <c r="F1885" t="s">
        <v>91</v>
      </c>
      <c r="G1885">
        <v>0</v>
      </c>
      <c r="H1885">
        <v>2</v>
      </c>
      <c r="I1885">
        <v>2</v>
      </c>
      <c r="J1885">
        <v>2</v>
      </c>
      <c r="K1885" s="6">
        <v>100</v>
      </c>
      <c r="L1885" s="6">
        <v>0</v>
      </c>
      <c r="M1885" s="6">
        <v>100</v>
      </c>
      <c r="N1885">
        <v>0</v>
      </c>
      <c r="O1885" s="6">
        <v>0</v>
      </c>
      <c r="P1885">
        <v>0</v>
      </c>
      <c r="Q1885" s="8">
        <v>144.91</v>
      </c>
      <c r="R1885" s="8">
        <v>144.91</v>
      </c>
      <c r="S1885" s="9" t="s">
        <v>536</v>
      </c>
    </row>
    <row r="1886" spans="1:19" hidden="1" x14ac:dyDescent="0.25">
      <c r="A1886" t="s">
        <v>134</v>
      </c>
      <c r="B1886" t="s">
        <v>77</v>
      </c>
      <c r="C1886" t="s">
        <v>127</v>
      </c>
      <c r="D1886" t="s">
        <v>539</v>
      </c>
      <c r="E1886" t="s">
        <v>91</v>
      </c>
      <c r="F1886" t="s">
        <v>94</v>
      </c>
      <c r="G1886">
        <v>1</v>
      </c>
      <c r="H1886">
        <v>2</v>
      </c>
      <c r="I1886">
        <v>2</v>
      </c>
      <c r="J1886">
        <v>2</v>
      </c>
      <c r="K1886" s="6">
        <v>95.97</v>
      </c>
      <c r="L1886" s="6">
        <v>-4.6500000000000004</v>
      </c>
      <c r="M1886" s="6">
        <v>95.97</v>
      </c>
      <c r="N1886">
        <v>0</v>
      </c>
      <c r="O1886" s="6">
        <v>0</v>
      </c>
      <c r="P1886">
        <v>0</v>
      </c>
      <c r="Q1886" s="8">
        <v>144.91</v>
      </c>
      <c r="R1886" s="8">
        <v>139.07</v>
      </c>
      <c r="S1886" s="9" t="s">
        <v>537</v>
      </c>
    </row>
    <row r="1887" spans="1:19" hidden="1" x14ac:dyDescent="0.25">
      <c r="A1887" t="s">
        <v>134</v>
      </c>
      <c r="B1887" t="s">
        <v>77</v>
      </c>
      <c r="C1887" t="s">
        <v>127</v>
      </c>
      <c r="D1887" t="s">
        <v>539</v>
      </c>
      <c r="E1887" t="s">
        <v>91</v>
      </c>
      <c r="F1887" t="s">
        <v>96</v>
      </c>
      <c r="G1887">
        <v>5</v>
      </c>
      <c r="H1887">
        <v>2</v>
      </c>
      <c r="I1887">
        <v>2</v>
      </c>
      <c r="J1887">
        <v>2</v>
      </c>
      <c r="K1887" s="6">
        <v>95.97</v>
      </c>
      <c r="L1887" s="6">
        <v>-4.6500000000000004</v>
      </c>
      <c r="M1887" s="6">
        <v>95.97</v>
      </c>
      <c r="N1887">
        <v>0</v>
      </c>
      <c r="O1887" s="6">
        <v>0</v>
      </c>
      <c r="P1887">
        <v>0</v>
      </c>
      <c r="Q1887" s="8">
        <v>144.91</v>
      </c>
      <c r="R1887" s="8">
        <v>139.07</v>
      </c>
      <c r="S1887" s="9" t="s">
        <v>537</v>
      </c>
    </row>
    <row r="1888" spans="1:19" hidden="1" x14ac:dyDescent="0.25">
      <c r="A1888" t="s">
        <v>134</v>
      </c>
      <c r="B1888" t="s">
        <v>77</v>
      </c>
      <c r="C1888" t="s">
        <v>127</v>
      </c>
      <c r="D1888" t="s">
        <v>539</v>
      </c>
      <c r="E1888" t="s">
        <v>91</v>
      </c>
      <c r="F1888" t="s">
        <v>6</v>
      </c>
      <c r="G1888">
        <v>12</v>
      </c>
      <c r="H1888">
        <v>2</v>
      </c>
      <c r="I1888">
        <v>2</v>
      </c>
      <c r="J1888">
        <v>2</v>
      </c>
      <c r="K1888" s="6">
        <v>95.74</v>
      </c>
      <c r="L1888" s="6">
        <v>-5.22</v>
      </c>
      <c r="M1888" s="6">
        <v>95.74</v>
      </c>
      <c r="N1888">
        <v>0</v>
      </c>
      <c r="O1888" s="6">
        <v>0</v>
      </c>
      <c r="P1888">
        <v>0</v>
      </c>
      <c r="Q1888" s="8">
        <v>144.91</v>
      </c>
      <c r="R1888" s="8">
        <v>138.74</v>
      </c>
      <c r="S1888" s="9" t="s">
        <v>537</v>
      </c>
    </row>
    <row r="1889" spans="1:19" hidden="1" x14ac:dyDescent="0.25">
      <c r="A1889" t="s">
        <v>134</v>
      </c>
      <c r="B1889" t="s">
        <v>77</v>
      </c>
      <c r="C1889" t="s">
        <v>127</v>
      </c>
      <c r="D1889" t="s">
        <v>524</v>
      </c>
      <c r="E1889" t="s">
        <v>90</v>
      </c>
      <c r="F1889" t="s">
        <v>90</v>
      </c>
      <c r="G1889">
        <v>0</v>
      </c>
      <c r="H1889">
        <v>1</v>
      </c>
      <c r="I1889">
        <v>1</v>
      </c>
      <c r="J1889">
        <v>1</v>
      </c>
      <c r="K1889" s="6">
        <v>100</v>
      </c>
      <c r="L1889" s="6">
        <v>0</v>
      </c>
      <c r="M1889" s="6">
        <v>100</v>
      </c>
      <c r="N1889">
        <v>0</v>
      </c>
      <c r="O1889" s="6">
        <v>0</v>
      </c>
      <c r="P1889">
        <v>0</v>
      </c>
      <c r="Q1889" s="8">
        <v>157.9</v>
      </c>
      <c r="R1889" s="8">
        <v>157.9</v>
      </c>
      <c r="S1889" s="9" t="s">
        <v>540</v>
      </c>
    </row>
    <row r="1890" spans="1:19" hidden="1" x14ac:dyDescent="0.25">
      <c r="A1890" t="s">
        <v>134</v>
      </c>
      <c r="B1890" t="s">
        <v>77</v>
      </c>
      <c r="C1890" t="s">
        <v>127</v>
      </c>
      <c r="D1890" t="s">
        <v>524</v>
      </c>
      <c r="E1890" t="s">
        <v>90</v>
      </c>
      <c r="F1890" t="s">
        <v>91</v>
      </c>
      <c r="G1890">
        <v>1</v>
      </c>
      <c r="H1890">
        <v>1</v>
      </c>
      <c r="I1890">
        <v>1</v>
      </c>
      <c r="J1890">
        <v>1</v>
      </c>
      <c r="K1890" s="6">
        <v>100</v>
      </c>
      <c r="L1890" s="6">
        <v>0</v>
      </c>
      <c r="M1890" s="6">
        <v>100</v>
      </c>
      <c r="N1890">
        <v>0</v>
      </c>
      <c r="O1890" s="6">
        <v>0</v>
      </c>
      <c r="P1890">
        <v>0</v>
      </c>
      <c r="Q1890" s="8">
        <v>157.9</v>
      </c>
      <c r="R1890" s="8">
        <v>157.9</v>
      </c>
      <c r="S1890" s="9" t="s">
        <v>541</v>
      </c>
    </row>
    <row r="1891" spans="1:19" hidden="1" x14ac:dyDescent="0.25">
      <c r="A1891" t="s">
        <v>134</v>
      </c>
      <c r="B1891" t="s">
        <v>77</v>
      </c>
      <c r="C1891" t="s">
        <v>127</v>
      </c>
      <c r="D1891" t="s">
        <v>524</v>
      </c>
      <c r="E1891" t="s">
        <v>90</v>
      </c>
      <c r="F1891" t="s">
        <v>94</v>
      </c>
      <c r="G1891">
        <v>2</v>
      </c>
      <c r="H1891">
        <v>1</v>
      </c>
      <c r="I1891">
        <v>1</v>
      </c>
      <c r="J1891">
        <v>1</v>
      </c>
      <c r="K1891" s="6">
        <v>100</v>
      </c>
      <c r="L1891" s="6">
        <v>0</v>
      </c>
      <c r="M1891" s="6">
        <v>100</v>
      </c>
      <c r="N1891">
        <v>0</v>
      </c>
      <c r="O1891" s="6">
        <v>0</v>
      </c>
      <c r="P1891">
        <v>0</v>
      </c>
      <c r="Q1891" s="8">
        <v>157.9</v>
      </c>
      <c r="R1891" s="8">
        <v>157.9</v>
      </c>
      <c r="S1891" s="9" t="s">
        <v>541</v>
      </c>
    </row>
    <row r="1892" spans="1:19" hidden="1" x14ac:dyDescent="0.25">
      <c r="A1892" t="s">
        <v>134</v>
      </c>
      <c r="B1892" t="s">
        <v>77</v>
      </c>
      <c r="C1892" t="s">
        <v>127</v>
      </c>
      <c r="D1892" t="s">
        <v>524</v>
      </c>
      <c r="E1892" t="s">
        <v>90</v>
      </c>
      <c r="F1892" t="s">
        <v>96</v>
      </c>
      <c r="G1892">
        <v>6</v>
      </c>
      <c r="H1892">
        <v>1</v>
      </c>
      <c r="I1892">
        <v>1</v>
      </c>
      <c r="J1892">
        <v>1</v>
      </c>
      <c r="K1892" s="6">
        <v>100</v>
      </c>
      <c r="L1892" s="6">
        <v>0</v>
      </c>
      <c r="M1892" s="6">
        <v>100</v>
      </c>
      <c r="N1892">
        <v>0</v>
      </c>
      <c r="O1892" s="6">
        <v>0</v>
      </c>
      <c r="P1892">
        <v>0</v>
      </c>
      <c r="Q1892" s="8">
        <v>157.9</v>
      </c>
      <c r="R1892" s="8">
        <v>157.9</v>
      </c>
      <c r="S1892" s="9" t="s">
        <v>541</v>
      </c>
    </row>
    <row r="1893" spans="1:19" hidden="1" x14ac:dyDescent="0.25">
      <c r="A1893" t="s">
        <v>134</v>
      </c>
      <c r="B1893" t="s">
        <v>77</v>
      </c>
      <c r="C1893" t="s">
        <v>127</v>
      </c>
      <c r="D1893" t="s">
        <v>524</v>
      </c>
      <c r="E1893" t="s">
        <v>90</v>
      </c>
      <c r="F1893" t="s">
        <v>6</v>
      </c>
      <c r="G1893">
        <v>13</v>
      </c>
      <c r="H1893">
        <v>1</v>
      </c>
      <c r="I1893">
        <v>1</v>
      </c>
      <c r="J1893">
        <v>1</v>
      </c>
      <c r="K1893" s="6">
        <v>100</v>
      </c>
      <c r="L1893" s="6">
        <v>0</v>
      </c>
      <c r="M1893" s="6">
        <v>100</v>
      </c>
      <c r="N1893">
        <v>0</v>
      </c>
      <c r="O1893" s="6">
        <v>0</v>
      </c>
      <c r="P1893">
        <v>0</v>
      </c>
      <c r="Q1893" s="8">
        <v>157.9</v>
      </c>
      <c r="R1893" s="8">
        <v>157.9</v>
      </c>
      <c r="S1893" s="9" t="s">
        <v>541</v>
      </c>
    </row>
    <row r="1894" spans="1:19" hidden="1" x14ac:dyDescent="0.25">
      <c r="A1894" t="s">
        <v>134</v>
      </c>
      <c r="B1894" t="s">
        <v>77</v>
      </c>
      <c r="C1894" t="s">
        <v>127</v>
      </c>
      <c r="D1894" t="s">
        <v>530</v>
      </c>
      <c r="E1894" t="s">
        <v>90</v>
      </c>
      <c r="F1894" t="s">
        <v>90</v>
      </c>
      <c r="G1894">
        <v>0</v>
      </c>
      <c r="H1894">
        <v>3</v>
      </c>
      <c r="I1894">
        <v>3</v>
      </c>
      <c r="J1894">
        <v>3</v>
      </c>
      <c r="K1894" s="6">
        <v>100</v>
      </c>
      <c r="L1894" s="6">
        <v>0</v>
      </c>
      <c r="M1894" s="6">
        <v>100</v>
      </c>
      <c r="N1894">
        <v>0</v>
      </c>
      <c r="O1894" s="6">
        <v>0</v>
      </c>
      <c r="P1894">
        <v>0</v>
      </c>
      <c r="Q1894" s="8">
        <v>272.79000000000002</v>
      </c>
      <c r="R1894" s="8">
        <v>272.79000000000002</v>
      </c>
      <c r="S1894" s="9" t="s">
        <v>525</v>
      </c>
    </row>
    <row r="1895" spans="1:19" hidden="1" x14ac:dyDescent="0.25">
      <c r="A1895" t="s">
        <v>134</v>
      </c>
      <c r="B1895" t="s">
        <v>77</v>
      </c>
      <c r="C1895" t="s">
        <v>127</v>
      </c>
      <c r="D1895" t="s">
        <v>530</v>
      </c>
      <c r="E1895" t="s">
        <v>90</v>
      </c>
      <c r="F1895" t="s">
        <v>91</v>
      </c>
      <c r="G1895">
        <v>1</v>
      </c>
      <c r="H1895">
        <v>3</v>
      </c>
      <c r="I1895">
        <v>3</v>
      </c>
      <c r="J1895">
        <v>3</v>
      </c>
      <c r="K1895" s="6">
        <v>100</v>
      </c>
      <c r="L1895" s="6">
        <v>0</v>
      </c>
      <c r="M1895" s="6">
        <v>100</v>
      </c>
      <c r="N1895">
        <v>0</v>
      </c>
      <c r="O1895" s="6">
        <v>0</v>
      </c>
      <c r="P1895">
        <v>0</v>
      </c>
      <c r="Q1895" s="8">
        <v>272.79000000000002</v>
      </c>
      <c r="R1895" s="8">
        <v>272.79000000000002</v>
      </c>
      <c r="S1895" s="9" t="s">
        <v>526</v>
      </c>
    </row>
    <row r="1896" spans="1:19" hidden="1" x14ac:dyDescent="0.25">
      <c r="A1896" t="s">
        <v>134</v>
      </c>
      <c r="B1896" t="s">
        <v>77</v>
      </c>
      <c r="C1896" t="s">
        <v>127</v>
      </c>
      <c r="D1896" t="s">
        <v>530</v>
      </c>
      <c r="E1896" t="s">
        <v>90</v>
      </c>
      <c r="F1896" t="s">
        <v>94</v>
      </c>
      <c r="G1896">
        <v>2</v>
      </c>
      <c r="H1896">
        <v>3</v>
      </c>
      <c r="I1896">
        <v>3</v>
      </c>
      <c r="J1896">
        <v>3</v>
      </c>
      <c r="K1896" s="6">
        <v>100</v>
      </c>
      <c r="L1896" s="6">
        <v>0</v>
      </c>
      <c r="M1896" s="6">
        <v>100</v>
      </c>
      <c r="N1896">
        <v>0</v>
      </c>
      <c r="O1896" s="6">
        <v>0</v>
      </c>
      <c r="P1896">
        <v>0</v>
      </c>
      <c r="Q1896" s="8">
        <v>272.79000000000002</v>
      </c>
      <c r="R1896" s="8">
        <v>272.79000000000002</v>
      </c>
      <c r="S1896" s="9" t="s">
        <v>526</v>
      </c>
    </row>
    <row r="1897" spans="1:19" hidden="1" x14ac:dyDescent="0.25">
      <c r="A1897" t="s">
        <v>134</v>
      </c>
      <c r="B1897" t="s">
        <v>77</v>
      </c>
      <c r="C1897" t="s">
        <v>127</v>
      </c>
      <c r="D1897" t="s">
        <v>530</v>
      </c>
      <c r="E1897" t="s">
        <v>90</v>
      </c>
      <c r="F1897" t="s">
        <v>96</v>
      </c>
      <c r="G1897">
        <v>6</v>
      </c>
      <c r="H1897">
        <v>3</v>
      </c>
      <c r="I1897">
        <v>3</v>
      </c>
      <c r="J1897">
        <v>3</v>
      </c>
      <c r="K1897" s="6">
        <v>100</v>
      </c>
      <c r="L1897" s="6">
        <v>0</v>
      </c>
      <c r="M1897" s="6">
        <v>100</v>
      </c>
      <c r="N1897">
        <v>0</v>
      </c>
      <c r="O1897" s="6">
        <v>0</v>
      </c>
      <c r="P1897">
        <v>0</v>
      </c>
      <c r="Q1897" s="8">
        <v>272.79000000000002</v>
      </c>
      <c r="R1897" s="8">
        <v>272.79000000000002</v>
      </c>
      <c r="S1897" s="9" t="s">
        <v>526</v>
      </c>
    </row>
    <row r="1898" spans="1:19" hidden="1" x14ac:dyDescent="0.25">
      <c r="A1898" t="s">
        <v>134</v>
      </c>
      <c r="B1898" t="s">
        <v>77</v>
      </c>
      <c r="C1898" t="s">
        <v>127</v>
      </c>
      <c r="D1898" t="s">
        <v>530</v>
      </c>
      <c r="E1898" t="s">
        <v>90</v>
      </c>
      <c r="F1898" t="s">
        <v>6</v>
      </c>
      <c r="G1898">
        <v>13</v>
      </c>
      <c r="H1898">
        <v>3</v>
      </c>
      <c r="I1898">
        <v>2</v>
      </c>
      <c r="J1898">
        <v>2</v>
      </c>
      <c r="K1898" s="6">
        <v>100</v>
      </c>
      <c r="L1898" s="6">
        <v>0</v>
      </c>
      <c r="M1898" s="6">
        <v>92.65</v>
      </c>
      <c r="N1898">
        <v>-7.35</v>
      </c>
      <c r="O1898" s="6">
        <v>33.299999999999997</v>
      </c>
      <c r="P1898">
        <v>0</v>
      </c>
      <c r="Q1898" s="8">
        <v>252.74</v>
      </c>
      <c r="R1898" s="8">
        <v>252.74</v>
      </c>
      <c r="S1898" s="9" t="s">
        <v>537</v>
      </c>
    </row>
    <row r="1899" spans="1:19" hidden="1" x14ac:dyDescent="0.25">
      <c r="A1899" t="s">
        <v>134</v>
      </c>
      <c r="B1899" t="s">
        <v>77</v>
      </c>
      <c r="C1899" t="s">
        <v>127</v>
      </c>
      <c r="D1899" t="s">
        <v>531</v>
      </c>
      <c r="E1899" t="s">
        <v>90</v>
      </c>
      <c r="F1899" t="s">
        <v>90</v>
      </c>
      <c r="G1899">
        <v>0</v>
      </c>
      <c r="H1899">
        <v>4</v>
      </c>
      <c r="I1899">
        <v>4</v>
      </c>
      <c r="J1899">
        <v>4</v>
      </c>
      <c r="K1899" s="6">
        <v>100</v>
      </c>
      <c r="L1899" s="6">
        <v>0</v>
      </c>
      <c r="M1899" s="6">
        <v>100</v>
      </c>
      <c r="N1899">
        <v>0</v>
      </c>
      <c r="O1899" s="6">
        <v>0</v>
      </c>
      <c r="P1899">
        <v>0</v>
      </c>
      <c r="Q1899" s="8">
        <v>267.14999999999998</v>
      </c>
      <c r="R1899" s="8">
        <v>267.14999999999998</v>
      </c>
      <c r="S1899" s="9" t="s">
        <v>605</v>
      </c>
    </row>
    <row r="1900" spans="1:19" hidden="1" x14ac:dyDescent="0.25">
      <c r="A1900" t="s">
        <v>134</v>
      </c>
      <c r="B1900" t="s">
        <v>77</v>
      </c>
      <c r="C1900" t="s">
        <v>127</v>
      </c>
      <c r="D1900" t="s">
        <v>531</v>
      </c>
      <c r="E1900" t="s">
        <v>90</v>
      </c>
      <c r="F1900" t="s">
        <v>91</v>
      </c>
      <c r="G1900">
        <v>1</v>
      </c>
      <c r="H1900">
        <v>4</v>
      </c>
      <c r="I1900">
        <v>4</v>
      </c>
      <c r="J1900">
        <v>4</v>
      </c>
      <c r="K1900" s="6">
        <v>100</v>
      </c>
      <c r="L1900" s="6">
        <v>0</v>
      </c>
      <c r="M1900" s="6">
        <v>100</v>
      </c>
      <c r="N1900">
        <v>0</v>
      </c>
      <c r="O1900" s="6">
        <v>0</v>
      </c>
      <c r="P1900">
        <v>0</v>
      </c>
      <c r="Q1900" s="8">
        <v>267.14999999999998</v>
      </c>
      <c r="R1900" s="8">
        <v>267.14999999999998</v>
      </c>
      <c r="S1900" s="9" t="s">
        <v>548</v>
      </c>
    </row>
    <row r="1901" spans="1:19" hidden="1" x14ac:dyDescent="0.25">
      <c r="A1901" t="s">
        <v>134</v>
      </c>
      <c r="B1901" t="s">
        <v>77</v>
      </c>
      <c r="C1901" t="s">
        <v>127</v>
      </c>
      <c r="D1901" t="s">
        <v>531</v>
      </c>
      <c r="E1901" t="s">
        <v>90</v>
      </c>
      <c r="F1901" t="s">
        <v>94</v>
      </c>
      <c r="G1901">
        <v>2</v>
      </c>
      <c r="H1901">
        <v>4</v>
      </c>
      <c r="I1901">
        <v>3</v>
      </c>
      <c r="J1901">
        <v>3</v>
      </c>
      <c r="K1901" s="6">
        <v>100</v>
      </c>
      <c r="L1901" s="6">
        <v>0</v>
      </c>
      <c r="M1901" s="6">
        <v>107.3</v>
      </c>
      <c r="N1901">
        <v>7.3</v>
      </c>
      <c r="O1901" s="6">
        <v>25</v>
      </c>
      <c r="P1901">
        <v>0</v>
      </c>
      <c r="Q1901" s="8">
        <v>286.66000000000003</v>
      </c>
      <c r="R1901" s="8">
        <v>286.66000000000003</v>
      </c>
      <c r="S1901" s="9" t="s">
        <v>526</v>
      </c>
    </row>
    <row r="1902" spans="1:19" hidden="1" x14ac:dyDescent="0.25">
      <c r="A1902" t="s">
        <v>134</v>
      </c>
      <c r="B1902" t="s">
        <v>77</v>
      </c>
      <c r="C1902" t="s">
        <v>127</v>
      </c>
      <c r="D1902" t="s">
        <v>531</v>
      </c>
      <c r="E1902" t="s">
        <v>90</v>
      </c>
      <c r="F1902" t="s">
        <v>96</v>
      </c>
      <c r="G1902">
        <v>6</v>
      </c>
      <c r="H1902">
        <v>4</v>
      </c>
      <c r="I1902">
        <v>4</v>
      </c>
      <c r="J1902">
        <v>3</v>
      </c>
      <c r="K1902" s="6">
        <v>101.28</v>
      </c>
      <c r="L1902" s="6">
        <v>0</v>
      </c>
      <c r="M1902" s="6">
        <v>111.16</v>
      </c>
      <c r="N1902">
        <v>9.8800000000000008</v>
      </c>
      <c r="O1902" s="6">
        <v>25</v>
      </c>
      <c r="P1902">
        <v>1</v>
      </c>
      <c r="Q1902" s="8">
        <v>286.66000000000003</v>
      </c>
      <c r="R1902" s="8">
        <v>290.33</v>
      </c>
      <c r="S1902" s="9" t="s">
        <v>526</v>
      </c>
    </row>
    <row r="1903" spans="1:19" hidden="1" x14ac:dyDescent="0.25">
      <c r="A1903" t="s">
        <v>134</v>
      </c>
      <c r="B1903" t="s">
        <v>77</v>
      </c>
      <c r="C1903" t="s">
        <v>127</v>
      </c>
      <c r="D1903" t="s">
        <v>531</v>
      </c>
      <c r="E1903" t="s">
        <v>90</v>
      </c>
      <c r="F1903" t="s">
        <v>6</v>
      </c>
      <c r="G1903">
        <v>13</v>
      </c>
      <c r="H1903">
        <v>4</v>
      </c>
      <c r="I1903">
        <v>4</v>
      </c>
      <c r="J1903">
        <v>3</v>
      </c>
      <c r="K1903" s="6">
        <v>101.16</v>
      </c>
      <c r="L1903" s="6">
        <v>0</v>
      </c>
      <c r="M1903" s="6">
        <v>111.07</v>
      </c>
      <c r="N1903">
        <v>9.91</v>
      </c>
      <c r="O1903" s="6">
        <v>25</v>
      </c>
      <c r="P1903">
        <v>1</v>
      </c>
      <c r="Q1903" s="8">
        <v>286.66000000000003</v>
      </c>
      <c r="R1903" s="8">
        <v>289.99</v>
      </c>
      <c r="S1903" s="9" t="s">
        <v>526</v>
      </c>
    </row>
    <row r="1904" spans="1:19" hidden="1" x14ac:dyDescent="0.25">
      <c r="A1904" t="s">
        <v>134</v>
      </c>
      <c r="B1904" t="s">
        <v>77</v>
      </c>
      <c r="C1904" t="s">
        <v>127</v>
      </c>
      <c r="D1904" t="s">
        <v>532</v>
      </c>
      <c r="E1904" t="s">
        <v>90</v>
      </c>
      <c r="F1904" t="s">
        <v>90</v>
      </c>
      <c r="G1904">
        <v>0</v>
      </c>
      <c r="H1904">
        <v>3</v>
      </c>
      <c r="I1904">
        <v>3</v>
      </c>
      <c r="J1904">
        <v>3</v>
      </c>
      <c r="K1904" s="6">
        <v>100</v>
      </c>
      <c r="L1904" s="6">
        <v>0</v>
      </c>
      <c r="M1904" s="6">
        <v>100</v>
      </c>
      <c r="N1904">
        <v>0</v>
      </c>
      <c r="O1904" s="6">
        <v>0</v>
      </c>
      <c r="P1904">
        <v>0</v>
      </c>
      <c r="Q1904" s="8">
        <v>262.12</v>
      </c>
      <c r="R1904" s="8">
        <v>262.12</v>
      </c>
      <c r="S1904" s="9" t="s">
        <v>525</v>
      </c>
    </row>
    <row r="1905" spans="1:19" hidden="1" x14ac:dyDescent="0.25">
      <c r="A1905" t="s">
        <v>134</v>
      </c>
      <c r="B1905" t="s">
        <v>77</v>
      </c>
      <c r="C1905" t="s">
        <v>127</v>
      </c>
      <c r="D1905" t="s">
        <v>532</v>
      </c>
      <c r="E1905" t="s">
        <v>90</v>
      </c>
      <c r="F1905" t="s">
        <v>91</v>
      </c>
      <c r="G1905">
        <v>1</v>
      </c>
      <c r="H1905">
        <v>3</v>
      </c>
      <c r="I1905">
        <v>3</v>
      </c>
      <c r="J1905">
        <v>3</v>
      </c>
      <c r="K1905" s="6">
        <v>100</v>
      </c>
      <c r="L1905" s="6">
        <v>0</v>
      </c>
      <c r="M1905" s="6">
        <v>100</v>
      </c>
      <c r="N1905">
        <v>0</v>
      </c>
      <c r="O1905" s="6">
        <v>0</v>
      </c>
      <c r="P1905">
        <v>0</v>
      </c>
      <c r="Q1905" s="8">
        <v>262.12</v>
      </c>
      <c r="R1905" s="8">
        <v>262.12</v>
      </c>
      <c r="S1905" s="9" t="s">
        <v>526</v>
      </c>
    </row>
    <row r="1906" spans="1:19" hidden="1" x14ac:dyDescent="0.25">
      <c r="A1906" t="s">
        <v>134</v>
      </c>
      <c r="B1906" t="s">
        <v>77</v>
      </c>
      <c r="C1906" t="s">
        <v>127</v>
      </c>
      <c r="D1906" t="s">
        <v>532</v>
      </c>
      <c r="E1906" t="s">
        <v>90</v>
      </c>
      <c r="F1906" t="s">
        <v>94</v>
      </c>
      <c r="G1906">
        <v>2</v>
      </c>
      <c r="H1906">
        <v>3</v>
      </c>
      <c r="I1906">
        <v>3</v>
      </c>
      <c r="J1906">
        <v>3</v>
      </c>
      <c r="K1906" s="6">
        <v>100.28</v>
      </c>
      <c r="L1906" s="6">
        <v>0</v>
      </c>
      <c r="M1906" s="6">
        <v>100.28</v>
      </c>
      <c r="N1906">
        <v>0</v>
      </c>
      <c r="O1906" s="6">
        <v>0</v>
      </c>
      <c r="P1906">
        <v>0</v>
      </c>
      <c r="Q1906" s="8">
        <v>262.12</v>
      </c>
      <c r="R1906" s="8">
        <v>262.86</v>
      </c>
      <c r="S1906" s="9" t="s">
        <v>526</v>
      </c>
    </row>
    <row r="1907" spans="1:19" hidden="1" x14ac:dyDescent="0.25">
      <c r="A1907" t="s">
        <v>134</v>
      </c>
      <c r="B1907" t="s">
        <v>77</v>
      </c>
      <c r="C1907" t="s">
        <v>127</v>
      </c>
      <c r="D1907" t="s">
        <v>532</v>
      </c>
      <c r="E1907" t="s">
        <v>90</v>
      </c>
      <c r="F1907" t="s">
        <v>96</v>
      </c>
      <c r="G1907">
        <v>6</v>
      </c>
      <c r="H1907">
        <v>3</v>
      </c>
      <c r="I1907">
        <v>3</v>
      </c>
      <c r="J1907">
        <v>3</v>
      </c>
      <c r="K1907" s="6">
        <v>100.28</v>
      </c>
      <c r="L1907" s="6">
        <v>0</v>
      </c>
      <c r="M1907" s="6">
        <v>100.28</v>
      </c>
      <c r="N1907">
        <v>0</v>
      </c>
      <c r="O1907" s="6">
        <v>0</v>
      </c>
      <c r="P1907">
        <v>0</v>
      </c>
      <c r="Q1907" s="8">
        <v>262.12</v>
      </c>
      <c r="R1907" s="8">
        <v>262.86</v>
      </c>
      <c r="S1907" s="9" t="s">
        <v>526</v>
      </c>
    </row>
    <row r="1908" spans="1:19" hidden="1" x14ac:dyDescent="0.25">
      <c r="A1908" t="s">
        <v>134</v>
      </c>
      <c r="B1908" t="s">
        <v>77</v>
      </c>
      <c r="C1908" t="s">
        <v>127</v>
      </c>
      <c r="D1908" t="s">
        <v>532</v>
      </c>
      <c r="E1908" t="s">
        <v>90</v>
      </c>
      <c r="F1908" t="s">
        <v>6</v>
      </c>
      <c r="G1908">
        <v>13</v>
      </c>
      <c r="H1908">
        <v>3</v>
      </c>
      <c r="I1908">
        <v>3</v>
      </c>
      <c r="J1908">
        <v>3</v>
      </c>
      <c r="K1908" s="6">
        <v>100.28</v>
      </c>
      <c r="L1908" s="6">
        <v>0</v>
      </c>
      <c r="M1908" s="6">
        <v>100.28</v>
      </c>
      <c r="N1908">
        <v>0</v>
      </c>
      <c r="O1908" s="6">
        <v>0</v>
      </c>
      <c r="P1908">
        <v>0</v>
      </c>
      <c r="Q1908" s="8">
        <v>262.12</v>
      </c>
      <c r="R1908" s="8">
        <v>262.86</v>
      </c>
      <c r="S1908" s="9" t="s">
        <v>526</v>
      </c>
    </row>
    <row r="1909" spans="1:19" hidden="1" x14ac:dyDescent="0.25">
      <c r="A1909" t="s">
        <v>134</v>
      </c>
      <c r="B1909" t="s">
        <v>77</v>
      </c>
      <c r="C1909" t="s">
        <v>127</v>
      </c>
      <c r="D1909" t="s">
        <v>533</v>
      </c>
      <c r="E1909" t="s">
        <v>94</v>
      </c>
      <c r="F1909" t="s">
        <v>94</v>
      </c>
      <c r="G1909">
        <v>0</v>
      </c>
      <c r="H1909">
        <v>1</v>
      </c>
      <c r="I1909">
        <v>1</v>
      </c>
      <c r="J1909">
        <v>1</v>
      </c>
      <c r="K1909" s="6">
        <v>100</v>
      </c>
      <c r="L1909" s="6">
        <v>0</v>
      </c>
      <c r="M1909" s="6">
        <v>100</v>
      </c>
      <c r="N1909">
        <v>0</v>
      </c>
      <c r="O1909" s="6">
        <v>0</v>
      </c>
      <c r="P1909">
        <v>0</v>
      </c>
      <c r="Q1909" s="8">
        <v>399.9</v>
      </c>
      <c r="R1909" s="8">
        <v>399.9</v>
      </c>
      <c r="S1909" s="9" t="s">
        <v>540</v>
      </c>
    </row>
    <row r="1910" spans="1:19" hidden="1" x14ac:dyDescent="0.25">
      <c r="A1910" t="s">
        <v>134</v>
      </c>
      <c r="B1910" t="s">
        <v>77</v>
      </c>
      <c r="C1910" t="s">
        <v>127</v>
      </c>
      <c r="D1910" t="s">
        <v>533</v>
      </c>
      <c r="E1910" t="s">
        <v>94</v>
      </c>
      <c r="F1910" t="s">
        <v>96</v>
      </c>
      <c r="G1910">
        <v>4</v>
      </c>
      <c r="H1910">
        <v>1</v>
      </c>
      <c r="I1910">
        <v>1</v>
      </c>
      <c r="J1910">
        <v>1</v>
      </c>
      <c r="K1910" s="6">
        <v>100</v>
      </c>
      <c r="L1910" s="6">
        <v>0</v>
      </c>
      <c r="M1910" s="6">
        <v>100</v>
      </c>
      <c r="N1910">
        <v>0</v>
      </c>
      <c r="O1910" s="6">
        <v>0</v>
      </c>
      <c r="P1910">
        <v>0</v>
      </c>
      <c r="Q1910" s="8">
        <v>399.9</v>
      </c>
      <c r="R1910" s="8">
        <v>399.9</v>
      </c>
      <c r="S1910" s="9" t="s">
        <v>541</v>
      </c>
    </row>
    <row r="1911" spans="1:19" hidden="1" x14ac:dyDescent="0.25">
      <c r="A1911" t="s">
        <v>134</v>
      </c>
      <c r="B1911" t="s">
        <v>77</v>
      </c>
      <c r="C1911" t="s">
        <v>127</v>
      </c>
      <c r="D1911" t="s">
        <v>533</v>
      </c>
      <c r="E1911" t="s">
        <v>94</v>
      </c>
      <c r="F1911" t="s">
        <v>6</v>
      </c>
      <c r="G1911">
        <v>11</v>
      </c>
      <c r="H1911">
        <v>1</v>
      </c>
      <c r="I1911">
        <v>1</v>
      </c>
      <c r="J1911">
        <v>1</v>
      </c>
      <c r="K1911" s="6">
        <v>101.25</v>
      </c>
      <c r="L1911" s="6">
        <v>1.25</v>
      </c>
      <c r="M1911" s="6">
        <v>101.25</v>
      </c>
      <c r="N1911">
        <v>0</v>
      </c>
      <c r="O1911" s="6">
        <v>0</v>
      </c>
      <c r="P1911">
        <v>0</v>
      </c>
      <c r="Q1911" s="8">
        <v>399.9</v>
      </c>
      <c r="R1911" s="8">
        <v>404.9</v>
      </c>
      <c r="S1911" s="9" t="s">
        <v>541</v>
      </c>
    </row>
    <row r="1912" spans="1:19" hidden="1" x14ac:dyDescent="0.25">
      <c r="A1912" t="s">
        <v>134</v>
      </c>
      <c r="B1912" t="s">
        <v>77</v>
      </c>
      <c r="C1912" t="s">
        <v>127</v>
      </c>
      <c r="D1912" t="s">
        <v>545</v>
      </c>
      <c r="E1912" t="s">
        <v>94</v>
      </c>
      <c r="F1912" t="s">
        <v>94</v>
      </c>
      <c r="G1912">
        <v>0</v>
      </c>
      <c r="H1912">
        <v>1</v>
      </c>
      <c r="I1912">
        <v>1</v>
      </c>
      <c r="J1912">
        <v>1</v>
      </c>
      <c r="K1912" s="6">
        <v>100</v>
      </c>
      <c r="L1912" s="6">
        <v>0</v>
      </c>
      <c r="M1912" s="6">
        <v>100</v>
      </c>
      <c r="N1912">
        <v>0</v>
      </c>
      <c r="O1912" s="6">
        <v>0</v>
      </c>
      <c r="P1912">
        <v>0</v>
      </c>
      <c r="Q1912" s="8">
        <v>298.08999999999997</v>
      </c>
      <c r="R1912" s="8">
        <v>298.08999999999997</v>
      </c>
      <c r="S1912" s="9" t="s">
        <v>540</v>
      </c>
    </row>
    <row r="1913" spans="1:19" hidden="1" x14ac:dyDescent="0.25">
      <c r="A1913" t="s">
        <v>134</v>
      </c>
      <c r="B1913" t="s">
        <v>77</v>
      </c>
      <c r="C1913" t="s">
        <v>127</v>
      </c>
      <c r="D1913" t="s">
        <v>545</v>
      </c>
      <c r="E1913" t="s">
        <v>94</v>
      </c>
      <c r="F1913" t="s">
        <v>96</v>
      </c>
      <c r="G1913">
        <v>4</v>
      </c>
      <c r="H1913">
        <v>1</v>
      </c>
      <c r="I1913">
        <v>1</v>
      </c>
      <c r="J1913">
        <v>1</v>
      </c>
      <c r="K1913" s="6">
        <v>100</v>
      </c>
      <c r="L1913" s="6">
        <v>0</v>
      </c>
      <c r="M1913" s="6">
        <v>100</v>
      </c>
      <c r="N1913">
        <v>0</v>
      </c>
      <c r="O1913" s="6">
        <v>0</v>
      </c>
      <c r="P1913">
        <v>0</v>
      </c>
      <c r="Q1913" s="8">
        <v>298.08999999999997</v>
      </c>
      <c r="R1913" s="8">
        <v>298.08999999999997</v>
      </c>
      <c r="S1913" s="9" t="s">
        <v>541</v>
      </c>
    </row>
    <row r="1914" spans="1:19" hidden="1" x14ac:dyDescent="0.25">
      <c r="A1914" t="s">
        <v>134</v>
      </c>
      <c r="B1914" t="s">
        <v>77</v>
      </c>
      <c r="C1914" t="s">
        <v>127</v>
      </c>
      <c r="D1914" t="s">
        <v>545</v>
      </c>
      <c r="E1914" t="s">
        <v>94</v>
      </c>
      <c r="F1914" t="s">
        <v>6</v>
      </c>
      <c r="G1914">
        <v>11</v>
      </c>
      <c r="H1914">
        <v>1</v>
      </c>
      <c r="I1914">
        <v>1</v>
      </c>
      <c r="J1914">
        <v>1</v>
      </c>
      <c r="K1914" s="6">
        <v>98.17</v>
      </c>
      <c r="L1914" s="6">
        <v>-1.83</v>
      </c>
      <c r="M1914" s="6">
        <v>98.17</v>
      </c>
      <c r="N1914">
        <v>0</v>
      </c>
      <c r="O1914" s="6">
        <v>0</v>
      </c>
      <c r="P1914">
        <v>0</v>
      </c>
      <c r="Q1914" s="8">
        <v>298.08999999999997</v>
      </c>
      <c r="R1914" s="8">
        <v>292.64</v>
      </c>
      <c r="S1914" s="9" t="s">
        <v>541</v>
      </c>
    </row>
    <row r="1915" spans="1:19" hidden="1" x14ac:dyDescent="0.25">
      <c r="A1915" t="s">
        <v>134</v>
      </c>
      <c r="B1915" t="s">
        <v>77</v>
      </c>
      <c r="C1915" t="s">
        <v>127</v>
      </c>
      <c r="D1915" t="s">
        <v>580</v>
      </c>
      <c r="E1915" t="s">
        <v>94</v>
      </c>
      <c r="F1915" t="s">
        <v>94</v>
      </c>
      <c r="G1915">
        <v>0</v>
      </c>
      <c r="H1915">
        <v>2</v>
      </c>
      <c r="I1915">
        <v>2</v>
      </c>
      <c r="J1915">
        <v>2</v>
      </c>
      <c r="K1915" s="6">
        <v>100</v>
      </c>
      <c r="L1915" s="6">
        <v>0</v>
      </c>
      <c r="M1915" s="6">
        <v>100</v>
      </c>
      <c r="N1915">
        <v>0</v>
      </c>
      <c r="O1915" s="6">
        <v>0</v>
      </c>
      <c r="P1915">
        <v>0</v>
      </c>
      <c r="Q1915" s="8">
        <v>191.83</v>
      </c>
      <c r="R1915" s="8">
        <v>191.83</v>
      </c>
      <c r="S1915" s="9" t="s">
        <v>536</v>
      </c>
    </row>
    <row r="1916" spans="1:19" hidden="1" x14ac:dyDescent="0.25">
      <c r="A1916" t="s">
        <v>134</v>
      </c>
      <c r="B1916" t="s">
        <v>77</v>
      </c>
      <c r="C1916" t="s">
        <v>127</v>
      </c>
      <c r="D1916" t="s">
        <v>580</v>
      </c>
      <c r="E1916" t="s">
        <v>94</v>
      </c>
      <c r="F1916" t="s">
        <v>96</v>
      </c>
      <c r="G1916">
        <v>4</v>
      </c>
      <c r="H1916">
        <v>2</v>
      </c>
      <c r="I1916">
        <v>2</v>
      </c>
      <c r="J1916">
        <v>2</v>
      </c>
      <c r="K1916" s="6">
        <v>100</v>
      </c>
      <c r="L1916" s="6">
        <v>0</v>
      </c>
      <c r="M1916" s="6">
        <v>100</v>
      </c>
      <c r="N1916">
        <v>0</v>
      </c>
      <c r="O1916" s="6">
        <v>0</v>
      </c>
      <c r="P1916">
        <v>0</v>
      </c>
      <c r="Q1916" s="8">
        <v>191.83</v>
      </c>
      <c r="R1916" s="8">
        <v>191.83</v>
      </c>
      <c r="S1916" s="9" t="s">
        <v>537</v>
      </c>
    </row>
    <row r="1917" spans="1:19" hidden="1" x14ac:dyDescent="0.25">
      <c r="A1917" t="s">
        <v>134</v>
      </c>
      <c r="B1917" t="s">
        <v>77</v>
      </c>
      <c r="C1917" t="s">
        <v>127</v>
      </c>
      <c r="D1917" t="s">
        <v>580</v>
      </c>
      <c r="E1917" t="s">
        <v>94</v>
      </c>
      <c r="F1917" t="s">
        <v>6</v>
      </c>
      <c r="G1917">
        <v>11</v>
      </c>
      <c r="H1917">
        <v>2</v>
      </c>
      <c r="I1917">
        <v>2</v>
      </c>
      <c r="J1917">
        <v>2</v>
      </c>
      <c r="K1917" s="6">
        <v>100</v>
      </c>
      <c r="L1917" s="6">
        <v>0</v>
      </c>
      <c r="M1917" s="6">
        <v>100</v>
      </c>
      <c r="N1917">
        <v>0</v>
      </c>
      <c r="O1917" s="6">
        <v>0</v>
      </c>
      <c r="P1917">
        <v>0</v>
      </c>
      <c r="Q1917" s="8">
        <v>191.83</v>
      </c>
      <c r="R1917" s="8">
        <v>191.83</v>
      </c>
      <c r="S1917" s="9" t="s">
        <v>537</v>
      </c>
    </row>
    <row r="1918" spans="1:19" hidden="1" x14ac:dyDescent="0.25">
      <c r="A1918" t="s">
        <v>134</v>
      </c>
      <c r="B1918" t="s">
        <v>77</v>
      </c>
      <c r="C1918" t="s">
        <v>127</v>
      </c>
      <c r="D1918" t="s">
        <v>582</v>
      </c>
      <c r="E1918" t="s">
        <v>94</v>
      </c>
      <c r="F1918" t="s">
        <v>94</v>
      </c>
      <c r="G1918">
        <v>0</v>
      </c>
      <c r="H1918">
        <v>6</v>
      </c>
      <c r="I1918">
        <v>6</v>
      </c>
      <c r="J1918">
        <v>6</v>
      </c>
      <c r="K1918" s="6">
        <v>100</v>
      </c>
      <c r="L1918" s="6">
        <v>0</v>
      </c>
      <c r="M1918" s="6">
        <v>100</v>
      </c>
      <c r="N1918">
        <v>0</v>
      </c>
      <c r="O1918" s="6">
        <v>0</v>
      </c>
      <c r="P1918">
        <v>0</v>
      </c>
      <c r="Q1918" s="8">
        <v>225.37</v>
      </c>
      <c r="R1918" s="8">
        <v>225.37</v>
      </c>
      <c r="S1918" s="9" t="s">
        <v>534</v>
      </c>
    </row>
    <row r="1919" spans="1:19" hidden="1" x14ac:dyDescent="0.25">
      <c r="A1919" t="s">
        <v>134</v>
      </c>
      <c r="B1919" t="s">
        <v>77</v>
      </c>
      <c r="C1919" t="s">
        <v>127</v>
      </c>
      <c r="D1919" t="s">
        <v>582</v>
      </c>
      <c r="E1919" t="s">
        <v>94</v>
      </c>
      <c r="F1919" t="s">
        <v>96</v>
      </c>
      <c r="G1919">
        <v>4</v>
      </c>
      <c r="H1919">
        <v>6</v>
      </c>
      <c r="I1919">
        <v>6</v>
      </c>
      <c r="J1919">
        <v>6</v>
      </c>
      <c r="K1919" s="6">
        <v>100</v>
      </c>
      <c r="L1919" s="6">
        <v>0</v>
      </c>
      <c r="M1919" s="6">
        <v>100</v>
      </c>
      <c r="N1919">
        <v>0</v>
      </c>
      <c r="O1919" s="6">
        <v>0</v>
      </c>
      <c r="P1919">
        <v>0</v>
      </c>
      <c r="Q1919" s="8">
        <v>225.37</v>
      </c>
      <c r="R1919" s="8">
        <v>225.37</v>
      </c>
      <c r="S1919" s="9" t="s">
        <v>535</v>
      </c>
    </row>
    <row r="1920" spans="1:19" hidden="1" x14ac:dyDescent="0.25">
      <c r="A1920" t="s">
        <v>134</v>
      </c>
      <c r="B1920" t="s">
        <v>77</v>
      </c>
      <c r="C1920" t="s">
        <v>127</v>
      </c>
      <c r="D1920" t="s">
        <v>582</v>
      </c>
      <c r="E1920" t="s">
        <v>94</v>
      </c>
      <c r="F1920" t="s">
        <v>6</v>
      </c>
      <c r="G1920">
        <v>11</v>
      </c>
      <c r="H1920">
        <v>6</v>
      </c>
      <c r="I1920">
        <v>6</v>
      </c>
      <c r="J1920">
        <v>6</v>
      </c>
      <c r="K1920" s="6">
        <v>100</v>
      </c>
      <c r="L1920" s="6">
        <v>0</v>
      </c>
      <c r="M1920" s="6">
        <v>100</v>
      </c>
      <c r="N1920">
        <v>0</v>
      </c>
      <c r="O1920" s="6">
        <v>0</v>
      </c>
      <c r="P1920">
        <v>0</v>
      </c>
      <c r="Q1920" s="8">
        <v>225.37</v>
      </c>
      <c r="R1920" s="8">
        <v>225.37</v>
      </c>
      <c r="S1920" s="9" t="s">
        <v>535</v>
      </c>
    </row>
    <row r="1921" spans="1:19" hidden="1" x14ac:dyDescent="0.25">
      <c r="A1921" t="s">
        <v>134</v>
      </c>
      <c r="B1921" t="s">
        <v>77</v>
      </c>
      <c r="C1921" t="s">
        <v>127</v>
      </c>
      <c r="D1921" t="s">
        <v>583</v>
      </c>
      <c r="E1921" t="s">
        <v>94</v>
      </c>
      <c r="F1921" t="s">
        <v>94</v>
      </c>
      <c r="G1921">
        <v>0</v>
      </c>
      <c r="H1921">
        <v>9</v>
      </c>
      <c r="I1921">
        <v>9</v>
      </c>
      <c r="J1921">
        <v>9</v>
      </c>
      <c r="K1921" s="6">
        <v>100</v>
      </c>
      <c r="L1921" s="6">
        <v>0</v>
      </c>
      <c r="M1921" s="6">
        <v>100</v>
      </c>
      <c r="N1921">
        <v>0</v>
      </c>
      <c r="O1921" s="6">
        <v>0</v>
      </c>
      <c r="P1921">
        <v>0</v>
      </c>
      <c r="Q1921" s="8">
        <v>251.62</v>
      </c>
      <c r="R1921" s="8">
        <v>251.62</v>
      </c>
      <c r="S1921" s="9" t="s">
        <v>546</v>
      </c>
    </row>
    <row r="1922" spans="1:19" hidden="1" x14ac:dyDescent="0.25">
      <c r="A1922" t="s">
        <v>134</v>
      </c>
      <c r="B1922" t="s">
        <v>77</v>
      </c>
      <c r="C1922" t="s">
        <v>127</v>
      </c>
      <c r="D1922" t="s">
        <v>583</v>
      </c>
      <c r="E1922" t="s">
        <v>94</v>
      </c>
      <c r="F1922" t="s">
        <v>96</v>
      </c>
      <c r="G1922">
        <v>4</v>
      </c>
      <c r="H1922">
        <v>9</v>
      </c>
      <c r="I1922">
        <v>9</v>
      </c>
      <c r="J1922">
        <v>9</v>
      </c>
      <c r="K1922" s="6">
        <v>100</v>
      </c>
      <c r="L1922" s="6">
        <v>0</v>
      </c>
      <c r="M1922" s="6">
        <v>100</v>
      </c>
      <c r="N1922">
        <v>0</v>
      </c>
      <c r="O1922" s="6">
        <v>0</v>
      </c>
      <c r="P1922">
        <v>0</v>
      </c>
      <c r="Q1922" s="8">
        <v>251.62</v>
      </c>
      <c r="R1922" s="8">
        <v>251.62</v>
      </c>
      <c r="S1922" s="9" t="s">
        <v>547</v>
      </c>
    </row>
    <row r="1923" spans="1:19" hidden="1" x14ac:dyDescent="0.25">
      <c r="A1923" t="s">
        <v>134</v>
      </c>
      <c r="B1923" t="s">
        <v>77</v>
      </c>
      <c r="C1923" t="s">
        <v>127</v>
      </c>
      <c r="D1923" t="s">
        <v>583</v>
      </c>
      <c r="E1923" t="s">
        <v>94</v>
      </c>
      <c r="F1923" t="s">
        <v>6</v>
      </c>
      <c r="G1923">
        <v>11</v>
      </c>
      <c r="H1923">
        <v>9</v>
      </c>
      <c r="I1923">
        <v>9</v>
      </c>
      <c r="J1923">
        <v>9</v>
      </c>
      <c r="K1923" s="6">
        <v>100</v>
      </c>
      <c r="L1923" s="6">
        <v>0</v>
      </c>
      <c r="M1923" s="6">
        <v>100</v>
      </c>
      <c r="N1923">
        <v>0</v>
      </c>
      <c r="O1923" s="6">
        <v>0</v>
      </c>
      <c r="P1923">
        <v>0</v>
      </c>
      <c r="Q1923" s="8">
        <v>251.62</v>
      </c>
      <c r="R1923" s="8">
        <v>251.62</v>
      </c>
      <c r="S1923" s="9" t="s">
        <v>547</v>
      </c>
    </row>
    <row r="1924" spans="1:19" hidden="1" x14ac:dyDescent="0.25">
      <c r="A1924" t="s">
        <v>134</v>
      </c>
      <c r="B1924" t="s">
        <v>77</v>
      </c>
      <c r="C1924" t="s">
        <v>127</v>
      </c>
      <c r="D1924" t="s">
        <v>585</v>
      </c>
      <c r="E1924" t="s">
        <v>94</v>
      </c>
      <c r="F1924" t="s">
        <v>94</v>
      </c>
      <c r="G1924">
        <v>0</v>
      </c>
      <c r="H1924">
        <v>10</v>
      </c>
      <c r="I1924">
        <v>10</v>
      </c>
      <c r="J1924">
        <v>10</v>
      </c>
      <c r="K1924" s="6">
        <v>100</v>
      </c>
      <c r="L1924" s="6">
        <v>0</v>
      </c>
      <c r="M1924" s="6">
        <v>100</v>
      </c>
      <c r="N1924">
        <v>0</v>
      </c>
      <c r="O1924" s="6">
        <v>0</v>
      </c>
      <c r="P1924">
        <v>0</v>
      </c>
      <c r="Q1924" s="8">
        <v>259.98</v>
      </c>
      <c r="R1924" s="8">
        <v>259.98</v>
      </c>
      <c r="S1924" s="9" t="s">
        <v>584</v>
      </c>
    </row>
    <row r="1925" spans="1:19" hidden="1" x14ac:dyDescent="0.25">
      <c r="A1925" t="s">
        <v>134</v>
      </c>
      <c r="B1925" t="s">
        <v>77</v>
      </c>
      <c r="C1925" t="s">
        <v>127</v>
      </c>
      <c r="D1925" t="s">
        <v>585</v>
      </c>
      <c r="E1925" t="s">
        <v>94</v>
      </c>
      <c r="F1925" t="s">
        <v>96</v>
      </c>
      <c r="G1925">
        <v>4</v>
      </c>
      <c r="H1925">
        <v>10</v>
      </c>
      <c r="I1925">
        <v>10</v>
      </c>
      <c r="J1925">
        <v>10</v>
      </c>
      <c r="K1925" s="6">
        <v>100</v>
      </c>
      <c r="L1925" s="6">
        <v>0</v>
      </c>
      <c r="M1925" s="6">
        <v>100</v>
      </c>
      <c r="N1925">
        <v>0</v>
      </c>
      <c r="O1925" s="6">
        <v>0</v>
      </c>
      <c r="P1925">
        <v>0</v>
      </c>
      <c r="Q1925" s="8">
        <v>259.98</v>
      </c>
      <c r="R1925" s="8">
        <v>259.98</v>
      </c>
      <c r="S1925" s="10" t="s">
        <v>131</v>
      </c>
    </row>
    <row r="1926" spans="1:19" hidden="1" x14ac:dyDescent="0.25">
      <c r="A1926" t="s">
        <v>134</v>
      </c>
      <c r="B1926" t="s">
        <v>77</v>
      </c>
      <c r="C1926" t="s">
        <v>127</v>
      </c>
      <c r="D1926" t="s">
        <v>585</v>
      </c>
      <c r="E1926" t="s">
        <v>94</v>
      </c>
      <c r="F1926" t="s">
        <v>6</v>
      </c>
      <c r="G1926">
        <v>11</v>
      </c>
      <c r="H1926">
        <v>10</v>
      </c>
      <c r="I1926">
        <v>10</v>
      </c>
      <c r="J1926">
        <v>10</v>
      </c>
      <c r="K1926" s="6">
        <v>100</v>
      </c>
      <c r="L1926" s="6">
        <v>0</v>
      </c>
      <c r="M1926" s="6">
        <v>100</v>
      </c>
      <c r="N1926">
        <v>0</v>
      </c>
      <c r="O1926" s="6">
        <v>0</v>
      </c>
      <c r="P1926">
        <v>0</v>
      </c>
      <c r="Q1926" s="8">
        <v>259.98</v>
      </c>
      <c r="R1926" s="8">
        <v>259.98</v>
      </c>
      <c r="S1926" s="10" t="s">
        <v>131</v>
      </c>
    </row>
    <row r="1927" spans="1:19" hidden="1" x14ac:dyDescent="0.25">
      <c r="A1927" t="s">
        <v>134</v>
      </c>
      <c r="B1927" t="s">
        <v>77</v>
      </c>
      <c r="C1927" t="s">
        <v>127</v>
      </c>
      <c r="D1927" t="s">
        <v>588</v>
      </c>
      <c r="E1927" t="s">
        <v>94</v>
      </c>
      <c r="F1927" t="s">
        <v>94</v>
      </c>
      <c r="G1927">
        <v>0</v>
      </c>
      <c r="H1927">
        <v>10</v>
      </c>
      <c r="I1927">
        <v>10</v>
      </c>
      <c r="J1927">
        <v>10</v>
      </c>
      <c r="K1927" s="6">
        <v>100</v>
      </c>
      <c r="L1927" s="6">
        <v>0</v>
      </c>
      <c r="M1927" s="6">
        <v>100</v>
      </c>
      <c r="N1927">
        <v>0</v>
      </c>
      <c r="O1927" s="6">
        <v>0</v>
      </c>
      <c r="P1927">
        <v>0</v>
      </c>
      <c r="Q1927" s="8">
        <v>252.11</v>
      </c>
      <c r="R1927" s="8">
        <v>252.11</v>
      </c>
      <c r="S1927" s="9" t="s">
        <v>584</v>
      </c>
    </row>
    <row r="1928" spans="1:19" hidden="1" x14ac:dyDescent="0.25">
      <c r="A1928" t="s">
        <v>134</v>
      </c>
      <c r="B1928" t="s">
        <v>77</v>
      </c>
      <c r="C1928" t="s">
        <v>127</v>
      </c>
      <c r="D1928" t="s">
        <v>588</v>
      </c>
      <c r="E1928" t="s">
        <v>94</v>
      </c>
      <c r="F1928" t="s">
        <v>96</v>
      </c>
      <c r="G1928">
        <v>4</v>
      </c>
      <c r="H1928">
        <v>10</v>
      </c>
      <c r="I1928">
        <v>10</v>
      </c>
      <c r="J1928">
        <v>10</v>
      </c>
      <c r="K1928" s="6">
        <v>100</v>
      </c>
      <c r="L1928" s="6">
        <v>0</v>
      </c>
      <c r="M1928" s="6">
        <v>100</v>
      </c>
      <c r="N1928">
        <v>0</v>
      </c>
      <c r="O1928" s="6">
        <v>0</v>
      </c>
      <c r="P1928">
        <v>0</v>
      </c>
      <c r="Q1928" s="8">
        <v>252.11</v>
      </c>
      <c r="R1928" s="8">
        <v>252.11</v>
      </c>
      <c r="S1928" s="10" t="s">
        <v>131</v>
      </c>
    </row>
    <row r="1929" spans="1:19" hidden="1" x14ac:dyDescent="0.25">
      <c r="A1929" t="s">
        <v>134</v>
      </c>
      <c r="B1929" t="s">
        <v>77</v>
      </c>
      <c r="C1929" t="s">
        <v>127</v>
      </c>
      <c r="D1929" t="s">
        <v>588</v>
      </c>
      <c r="E1929" t="s">
        <v>94</v>
      </c>
      <c r="F1929" t="s">
        <v>6</v>
      </c>
      <c r="G1929">
        <v>11</v>
      </c>
      <c r="H1929">
        <v>10</v>
      </c>
      <c r="I1929">
        <v>10</v>
      </c>
      <c r="J1929">
        <v>10</v>
      </c>
      <c r="K1929" s="6">
        <v>100</v>
      </c>
      <c r="L1929" s="6">
        <v>0</v>
      </c>
      <c r="M1929" s="6">
        <v>100</v>
      </c>
      <c r="N1929">
        <v>0</v>
      </c>
      <c r="O1929" s="6">
        <v>0</v>
      </c>
      <c r="P1929">
        <v>0</v>
      </c>
      <c r="Q1929" s="8">
        <v>252.11</v>
      </c>
      <c r="R1929" s="8">
        <v>252.11</v>
      </c>
      <c r="S1929" s="10" t="s">
        <v>131</v>
      </c>
    </row>
    <row r="1930" spans="1:19" hidden="1" x14ac:dyDescent="0.25">
      <c r="A1930" t="s">
        <v>134</v>
      </c>
      <c r="B1930" t="s">
        <v>77</v>
      </c>
      <c r="C1930" t="s">
        <v>127</v>
      </c>
      <c r="D1930" t="s">
        <v>589</v>
      </c>
      <c r="E1930" t="s">
        <v>94</v>
      </c>
      <c r="F1930" t="s">
        <v>94</v>
      </c>
      <c r="G1930">
        <v>0</v>
      </c>
      <c r="H1930">
        <v>8</v>
      </c>
      <c r="I1930">
        <v>8</v>
      </c>
      <c r="J1930">
        <v>8</v>
      </c>
      <c r="K1930" s="6">
        <v>100</v>
      </c>
      <c r="L1930" s="6">
        <v>0</v>
      </c>
      <c r="M1930" s="6">
        <v>100</v>
      </c>
      <c r="N1930">
        <v>0</v>
      </c>
      <c r="O1930" s="6">
        <v>0</v>
      </c>
      <c r="P1930">
        <v>0</v>
      </c>
      <c r="Q1930" s="8">
        <v>235.48</v>
      </c>
      <c r="R1930" s="8">
        <v>235.48</v>
      </c>
      <c r="S1930" s="9" t="s">
        <v>543</v>
      </c>
    </row>
    <row r="1931" spans="1:19" hidden="1" x14ac:dyDescent="0.25">
      <c r="A1931" t="s">
        <v>134</v>
      </c>
      <c r="B1931" t="s">
        <v>77</v>
      </c>
      <c r="C1931" t="s">
        <v>127</v>
      </c>
      <c r="D1931" t="s">
        <v>589</v>
      </c>
      <c r="E1931" t="s">
        <v>94</v>
      </c>
      <c r="F1931" t="s">
        <v>96</v>
      </c>
      <c r="G1931">
        <v>4</v>
      </c>
      <c r="H1931">
        <v>8</v>
      </c>
      <c r="I1931">
        <v>8</v>
      </c>
      <c r="J1931">
        <v>8</v>
      </c>
      <c r="K1931" s="6">
        <v>100</v>
      </c>
      <c r="L1931" s="6">
        <v>0</v>
      </c>
      <c r="M1931" s="6">
        <v>100</v>
      </c>
      <c r="N1931">
        <v>0</v>
      </c>
      <c r="O1931" s="6">
        <v>0</v>
      </c>
      <c r="P1931">
        <v>0</v>
      </c>
      <c r="Q1931" s="8">
        <v>235.48</v>
      </c>
      <c r="R1931" s="8">
        <v>235.48</v>
      </c>
      <c r="S1931" s="9" t="s">
        <v>544</v>
      </c>
    </row>
    <row r="1932" spans="1:19" hidden="1" x14ac:dyDescent="0.25">
      <c r="A1932" t="s">
        <v>134</v>
      </c>
      <c r="B1932" t="s">
        <v>77</v>
      </c>
      <c r="C1932" t="s">
        <v>127</v>
      </c>
      <c r="D1932" t="s">
        <v>589</v>
      </c>
      <c r="E1932" t="s">
        <v>94</v>
      </c>
      <c r="F1932" t="s">
        <v>6</v>
      </c>
      <c r="G1932">
        <v>11</v>
      </c>
      <c r="H1932">
        <v>8</v>
      </c>
      <c r="I1932">
        <v>8</v>
      </c>
      <c r="J1932">
        <v>8</v>
      </c>
      <c r="K1932" s="6">
        <v>100</v>
      </c>
      <c r="L1932" s="6">
        <v>0</v>
      </c>
      <c r="M1932" s="6">
        <v>100</v>
      </c>
      <c r="N1932">
        <v>0</v>
      </c>
      <c r="O1932" s="6">
        <v>0</v>
      </c>
      <c r="P1932">
        <v>0</v>
      </c>
      <c r="Q1932" s="8">
        <v>235.48</v>
      </c>
      <c r="R1932" s="8">
        <v>235.48</v>
      </c>
      <c r="S1932" s="9" t="s">
        <v>544</v>
      </c>
    </row>
    <row r="1933" spans="1:19" hidden="1" x14ac:dyDescent="0.25">
      <c r="A1933" t="s">
        <v>134</v>
      </c>
      <c r="B1933" t="s">
        <v>77</v>
      </c>
      <c r="C1933" t="s">
        <v>127</v>
      </c>
      <c r="D1933" t="s">
        <v>590</v>
      </c>
      <c r="E1933" t="s">
        <v>94</v>
      </c>
      <c r="F1933" t="s">
        <v>94</v>
      </c>
      <c r="G1933">
        <v>0</v>
      </c>
      <c r="H1933">
        <v>2</v>
      </c>
      <c r="I1933">
        <v>2</v>
      </c>
      <c r="J1933">
        <v>2</v>
      </c>
      <c r="K1933" s="6">
        <v>100</v>
      </c>
      <c r="L1933" s="6">
        <v>0</v>
      </c>
      <c r="M1933" s="6">
        <v>100</v>
      </c>
      <c r="N1933">
        <v>0</v>
      </c>
      <c r="O1933" s="6">
        <v>0</v>
      </c>
      <c r="P1933">
        <v>0</v>
      </c>
      <c r="Q1933" s="8">
        <v>225.72</v>
      </c>
      <c r="R1933" s="8">
        <v>225.72</v>
      </c>
      <c r="S1933" s="9" t="s">
        <v>536</v>
      </c>
    </row>
    <row r="1934" spans="1:19" hidden="1" x14ac:dyDescent="0.25">
      <c r="A1934" t="s">
        <v>134</v>
      </c>
      <c r="B1934" t="s">
        <v>77</v>
      </c>
      <c r="C1934" t="s">
        <v>127</v>
      </c>
      <c r="D1934" t="s">
        <v>590</v>
      </c>
      <c r="E1934" t="s">
        <v>94</v>
      </c>
      <c r="F1934" t="s">
        <v>96</v>
      </c>
      <c r="G1934">
        <v>4</v>
      </c>
      <c r="H1934">
        <v>2</v>
      </c>
      <c r="I1934">
        <v>2</v>
      </c>
      <c r="J1934">
        <v>2</v>
      </c>
      <c r="K1934" s="6">
        <v>100</v>
      </c>
      <c r="L1934" s="6">
        <v>0</v>
      </c>
      <c r="M1934" s="6">
        <v>100</v>
      </c>
      <c r="N1934">
        <v>0</v>
      </c>
      <c r="O1934" s="6">
        <v>0</v>
      </c>
      <c r="P1934">
        <v>0</v>
      </c>
      <c r="Q1934" s="8">
        <v>225.72</v>
      </c>
      <c r="R1934" s="8">
        <v>225.72</v>
      </c>
      <c r="S1934" s="9" t="s">
        <v>537</v>
      </c>
    </row>
    <row r="1935" spans="1:19" hidden="1" x14ac:dyDescent="0.25">
      <c r="A1935" t="s">
        <v>134</v>
      </c>
      <c r="B1935" t="s">
        <v>77</v>
      </c>
      <c r="C1935" t="s">
        <v>127</v>
      </c>
      <c r="D1935" t="s">
        <v>590</v>
      </c>
      <c r="E1935" t="s">
        <v>94</v>
      </c>
      <c r="F1935" t="s">
        <v>6</v>
      </c>
      <c r="G1935">
        <v>11</v>
      </c>
      <c r="H1935">
        <v>2</v>
      </c>
      <c r="I1935">
        <v>2</v>
      </c>
      <c r="J1935">
        <v>2</v>
      </c>
      <c r="K1935" s="6">
        <v>100</v>
      </c>
      <c r="L1935" s="6">
        <v>0</v>
      </c>
      <c r="M1935" s="6">
        <v>100</v>
      </c>
      <c r="N1935">
        <v>0</v>
      </c>
      <c r="O1935" s="6">
        <v>0</v>
      </c>
      <c r="P1935">
        <v>0</v>
      </c>
      <c r="Q1935" s="8">
        <v>225.72</v>
      </c>
      <c r="R1935" s="8">
        <v>225.72</v>
      </c>
      <c r="S1935" s="9" t="s">
        <v>537</v>
      </c>
    </row>
    <row r="1936" spans="1:19" hidden="1" x14ac:dyDescent="0.25">
      <c r="A1936" t="s">
        <v>134</v>
      </c>
      <c r="B1936" t="s">
        <v>77</v>
      </c>
      <c r="C1936" t="s">
        <v>128</v>
      </c>
      <c r="D1936" t="s">
        <v>539</v>
      </c>
      <c r="E1936" t="s">
        <v>91</v>
      </c>
      <c r="F1936" t="s">
        <v>91</v>
      </c>
      <c r="G1936">
        <v>0</v>
      </c>
      <c r="H1936">
        <v>1</v>
      </c>
      <c r="I1936">
        <v>1</v>
      </c>
      <c r="J1936">
        <v>1</v>
      </c>
      <c r="K1936" s="6">
        <v>100</v>
      </c>
      <c r="L1936" s="6">
        <v>0</v>
      </c>
      <c r="M1936" s="6">
        <v>100</v>
      </c>
      <c r="N1936">
        <v>0</v>
      </c>
      <c r="O1936" s="6">
        <v>0</v>
      </c>
      <c r="P1936">
        <v>0</v>
      </c>
      <c r="Q1936" s="8">
        <v>512.41999999999996</v>
      </c>
      <c r="R1936" s="8">
        <v>512.41999999999996</v>
      </c>
      <c r="S1936" s="9" t="s">
        <v>540</v>
      </c>
    </row>
    <row r="1937" spans="1:19" hidden="1" x14ac:dyDescent="0.25">
      <c r="A1937" t="s">
        <v>134</v>
      </c>
      <c r="B1937" t="s">
        <v>77</v>
      </c>
      <c r="C1937" t="s">
        <v>128</v>
      </c>
      <c r="D1937" t="s">
        <v>539</v>
      </c>
      <c r="E1937" t="s">
        <v>91</v>
      </c>
      <c r="F1937" t="s">
        <v>94</v>
      </c>
      <c r="G1937">
        <v>1</v>
      </c>
      <c r="H1937">
        <v>1</v>
      </c>
      <c r="I1937">
        <v>1</v>
      </c>
      <c r="J1937">
        <v>1</v>
      </c>
      <c r="K1937" s="6">
        <v>100</v>
      </c>
      <c r="L1937" s="6">
        <v>0</v>
      </c>
      <c r="M1937" s="6">
        <v>100</v>
      </c>
      <c r="N1937">
        <v>0</v>
      </c>
      <c r="O1937" s="6">
        <v>0</v>
      </c>
      <c r="P1937">
        <v>0</v>
      </c>
      <c r="Q1937" s="8">
        <v>512.41999999999996</v>
      </c>
      <c r="R1937" s="8">
        <v>512.41999999999996</v>
      </c>
      <c r="S1937" s="9" t="s">
        <v>541</v>
      </c>
    </row>
    <row r="1938" spans="1:19" hidden="1" x14ac:dyDescent="0.25">
      <c r="A1938" t="s">
        <v>134</v>
      </c>
      <c r="B1938" t="s">
        <v>77</v>
      </c>
      <c r="C1938" t="s">
        <v>128</v>
      </c>
      <c r="D1938" t="s">
        <v>539</v>
      </c>
      <c r="E1938" t="s">
        <v>91</v>
      </c>
      <c r="F1938" t="s">
        <v>96</v>
      </c>
      <c r="G1938">
        <v>5</v>
      </c>
      <c r="H1938">
        <v>1</v>
      </c>
      <c r="I1938">
        <v>1</v>
      </c>
      <c r="J1938">
        <v>1</v>
      </c>
      <c r="K1938" s="6">
        <v>93.49</v>
      </c>
      <c r="L1938" s="6">
        <v>-6.51</v>
      </c>
      <c r="M1938" s="6">
        <v>93.49</v>
      </c>
      <c r="N1938">
        <v>0</v>
      </c>
      <c r="O1938" s="6">
        <v>0</v>
      </c>
      <c r="P1938">
        <v>0</v>
      </c>
      <c r="Q1938" s="8">
        <v>512.41999999999996</v>
      </c>
      <c r="R1938" s="8">
        <v>479.08</v>
      </c>
      <c r="S1938" s="9" t="s">
        <v>541</v>
      </c>
    </row>
    <row r="1939" spans="1:19" hidden="1" x14ac:dyDescent="0.25">
      <c r="A1939" t="s">
        <v>134</v>
      </c>
      <c r="B1939" t="s">
        <v>77</v>
      </c>
      <c r="C1939" t="s">
        <v>128</v>
      </c>
      <c r="D1939" t="s">
        <v>539</v>
      </c>
      <c r="E1939" t="s">
        <v>91</v>
      </c>
      <c r="F1939" t="s">
        <v>6</v>
      </c>
      <c r="G1939">
        <v>12</v>
      </c>
      <c r="H1939">
        <v>1</v>
      </c>
      <c r="I1939">
        <v>1</v>
      </c>
      <c r="J1939">
        <v>1</v>
      </c>
      <c r="K1939" s="6">
        <v>93.49</v>
      </c>
      <c r="L1939" s="6">
        <v>-6.51</v>
      </c>
      <c r="M1939" s="6">
        <v>93.49</v>
      </c>
      <c r="N1939">
        <v>0</v>
      </c>
      <c r="O1939" s="6">
        <v>0</v>
      </c>
      <c r="P1939">
        <v>0</v>
      </c>
      <c r="Q1939" s="8">
        <v>512.41999999999996</v>
      </c>
      <c r="R1939" s="8">
        <v>479.08</v>
      </c>
      <c r="S1939" s="9" t="s">
        <v>541</v>
      </c>
    </row>
    <row r="1940" spans="1:19" hidden="1" x14ac:dyDescent="0.25">
      <c r="A1940" t="s">
        <v>134</v>
      </c>
      <c r="B1940" t="s">
        <v>77</v>
      </c>
      <c r="C1940" t="s">
        <v>128</v>
      </c>
      <c r="D1940" t="s">
        <v>524</v>
      </c>
      <c r="E1940" t="s">
        <v>90</v>
      </c>
      <c r="F1940" t="s">
        <v>90</v>
      </c>
      <c r="G1940">
        <v>0</v>
      </c>
      <c r="H1940">
        <v>1</v>
      </c>
      <c r="I1940">
        <v>1</v>
      </c>
      <c r="J1940">
        <v>1</v>
      </c>
      <c r="K1940" s="6">
        <v>100</v>
      </c>
      <c r="L1940" s="6">
        <v>0</v>
      </c>
      <c r="M1940" s="6">
        <v>100</v>
      </c>
      <c r="N1940">
        <v>0</v>
      </c>
      <c r="O1940" s="6">
        <v>0</v>
      </c>
      <c r="P1940">
        <v>0</v>
      </c>
      <c r="Q1940" s="8">
        <v>360.9</v>
      </c>
      <c r="R1940" s="8">
        <v>360.9</v>
      </c>
      <c r="S1940" s="9" t="s">
        <v>540</v>
      </c>
    </row>
    <row r="1941" spans="1:19" hidden="1" x14ac:dyDescent="0.25">
      <c r="A1941" t="s">
        <v>134</v>
      </c>
      <c r="B1941" t="s">
        <v>77</v>
      </c>
      <c r="C1941" t="s">
        <v>128</v>
      </c>
      <c r="D1941" t="s">
        <v>524</v>
      </c>
      <c r="E1941" t="s">
        <v>90</v>
      </c>
      <c r="F1941" t="s">
        <v>91</v>
      </c>
      <c r="G1941">
        <v>1</v>
      </c>
      <c r="H1941">
        <v>1</v>
      </c>
      <c r="I1941">
        <v>1</v>
      </c>
      <c r="J1941">
        <v>1</v>
      </c>
      <c r="K1941" s="6">
        <v>100</v>
      </c>
      <c r="L1941" s="6">
        <v>0</v>
      </c>
      <c r="M1941" s="6">
        <v>100</v>
      </c>
      <c r="N1941">
        <v>0</v>
      </c>
      <c r="O1941" s="6">
        <v>0</v>
      </c>
      <c r="P1941">
        <v>0</v>
      </c>
      <c r="Q1941" s="8">
        <v>360.9</v>
      </c>
      <c r="R1941" s="8">
        <v>360.9</v>
      </c>
      <c r="S1941" s="9" t="s">
        <v>541</v>
      </c>
    </row>
    <row r="1942" spans="1:19" hidden="1" x14ac:dyDescent="0.25">
      <c r="A1942" t="s">
        <v>134</v>
      </c>
      <c r="B1942" t="s">
        <v>77</v>
      </c>
      <c r="C1942" t="s">
        <v>128</v>
      </c>
      <c r="D1942" t="s">
        <v>524</v>
      </c>
      <c r="E1942" t="s">
        <v>90</v>
      </c>
      <c r="F1942" t="s">
        <v>94</v>
      </c>
      <c r="G1942">
        <v>2</v>
      </c>
      <c r="H1942">
        <v>1</v>
      </c>
      <c r="I1942">
        <v>1</v>
      </c>
      <c r="J1942">
        <v>1</v>
      </c>
      <c r="K1942" s="6">
        <v>100</v>
      </c>
      <c r="L1942" s="6">
        <v>0</v>
      </c>
      <c r="M1942" s="6">
        <v>100</v>
      </c>
      <c r="N1942">
        <v>0</v>
      </c>
      <c r="O1942" s="6">
        <v>0</v>
      </c>
      <c r="P1942">
        <v>0</v>
      </c>
      <c r="Q1942" s="8">
        <v>360.9</v>
      </c>
      <c r="R1942" s="8">
        <v>360.9</v>
      </c>
      <c r="S1942" s="9" t="s">
        <v>541</v>
      </c>
    </row>
    <row r="1943" spans="1:19" hidden="1" x14ac:dyDescent="0.25">
      <c r="A1943" t="s">
        <v>134</v>
      </c>
      <c r="B1943" t="s">
        <v>77</v>
      </c>
      <c r="C1943" t="s">
        <v>128</v>
      </c>
      <c r="D1943" t="s">
        <v>524</v>
      </c>
      <c r="E1943" t="s">
        <v>90</v>
      </c>
      <c r="F1943" t="s">
        <v>96</v>
      </c>
      <c r="G1943">
        <v>6</v>
      </c>
      <c r="H1943">
        <v>1</v>
      </c>
      <c r="I1943">
        <v>1</v>
      </c>
      <c r="J1943">
        <v>1</v>
      </c>
      <c r="K1943" s="6">
        <v>100</v>
      </c>
      <c r="L1943" s="6">
        <v>0</v>
      </c>
      <c r="M1943" s="6">
        <v>100</v>
      </c>
      <c r="N1943">
        <v>0</v>
      </c>
      <c r="O1943" s="6">
        <v>0</v>
      </c>
      <c r="P1943">
        <v>0</v>
      </c>
      <c r="Q1943" s="8">
        <v>360.9</v>
      </c>
      <c r="R1943" s="8">
        <v>360.9</v>
      </c>
      <c r="S1943" s="9" t="s">
        <v>541</v>
      </c>
    </row>
    <row r="1944" spans="1:19" hidden="1" x14ac:dyDescent="0.25">
      <c r="A1944" t="s">
        <v>134</v>
      </c>
      <c r="B1944" t="s">
        <v>77</v>
      </c>
      <c r="C1944" t="s">
        <v>128</v>
      </c>
      <c r="D1944" t="s">
        <v>524</v>
      </c>
      <c r="E1944" t="s">
        <v>90</v>
      </c>
      <c r="F1944" t="s">
        <v>6</v>
      </c>
      <c r="G1944">
        <v>13</v>
      </c>
      <c r="H1944">
        <v>1</v>
      </c>
      <c r="I1944">
        <v>1</v>
      </c>
      <c r="J1944">
        <v>1</v>
      </c>
      <c r="K1944" s="6">
        <v>100</v>
      </c>
      <c r="L1944" s="6">
        <v>0</v>
      </c>
      <c r="M1944" s="6">
        <v>100</v>
      </c>
      <c r="N1944">
        <v>0</v>
      </c>
      <c r="O1944" s="6">
        <v>0</v>
      </c>
      <c r="P1944">
        <v>0</v>
      </c>
      <c r="Q1944" s="8">
        <v>360.9</v>
      </c>
      <c r="R1944" s="8">
        <v>360.9</v>
      </c>
      <c r="S1944" s="9" t="s">
        <v>541</v>
      </c>
    </row>
    <row r="1945" spans="1:19" hidden="1" x14ac:dyDescent="0.25">
      <c r="A1945" t="s">
        <v>134</v>
      </c>
      <c r="B1945" t="s">
        <v>77</v>
      </c>
      <c r="C1945" t="s">
        <v>128</v>
      </c>
      <c r="D1945" t="s">
        <v>530</v>
      </c>
      <c r="E1945" t="s">
        <v>90</v>
      </c>
      <c r="F1945" t="s">
        <v>90</v>
      </c>
      <c r="G1945">
        <v>0</v>
      </c>
      <c r="H1945">
        <v>5</v>
      </c>
      <c r="I1945">
        <v>5</v>
      </c>
      <c r="J1945">
        <v>5</v>
      </c>
      <c r="K1945" s="6">
        <v>100</v>
      </c>
      <c r="L1945" s="6">
        <v>0</v>
      </c>
      <c r="M1945" s="6">
        <v>100</v>
      </c>
      <c r="N1945">
        <v>0</v>
      </c>
      <c r="O1945" s="6">
        <v>0</v>
      </c>
      <c r="P1945">
        <v>0</v>
      </c>
      <c r="Q1945" s="8">
        <v>797.8</v>
      </c>
      <c r="R1945" s="8">
        <v>797.8</v>
      </c>
      <c r="S1945" s="9" t="s">
        <v>538</v>
      </c>
    </row>
    <row r="1946" spans="1:19" hidden="1" x14ac:dyDescent="0.25">
      <c r="A1946" t="s">
        <v>134</v>
      </c>
      <c r="B1946" t="s">
        <v>77</v>
      </c>
      <c r="C1946" t="s">
        <v>128</v>
      </c>
      <c r="D1946" t="s">
        <v>530</v>
      </c>
      <c r="E1946" t="s">
        <v>90</v>
      </c>
      <c r="F1946" t="s">
        <v>91</v>
      </c>
      <c r="G1946">
        <v>1</v>
      </c>
      <c r="H1946">
        <v>5</v>
      </c>
      <c r="I1946">
        <v>5</v>
      </c>
      <c r="J1946">
        <v>5</v>
      </c>
      <c r="K1946" s="6">
        <v>100</v>
      </c>
      <c r="L1946" s="6">
        <v>0</v>
      </c>
      <c r="M1946" s="6">
        <v>100</v>
      </c>
      <c r="N1946">
        <v>0</v>
      </c>
      <c r="O1946" s="6">
        <v>0</v>
      </c>
      <c r="P1946">
        <v>0</v>
      </c>
      <c r="Q1946" s="8">
        <v>797.8</v>
      </c>
      <c r="R1946" s="8">
        <v>797.8</v>
      </c>
      <c r="S1946" s="9" t="s">
        <v>133</v>
      </c>
    </row>
    <row r="1947" spans="1:19" hidden="1" x14ac:dyDescent="0.25">
      <c r="A1947" t="s">
        <v>134</v>
      </c>
      <c r="B1947" t="s">
        <v>77</v>
      </c>
      <c r="C1947" t="s">
        <v>128</v>
      </c>
      <c r="D1947" t="s">
        <v>530</v>
      </c>
      <c r="E1947" t="s">
        <v>90</v>
      </c>
      <c r="F1947" t="s">
        <v>94</v>
      </c>
      <c r="G1947">
        <v>2</v>
      </c>
      <c r="H1947">
        <v>5</v>
      </c>
      <c r="I1947">
        <v>5</v>
      </c>
      <c r="J1947">
        <v>5</v>
      </c>
      <c r="K1947" s="6">
        <v>99.52</v>
      </c>
      <c r="L1947" s="6">
        <v>0</v>
      </c>
      <c r="M1947" s="6">
        <v>99.52</v>
      </c>
      <c r="N1947">
        <v>0</v>
      </c>
      <c r="O1947" s="6">
        <v>0</v>
      </c>
      <c r="P1947">
        <v>0</v>
      </c>
      <c r="Q1947" s="8">
        <v>797.8</v>
      </c>
      <c r="R1947" s="8">
        <v>794</v>
      </c>
      <c r="S1947" s="9" t="s">
        <v>133</v>
      </c>
    </row>
    <row r="1948" spans="1:19" hidden="1" x14ac:dyDescent="0.25">
      <c r="A1948" t="s">
        <v>134</v>
      </c>
      <c r="B1948" t="s">
        <v>77</v>
      </c>
      <c r="C1948" t="s">
        <v>128</v>
      </c>
      <c r="D1948" t="s">
        <v>530</v>
      </c>
      <c r="E1948" t="s">
        <v>90</v>
      </c>
      <c r="F1948" t="s">
        <v>96</v>
      </c>
      <c r="G1948">
        <v>6</v>
      </c>
      <c r="H1948">
        <v>5</v>
      </c>
      <c r="I1948">
        <v>5</v>
      </c>
      <c r="J1948">
        <v>5</v>
      </c>
      <c r="K1948" s="6">
        <v>99.52</v>
      </c>
      <c r="L1948" s="6">
        <v>0</v>
      </c>
      <c r="M1948" s="6">
        <v>99.52</v>
      </c>
      <c r="N1948">
        <v>0</v>
      </c>
      <c r="O1948" s="6">
        <v>0</v>
      </c>
      <c r="P1948">
        <v>0</v>
      </c>
      <c r="Q1948" s="8">
        <v>797.8</v>
      </c>
      <c r="R1948" s="8">
        <v>794</v>
      </c>
      <c r="S1948" s="9" t="s">
        <v>133</v>
      </c>
    </row>
    <row r="1949" spans="1:19" hidden="1" x14ac:dyDescent="0.25">
      <c r="A1949" t="s">
        <v>134</v>
      </c>
      <c r="B1949" t="s">
        <v>77</v>
      </c>
      <c r="C1949" t="s">
        <v>128</v>
      </c>
      <c r="D1949" t="s">
        <v>530</v>
      </c>
      <c r="E1949" t="s">
        <v>90</v>
      </c>
      <c r="F1949" t="s">
        <v>6</v>
      </c>
      <c r="G1949">
        <v>13</v>
      </c>
      <c r="H1949">
        <v>5</v>
      </c>
      <c r="I1949">
        <v>3</v>
      </c>
      <c r="J1949">
        <v>3</v>
      </c>
      <c r="K1949" s="6">
        <v>100</v>
      </c>
      <c r="L1949" s="6">
        <v>0</v>
      </c>
      <c r="M1949" s="6">
        <v>94.14</v>
      </c>
      <c r="N1949">
        <v>-5.86</v>
      </c>
      <c r="O1949" s="6">
        <v>40</v>
      </c>
      <c r="P1949">
        <v>0</v>
      </c>
      <c r="Q1949" s="8">
        <v>751.06</v>
      </c>
      <c r="R1949" s="8">
        <v>751.06</v>
      </c>
      <c r="S1949" s="9" t="s">
        <v>526</v>
      </c>
    </row>
    <row r="1950" spans="1:19" hidden="1" x14ac:dyDescent="0.25">
      <c r="A1950" t="s">
        <v>134</v>
      </c>
      <c r="B1950" t="s">
        <v>77</v>
      </c>
      <c r="C1950" t="s">
        <v>128</v>
      </c>
      <c r="D1950" t="s">
        <v>531</v>
      </c>
      <c r="E1950" t="s">
        <v>90</v>
      </c>
      <c r="F1950" t="s">
        <v>90</v>
      </c>
      <c r="G1950">
        <v>0</v>
      </c>
      <c r="H1950">
        <v>5</v>
      </c>
      <c r="I1950">
        <v>5</v>
      </c>
      <c r="J1950">
        <v>5</v>
      </c>
      <c r="K1950" s="6">
        <v>100</v>
      </c>
      <c r="L1950" s="6">
        <v>0</v>
      </c>
      <c r="M1950" s="6">
        <v>100</v>
      </c>
      <c r="N1950">
        <v>0</v>
      </c>
      <c r="O1950" s="6">
        <v>0</v>
      </c>
      <c r="P1950">
        <v>0</v>
      </c>
      <c r="Q1950" s="8">
        <v>737.62</v>
      </c>
      <c r="R1950" s="8">
        <v>737.62</v>
      </c>
      <c r="S1950" s="9" t="s">
        <v>538</v>
      </c>
    </row>
    <row r="1951" spans="1:19" hidden="1" x14ac:dyDescent="0.25">
      <c r="A1951" t="s">
        <v>134</v>
      </c>
      <c r="B1951" t="s">
        <v>77</v>
      </c>
      <c r="C1951" t="s">
        <v>128</v>
      </c>
      <c r="D1951" t="s">
        <v>531</v>
      </c>
      <c r="E1951" t="s">
        <v>90</v>
      </c>
      <c r="F1951" t="s">
        <v>91</v>
      </c>
      <c r="G1951">
        <v>1</v>
      </c>
      <c r="H1951">
        <v>5</v>
      </c>
      <c r="I1951">
        <v>6</v>
      </c>
      <c r="J1951">
        <v>5</v>
      </c>
      <c r="K1951" s="6">
        <v>100</v>
      </c>
      <c r="L1951" s="6">
        <v>0</v>
      </c>
      <c r="M1951" s="6">
        <v>98.94</v>
      </c>
      <c r="N1951">
        <v>-1.06</v>
      </c>
      <c r="O1951" s="6">
        <v>0</v>
      </c>
      <c r="P1951">
        <v>1</v>
      </c>
      <c r="Q1951" s="8">
        <v>737.62</v>
      </c>
      <c r="R1951" s="8">
        <v>737.62</v>
      </c>
      <c r="S1951" s="9" t="s">
        <v>133</v>
      </c>
    </row>
    <row r="1952" spans="1:19" hidden="1" x14ac:dyDescent="0.25">
      <c r="A1952" t="s">
        <v>134</v>
      </c>
      <c r="B1952" t="s">
        <v>77</v>
      </c>
      <c r="C1952" t="s">
        <v>128</v>
      </c>
      <c r="D1952" t="s">
        <v>531</v>
      </c>
      <c r="E1952" t="s">
        <v>90</v>
      </c>
      <c r="F1952" t="s">
        <v>94</v>
      </c>
      <c r="G1952">
        <v>2</v>
      </c>
      <c r="H1952">
        <v>5</v>
      </c>
      <c r="I1952">
        <v>4</v>
      </c>
      <c r="J1952">
        <v>3</v>
      </c>
      <c r="K1952" s="6">
        <v>100.88</v>
      </c>
      <c r="L1952" s="6">
        <v>0</v>
      </c>
      <c r="M1952" s="6">
        <v>101.53</v>
      </c>
      <c r="N1952">
        <v>0.65</v>
      </c>
      <c r="O1952" s="6">
        <v>40</v>
      </c>
      <c r="P1952">
        <v>1</v>
      </c>
      <c r="Q1952" s="8">
        <v>761.54</v>
      </c>
      <c r="R1952" s="8">
        <v>768.21</v>
      </c>
      <c r="S1952" s="9" t="s">
        <v>526</v>
      </c>
    </row>
    <row r="1953" spans="1:19" hidden="1" x14ac:dyDescent="0.25">
      <c r="A1953" t="s">
        <v>134</v>
      </c>
      <c r="B1953" t="s">
        <v>77</v>
      </c>
      <c r="C1953" t="s">
        <v>128</v>
      </c>
      <c r="D1953" t="s">
        <v>531</v>
      </c>
      <c r="E1953" t="s">
        <v>90</v>
      </c>
      <c r="F1953" t="s">
        <v>96</v>
      </c>
      <c r="G1953">
        <v>6</v>
      </c>
      <c r="H1953">
        <v>5</v>
      </c>
      <c r="I1953">
        <v>5</v>
      </c>
      <c r="J1953">
        <v>3</v>
      </c>
      <c r="K1953" s="6">
        <v>100.88</v>
      </c>
      <c r="L1953" s="6">
        <v>0</v>
      </c>
      <c r="M1953" s="6">
        <v>105.16</v>
      </c>
      <c r="N1953">
        <v>4.28</v>
      </c>
      <c r="O1953" s="6">
        <v>40</v>
      </c>
      <c r="P1953">
        <v>2</v>
      </c>
      <c r="Q1953" s="8">
        <v>761.54</v>
      </c>
      <c r="R1953" s="8">
        <v>768.21</v>
      </c>
      <c r="S1953" s="9" t="s">
        <v>526</v>
      </c>
    </row>
    <row r="1954" spans="1:19" hidden="1" x14ac:dyDescent="0.25">
      <c r="A1954" t="s">
        <v>134</v>
      </c>
      <c r="B1954" t="s">
        <v>77</v>
      </c>
      <c r="C1954" t="s">
        <v>128</v>
      </c>
      <c r="D1954" t="s">
        <v>531</v>
      </c>
      <c r="E1954" t="s">
        <v>90</v>
      </c>
      <c r="F1954" t="s">
        <v>6</v>
      </c>
      <c r="G1954">
        <v>13</v>
      </c>
      <c r="H1954">
        <v>5</v>
      </c>
      <c r="I1954">
        <v>6</v>
      </c>
      <c r="J1954">
        <v>3</v>
      </c>
      <c r="K1954" s="6">
        <v>100.88</v>
      </c>
      <c r="L1954" s="6">
        <v>0</v>
      </c>
      <c r="M1954" s="6">
        <v>103.02</v>
      </c>
      <c r="N1954">
        <v>2.14</v>
      </c>
      <c r="O1954" s="6">
        <v>40</v>
      </c>
      <c r="P1954">
        <v>3</v>
      </c>
      <c r="Q1954" s="8">
        <v>761.54</v>
      </c>
      <c r="R1954" s="8">
        <v>768.21</v>
      </c>
      <c r="S1954" s="9" t="s">
        <v>526</v>
      </c>
    </row>
    <row r="1955" spans="1:19" hidden="1" x14ac:dyDescent="0.25">
      <c r="A1955" t="s">
        <v>134</v>
      </c>
      <c r="B1955" t="s">
        <v>77</v>
      </c>
      <c r="C1955" t="s">
        <v>128</v>
      </c>
      <c r="D1955" t="s">
        <v>532</v>
      </c>
      <c r="E1955" t="s">
        <v>90</v>
      </c>
      <c r="F1955" t="s">
        <v>90</v>
      </c>
      <c r="G1955">
        <v>0</v>
      </c>
      <c r="H1955">
        <v>6</v>
      </c>
      <c r="I1955">
        <v>6</v>
      </c>
      <c r="J1955">
        <v>6</v>
      </c>
      <c r="K1955" s="6">
        <v>100</v>
      </c>
      <c r="L1955" s="6">
        <v>0</v>
      </c>
      <c r="M1955" s="6">
        <v>100</v>
      </c>
      <c r="N1955">
        <v>0</v>
      </c>
      <c r="O1955" s="6">
        <v>0</v>
      </c>
      <c r="P1955">
        <v>0</v>
      </c>
      <c r="Q1955" s="8">
        <v>882.39</v>
      </c>
      <c r="R1955" s="8">
        <v>882.39</v>
      </c>
      <c r="S1955" s="9" t="s">
        <v>534</v>
      </c>
    </row>
    <row r="1956" spans="1:19" hidden="1" x14ac:dyDescent="0.25">
      <c r="A1956" t="s">
        <v>134</v>
      </c>
      <c r="B1956" t="s">
        <v>77</v>
      </c>
      <c r="C1956" t="s">
        <v>128</v>
      </c>
      <c r="D1956" t="s">
        <v>532</v>
      </c>
      <c r="E1956" t="s">
        <v>90</v>
      </c>
      <c r="F1956" t="s">
        <v>91</v>
      </c>
      <c r="G1956">
        <v>1</v>
      </c>
      <c r="H1956">
        <v>6</v>
      </c>
      <c r="I1956">
        <v>6</v>
      </c>
      <c r="J1956">
        <v>6</v>
      </c>
      <c r="K1956" s="6">
        <v>100</v>
      </c>
      <c r="L1956" s="6">
        <v>0</v>
      </c>
      <c r="M1956" s="6">
        <v>100</v>
      </c>
      <c r="N1956">
        <v>0</v>
      </c>
      <c r="O1956" s="6">
        <v>0</v>
      </c>
      <c r="P1956">
        <v>0</v>
      </c>
      <c r="Q1956" s="8">
        <v>882.39</v>
      </c>
      <c r="R1956" s="8">
        <v>882.39</v>
      </c>
      <c r="S1956" s="9" t="s">
        <v>535</v>
      </c>
    </row>
    <row r="1957" spans="1:19" hidden="1" x14ac:dyDescent="0.25">
      <c r="A1957" t="s">
        <v>134</v>
      </c>
      <c r="B1957" t="s">
        <v>77</v>
      </c>
      <c r="C1957" t="s">
        <v>128</v>
      </c>
      <c r="D1957" t="s">
        <v>532</v>
      </c>
      <c r="E1957" t="s">
        <v>90</v>
      </c>
      <c r="F1957" t="s">
        <v>94</v>
      </c>
      <c r="G1957">
        <v>2</v>
      </c>
      <c r="H1957">
        <v>6</v>
      </c>
      <c r="I1957">
        <v>6</v>
      </c>
      <c r="J1957">
        <v>6</v>
      </c>
      <c r="K1957" s="6">
        <v>101.19</v>
      </c>
      <c r="L1957" s="6">
        <v>0</v>
      </c>
      <c r="M1957" s="6">
        <v>101.19</v>
      </c>
      <c r="N1957">
        <v>0</v>
      </c>
      <c r="O1957" s="6">
        <v>0</v>
      </c>
      <c r="P1957">
        <v>0</v>
      </c>
      <c r="Q1957" s="8">
        <v>882.39</v>
      </c>
      <c r="R1957" s="8">
        <v>892.91</v>
      </c>
      <c r="S1957" s="9" t="s">
        <v>535</v>
      </c>
    </row>
    <row r="1958" spans="1:19" hidden="1" x14ac:dyDescent="0.25">
      <c r="A1958" t="s">
        <v>134</v>
      </c>
      <c r="B1958" t="s">
        <v>77</v>
      </c>
      <c r="C1958" t="s">
        <v>128</v>
      </c>
      <c r="D1958" t="s">
        <v>532</v>
      </c>
      <c r="E1958" t="s">
        <v>90</v>
      </c>
      <c r="F1958" t="s">
        <v>96</v>
      </c>
      <c r="G1958">
        <v>6</v>
      </c>
      <c r="H1958">
        <v>6</v>
      </c>
      <c r="I1958">
        <v>6</v>
      </c>
      <c r="J1958">
        <v>6</v>
      </c>
      <c r="K1958" s="6">
        <v>101.19</v>
      </c>
      <c r="L1958" s="6">
        <v>0</v>
      </c>
      <c r="M1958" s="6">
        <v>101.19</v>
      </c>
      <c r="N1958">
        <v>0</v>
      </c>
      <c r="O1958" s="6">
        <v>0</v>
      </c>
      <c r="P1958">
        <v>0</v>
      </c>
      <c r="Q1958" s="8">
        <v>882.39</v>
      </c>
      <c r="R1958" s="8">
        <v>892.91</v>
      </c>
      <c r="S1958" s="9" t="s">
        <v>535</v>
      </c>
    </row>
    <row r="1959" spans="1:19" hidden="1" x14ac:dyDescent="0.25">
      <c r="A1959" t="s">
        <v>134</v>
      </c>
      <c r="B1959" t="s">
        <v>77</v>
      </c>
      <c r="C1959" t="s">
        <v>128</v>
      </c>
      <c r="D1959" t="s">
        <v>532</v>
      </c>
      <c r="E1959" t="s">
        <v>90</v>
      </c>
      <c r="F1959" t="s">
        <v>6</v>
      </c>
      <c r="G1959">
        <v>13</v>
      </c>
      <c r="H1959">
        <v>6</v>
      </c>
      <c r="I1959">
        <v>6</v>
      </c>
      <c r="J1959">
        <v>6</v>
      </c>
      <c r="K1959" s="6">
        <v>102.24</v>
      </c>
      <c r="L1959" s="6">
        <v>1.88</v>
      </c>
      <c r="M1959" s="6">
        <v>102.24</v>
      </c>
      <c r="N1959">
        <v>0</v>
      </c>
      <c r="O1959" s="6">
        <v>0</v>
      </c>
      <c r="P1959">
        <v>0</v>
      </c>
      <c r="Q1959" s="8">
        <v>882.39</v>
      </c>
      <c r="R1959" s="8">
        <v>902.17</v>
      </c>
      <c r="S1959" s="9" t="s">
        <v>535</v>
      </c>
    </row>
    <row r="1960" spans="1:19" hidden="1" x14ac:dyDescent="0.25">
      <c r="A1960" t="s">
        <v>134</v>
      </c>
      <c r="B1960" t="s">
        <v>77</v>
      </c>
      <c r="C1960" t="s">
        <v>128</v>
      </c>
      <c r="D1960" t="s">
        <v>533</v>
      </c>
      <c r="E1960" t="s">
        <v>94</v>
      </c>
      <c r="F1960" t="s">
        <v>94</v>
      </c>
      <c r="G1960">
        <v>0</v>
      </c>
      <c r="H1960">
        <v>2</v>
      </c>
      <c r="I1960">
        <v>2</v>
      </c>
      <c r="J1960">
        <v>2</v>
      </c>
      <c r="K1960" s="6">
        <v>100</v>
      </c>
      <c r="L1960" s="6">
        <v>0</v>
      </c>
      <c r="M1960" s="6">
        <v>100</v>
      </c>
      <c r="N1960">
        <v>0</v>
      </c>
      <c r="O1960" s="6">
        <v>0</v>
      </c>
      <c r="P1960">
        <v>0</v>
      </c>
      <c r="Q1960" s="8">
        <v>909.4</v>
      </c>
      <c r="R1960" s="8">
        <v>909.4</v>
      </c>
      <c r="S1960" s="9" t="s">
        <v>536</v>
      </c>
    </row>
    <row r="1961" spans="1:19" hidden="1" x14ac:dyDescent="0.25">
      <c r="A1961" t="s">
        <v>134</v>
      </c>
      <c r="B1961" t="s">
        <v>77</v>
      </c>
      <c r="C1961" t="s">
        <v>128</v>
      </c>
      <c r="D1961" t="s">
        <v>533</v>
      </c>
      <c r="E1961" t="s">
        <v>94</v>
      </c>
      <c r="F1961" t="s">
        <v>96</v>
      </c>
      <c r="G1961">
        <v>4</v>
      </c>
      <c r="H1961">
        <v>2</v>
      </c>
      <c r="I1961">
        <v>2</v>
      </c>
      <c r="J1961">
        <v>2</v>
      </c>
      <c r="K1961" s="6">
        <v>100</v>
      </c>
      <c r="L1961" s="6">
        <v>0</v>
      </c>
      <c r="M1961" s="6">
        <v>100</v>
      </c>
      <c r="N1961">
        <v>0</v>
      </c>
      <c r="O1961" s="6">
        <v>0</v>
      </c>
      <c r="P1961">
        <v>0</v>
      </c>
      <c r="Q1961" s="8">
        <v>909.4</v>
      </c>
      <c r="R1961" s="8">
        <v>909.4</v>
      </c>
      <c r="S1961" s="9" t="s">
        <v>537</v>
      </c>
    </row>
    <row r="1962" spans="1:19" hidden="1" x14ac:dyDescent="0.25">
      <c r="A1962" t="s">
        <v>134</v>
      </c>
      <c r="B1962" t="s">
        <v>77</v>
      </c>
      <c r="C1962" t="s">
        <v>128</v>
      </c>
      <c r="D1962" t="s">
        <v>533</v>
      </c>
      <c r="E1962" t="s">
        <v>94</v>
      </c>
      <c r="F1962" t="s">
        <v>6</v>
      </c>
      <c r="G1962">
        <v>11</v>
      </c>
      <c r="H1962">
        <v>2</v>
      </c>
      <c r="I1962">
        <v>2</v>
      </c>
      <c r="J1962">
        <v>2</v>
      </c>
      <c r="K1962" s="6">
        <v>100</v>
      </c>
      <c r="L1962" s="6">
        <v>0</v>
      </c>
      <c r="M1962" s="6">
        <v>100</v>
      </c>
      <c r="N1962">
        <v>0</v>
      </c>
      <c r="O1962" s="6">
        <v>0</v>
      </c>
      <c r="P1962">
        <v>0</v>
      </c>
      <c r="Q1962" s="8">
        <v>909.4</v>
      </c>
      <c r="R1962" s="8">
        <v>909.4</v>
      </c>
      <c r="S1962" s="9" t="s">
        <v>537</v>
      </c>
    </row>
    <row r="1963" spans="1:19" hidden="1" x14ac:dyDescent="0.25">
      <c r="A1963" t="s">
        <v>134</v>
      </c>
      <c r="B1963" t="s">
        <v>77</v>
      </c>
      <c r="C1963" t="s">
        <v>128</v>
      </c>
      <c r="D1963" t="s">
        <v>545</v>
      </c>
      <c r="E1963" t="s">
        <v>94</v>
      </c>
      <c r="F1963" t="s">
        <v>94</v>
      </c>
      <c r="G1963">
        <v>0</v>
      </c>
      <c r="H1963">
        <v>2</v>
      </c>
      <c r="I1963">
        <v>2</v>
      </c>
      <c r="J1963">
        <v>2</v>
      </c>
      <c r="K1963" s="6">
        <v>100</v>
      </c>
      <c r="L1963" s="6">
        <v>0</v>
      </c>
      <c r="M1963" s="6">
        <v>100</v>
      </c>
      <c r="N1963">
        <v>0</v>
      </c>
      <c r="O1963" s="6">
        <v>0</v>
      </c>
      <c r="P1963">
        <v>0</v>
      </c>
      <c r="Q1963" s="8">
        <v>794.45</v>
      </c>
      <c r="R1963" s="8">
        <v>794.45</v>
      </c>
      <c r="S1963" s="9" t="s">
        <v>536</v>
      </c>
    </row>
    <row r="1964" spans="1:19" hidden="1" x14ac:dyDescent="0.25">
      <c r="A1964" t="s">
        <v>134</v>
      </c>
      <c r="B1964" t="s">
        <v>77</v>
      </c>
      <c r="C1964" t="s">
        <v>128</v>
      </c>
      <c r="D1964" t="s">
        <v>545</v>
      </c>
      <c r="E1964" t="s">
        <v>94</v>
      </c>
      <c r="F1964" t="s">
        <v>96</v>
      </c>
      <c r="G1964">
        <v>4</v>
      </c>
      <c r="H1964">
        <v>2</v>
      </c>
      <c r="I1964">
        <v>2</v>
      </c>
      <c r="J1964">
        <v>2</v>
      </c>
      <c r="K1964" s="6">
        <v>100</v>
      </c>
      <c r="L1964" s="6">
        <v>0</v>
      </c>
      <c r="M1964" s="6">
        <v>100</v>
      </c>
      <c r="N1964">
        <v>0</v>
      </c>
      <c r="O1964" s="6">
        <v>0</v>
      </c>
      <c r="P1964">
        <v>0</v>
      </c>
      <c r="Q1964" s="8">
        <v>794.45</v>
      </c>
      <c r="R1964" s="8">
        <v>794.45</v>
      </c>
      <c r="S1964" s="9" t="s">
        <v>537</v>
      </c>
    </row>
    <row r="1965" spans="1:19" hidden="1" x14ac:dyDescent="0.25">
      <c r="A1965" t="s">
        <v>134</v>
      </c>
      <c r="B1965" t="s">
        <v>77</v>
      </c>
      <c r="C1965" t="s">
        <v>128</v>
      </c>
      <c r="D1965" t="s">
        <v>545</v>
      </c>
      <c r="E1965" t="s">
        <v>94</v>
      </c>
      <c r="F1965" t="s">
        <v>6</v>
      </c>
      <c r="G1965">
        <v>11</v>
      </c>
      <c r="H1965">
        <v>2</v>
      </c>
      <c r="I1965">
        <v>2</v>
      </c>
      <c r="J1965">
        <v>2</v>
      </c>
      <c r="K1965" s="6">
        <v>102</v>
      </c>
      <c r="L1965" s="6">
        <v>1.78</v>
      </c>
      <c r="M1965" s="6">
        <v>102</v>
      </c>
      <c r="N1965">
        <v>0</v>
      </c>
      <c r="O1965" s="6">
        <v>0</v>
      </c>
      <c r="P1965">
        <v>0</v>
      </c>
      <c r="Q1965" s="8">
        <v>794.45</v>
      </c>
      <c r="R1965" s="8">
        <v>810.36</v>
      </c>
      <c r="S1965" s="9" t="s">
        <v>537</v>
      </c>
    </row>
    <row r="1966" spans="1:19" hidden="1" x14ac:dyDescent="0.25">
      <c r="A1966" t="s">
        <v>134</v>
      </c>
      <c r="B1966" t="s">
        <v>77</v>
      </c>
      <c r="C1966" t="s">
        <v>128</v>
      </c>
      <c r="D1966" t="s">
        <v>580</v>
      </c>
      <c r="E1966" t="s">
        <v>94</v>
      </c>
      <c r="F1966" t="s">
        <v>94</v>
      </c>
      <c r="G1966">
        <v>0</v>
      </c>
      <c r="H1966">
        <v>2</v>
      </c>
      <c r="I1966">
        <v>2</v>
      </c>
      <c r="J1966">
        <v>2</v>
      </c>
      <c r="K1966" s="6">
        <v>100</v>
      </c>
      <c r="L1966" s="6">
        <v>0</v>
      </c>
      <c r="M1966" s="6">
        <v>100</v>
      </c>
      <c r="N1966">
        <v>0</v>
      </c>
      <c r="O1966" s="6">
        <v>0</v>
      </c>
      <c r="P1966">
        <v>0</v>
      </c>
      <c r="Q1966" s="8">
        <v>535.78</v>
      </c>
      <c r="R1966" s="8">
        <v>535.78</v>
      </c>
      <c r="S1966" s="9" t="s">
        <v>536</v>
      </c>
    </row>
    <row r="1967" spans="1:19" hidden="1" x14ac:dyDescent="0.25">
      <c r="A1967" t="s">
        <v>134</v>
      </c>
      <c r="B1967" t="s">
        <v>77</v>
      </c>
      <c r="C1967" t="s">
        <v>128</v>
      </c>
      <c r="D1967" t="s">
        <v>580</v>
      </c>
      <c r="E1967" t="s">
        <v>94</v>
      </c>
      <c r="F1967" t="s">
        <v>96</v>
      </c>
      <c r="G1967">
        <v>4</v>
      </c>
      <c r="H1967">
        <v>2</v>
      </c>
      <c r="I1967">
        <v>2</v>
      </c>
      <c r="J1967">
        <v>2</v>
      </c>
      <c r="K1967" s="6">
        <v>100</v>
      </c>
      <c r="L1967" s="6">
        <v>0</v>
      </c>
      <c r="M1967" s="6">
        <v>100</v>
      </c>
      <c r="N1967">
        <v>0</v>
      </c>
      <c r="O1967" s="6">
        <v>0</v>
      </c>
      <c r="P1967">
        <v>0</v>
      </c>
      <c r="Q1967" s="8">
        <v>535.78</v>
      </c>
      <c r="R1967" s="8">
        <v>535.78</v>
      </c>
      <c r="S1967" s="9" t="s">
        <v>537</v>
      </c>
    </row>
    <row r="1968" spans="1:19" hidden="1" x14ac:dyDescent="0.25">
      <c r="A1968" t="s">
        <v>134</v>
      </c>
      <c r="B1968" t="s">
        <v>77</v>
      </c>
      <c r="C1968" t="s">
        <v>128</v>
      </c>
      <c r="D1968" t="s">
        <v>580</v>
      </c>
      <c r="E1968" t="s">
        <v>94</v>
      </c>
      <c r="F1968" t="s">
        <v>6</v>
      </c>
      <c r="G1968">
        <v>11</v>
      </c>
      <c r="H1968">
        <v>2</v>
      </c>
      <c r="I1968">
        <v>2</v>
      </c>
      <c r="J1968">
        <v>2</v>
      </c>
      <c r="K1968" s="6">
        <v>100</v>
      </c>
      <c r="L1968" s="6">
        <v>0</v>
      </c>
      <c r="M1968" s="6">
        <v>100</v>
      </c>
      <c r="N1968">
        <v>0</v>
      </c>
      <c r="O1968" s="6">
        <v>0</v>
      </c>
      <c r="P1968">
        <v>0</v>
      </c>
      <c r="Q1968" s="8">
        <v>535.78</v>
      </c>
      <c r="R1968" s="8">
        <v>535.78</v>
      </c>
      <c r="S1968" s="9" t="s">
        <v>537</v>
      </c>
    </row>
    <row r="1969" spans="1:19" hidden="1" x14ac:dyDescent="0.25">
      <c r="A1969" t="s">
        <v>134</v>
      </c>
      <c r="B1969" t="s">
        <v>77</v>
      </c>
      <c r="C1969" t="s">
        <v>128</v>
      </c>
      <c r="D1969" t="s">
        <v>582</v>
      </c>
      <c r="E1969" t="s">
        <v>94</v>
      </c>
      <c r="F1969" t="s">
        <v>94</v>
      </c>
      <c r="G1969">
        <v>0</v>
      </c>
      <c r="H1969">
        <v>7</v>
      </c>
      <c r="I1969">
        <v>7</v>
      </c>
      <c r="J1969">
        <v>7</v>
      </c>
      <c r="K1969" s="6">
        <v>100</v>
      </c>
      <c r="L1969" s="6">
        <v>0</v>
      </c>
      <c r="M1969" s="6">
        <v>100</v>
      </c>
      <c r="N1969">
        <v>0</v>
      </c>
      <c r="O1969" s="6">
        <v>0</v>
      </c>
      <c r="P1969">
        <v>0</v>
      </c>
      <c r="Q1969" s="8">
        <v>547.80999999999995</v>
      </c>
      <c r="R1969" s="8">
        <v>547.80999999999995</v>
      </c>
      <c r="S1969" s="9" t="s">
        <v>549</v>
      </c>
    </row>
    <row r="1970" spans="1:19" hidden="1" x14ac:dyDescent="0.25">
      <c r="A1970" t="s">
        <v>134</v>
      </c>
      <c r="B1970" t="s">
        <v>77</v>
      </c>
      <c r="C1970" t="s">
        <v>128</v>
      </c>
      <c r="D1970" t="s">
        <v>582</v>
      </c>
      <c r="E1970" t="s">
        <v>94</v>
      </c>
      <c r="F1970" t="s">
        <v>96</v>
      </c>
      <c r="G1970">
        <v>4</v>
      </c>
      <c r="H1970">
        <v>7</v>
      </c>
      <c r="I1970">
        <v>7</v>
      </c>
      <c r="J1970">
        <v>7</v>
      </c>
      <c r="K1970" s="6">
        <v>100</v>
      </c>
      <c r="L1970" s="6">
        <v>0</v>
      </c>
      <c r="M1970" s="6">
        <v>100</v>
      </c>
      <c r="N1970">
        <v>0</v>
      </c>
      <c r="O1970" s="6">
        <v>0</v>
      </c>
      <c r="P1970">
        <v>0</v>
      </c>
      <c r="Q1970" s="8">
        <v>547.80999999999995</v>
      </c>
      <c r="R1970" s="8">
        <v>547.80999999999995</v>
      </c>
      <c r="S1970" s="9" t="s">
        <v>550</v>
      </c>
    </row>
    <row r="1971" spans="1:19" hidden="1" x14ac:dyDescent="0.25">
      <c r="A1971" t="s">
        <v>134</v>
      </c>
      <c r="B1971" t="s">
        <v>77</v>
      </c>
      <c r="C1971" t="s">
        <v>128</v>
      </c>
      <c r="D1971" t="s">
        <v>582</v>
      </c>
      <c r="E1971" t="s">
        <v>94</v>
      </c>
      <c r="F1971" t="s">
        <v>6</v>
      </c>
      <c r="G1971">
        <v>11</v>
      </c>
      <c r="H1971">
        <v>7</v>
      </c>
      <c r="I1971">
        <v>7</v>
      </c>
      <c r="J1971">
        <v>7</v>
      </c>
      <c r="K1971" s="6">
        <v>104.99</v>
      </c>
      <c r="L1971" s="6">
        <v>5.22</v>
      </c>
      <c r="M1971" s="6">
        <v>104.99</v>
      </c>
      <c r="N1971">
        <v>0</v>
      </c>
      <c r="O1971" s="6">
        <v>0</v>
      </c>
      <c r="P1971">
        <v>0</v>
      </c>
      <c r="Q1971" s="8">
        <v>547.80999999999995</v>
      </c>
      <c r="R1971" s="8">
        <v>575.16999999999996</v>
      </c>
      <c r="S1971" s="9" t="s">
        <v>550</v>
      </c>
    </row>
    <row r="1972" spans="1:19" hidden="1" x14ac:dyDescent="0.25">
      <c r="A1972" t="s">
        <v>134</v>
      </c>
      <c r="B1972" t="s">
        <v>77</v>
      </c>
      <c r="C1972" t="s">
        <v>128</v>
      </c>
      <c r="D1972" t="s">
        <v>583</v>
      </c>
      <c r="E1972" t="s">
        <v>94</v>
      </c>
      <c r="F1972" t="s">
        <v>94</v>
      </c>
      <c r="G1972">
        <v>0</v>
      </c>
      <c r="H1972">
        <v>12</v>
      </c>
      <c r="I1972">
        <v>12</v>
      </c>
      <c r="J1972">
        <v>12</v>
      </c>
      <c r="K1972" s="6">
        <v>100</v>
      </c>
      <c r="L1972" s="6">
        <v>0</v>
      </c>
      <c r="M1972" s="6">
        <v>100</v>
      </c>
      <c r="N1972">
        <v>0</v>
      </c>
      <c r="O1972" s="6">
        <v>0</v>
      </c>
      <c r="P1972">
        <v>0</v>
      </c>
      <c r="Q1972" s="8">
        <v>656.34</v>
      </c>
      <c r="R1972" s="8">
        <v>656.34</v>
      </c>
      <c r="S1972" s="9" t="s">
        <v>586</v>
      </c>
    </row>
    <row r="1973" spans="1:19" hidden="1" x14ac:dyDescent="0.25">
      <c r="A1973" t="s">
        <v>134</v>
      </c>
      <c r="B1973" t="s">
        <v>77</v>
      </c>
      <c r="C1973" t="s">
        <v>128</v>
      </c>
      <c r="D1973" t="s">
        <v>583</v>
      </c>
      <c r="E1973" t="s">
        <v>94</v>
      </c>
      <c r="F1973" t="s">
        <v>96</v>
      </c>
      <c r="G1973">
        <v>4</v>
      </c>
      <c r="H1973">
        <v>12</v>
      </c>
      <c r="I1973">
        <v>12</v>
      </c>
      <c r="J1973">
        <v>12</v>
      </c>
      <c r="K1973" s="6">
        <v>100</v>
      </c>
      <c r="L1973" s="6">
        <v>0</v>
      </c>
      <c r="M1973" s="6">
        <v>100</v>
      </c>
      <c r="N1973">
        <v>0</v>
      </c>
      <c r="O1973" s="6">
        <v>0</v>
      </c>
      <c r="P1973">
        <v>0</v>
      </c>
      <c r="Q1973" s="8">
        <v>656.34</v>
      </c>
      <c r="R1973" s="8">
        <v>656.34</v>
      </c>
      <c r="S1973" s="10" t="s">
        <v>587</v>
      </c>
    </row>
    <row r="1974" spans="1:19" hidden="1" x14ac:dyDescent="0.25">
      <c r="A1974" t="s">
        <v>134</v>
      </c>
      <c r="B1974" t="s">
        <v>77</v>
      </c>
      <c r="C1974" t="s">
        <v>128</v>
      </c>
      <c r="D1974" t="s">
        <v>583</v>
      </c>
      <c r="E1974" t="s">
        <v>94</v>
      </c>
      <c r="F1974" t="s">
        <v>6</v>
      </c>
      <c r="G1974">
        <v>11</v>
      </c>
      <c r="H1974">
        <v>12</v>
      </c>
      <c r="I1974">
        <v>12</v>
      </c>
      <c r="J1974">
        <v>12</v>
      </c>
      <c r="K1974" s="6">
        <v>104.5</v>
      </c>
      <c r="L1974" s="6">
        <v>4.4000000000000004</v>
      </c>
      <c r="M1974" s="6">
        <v>104.5</v>
      </c>
      <c r="N1974">
        <v>0</v>
      </c>
      <c r="O1974" s="6">
        <v>0</v>
      </c>
      <c r="P1974">
        <v>0</v>
      </c>
      <c r="Q1974" s="8">
        <v>656.34</v>
      </c>
      <c r="R1974" s="8">
        <v>685.89</v>
      </c>
      <c r="S1974" s="10" t="s">
        <v>587</v>
      </c>
    </row>
    <row r="1975" spans="1:19" hidden="1" x14ac:dyDescent="0.25">
      <c r="A1975" t="s">
        <v>134</v>
      </c>
      <c r="B1975" t="s">
        <v>77</v>
      </c>
      <c r="C1975" t="s">
        <v>128</v>
      </c>
      <c r="D1975" t="s">
        <v>585</v>
      </c>
      <c r="E1975" t="s">
        <v>94</v>
      </c>
      <c r="F1975" t="s">
        <v>94</v>
      </c>
      <c r="G1975">
        <v>0</v>
      </c>
      <c r="H1975">
        <v>14</v>
      </c>
      <c r="I1975">
        <v>14</v>
      </c>
      <c r="J1975">
        <v>14</v>
      </c>
      <c r="K1975" s="6">
        <v>100</v>
      </c>
      <c r="L1975" s="6">
        <v>0</v>
      </c>
      <c r="M1975" s="6">
        <v>100</v>
      </c>
      <c r="N1975">
        <v>0</v>
      </c>
      <c r="O1975" s="6">
        <v>0</v>
      </c>
      <c r="P1975">
        <v>0</v>
      </c>
      <c r="Q1975" s="8">
        <v>677.3</v>
      </c>
      <c r="R1975" s="8">
        <v>677.3</v>
      </c>
      <c r="S1975" s="9" t="s">
        <v>617</v>
      </c>
    </row>
    <row r="1976" spans="1:19" hidden="1" x14ac:dyDescent="0.25">
      <c r="A1976" t="s">
        <v>134</v>
      </c>
      <c r="B1976" t="s">
        <v>77</v>
      </c>
      <c r="C1976" t="s">
        <v>128</v>
      </c>
      <c r="D1976" t="s">
        <v>585</v>
      </c>
      <c r="E1976" t="s">
        <v>94</v>
      </c>
      <c r="F1976" t="s">
        <v>96</v>
      </c>
      <c r="G1976">
        <v>4</v>
      </c>
      <c r="H1976">
        <v>14</v>
      </c>
      <c r="I1976">
        <v>14</v>
      </c>
      <c r="J1976">
        <v>14</v>
      </c>
      <c r="K1976" s="6">
        <v>100.6</v>
      </c>
      <c r="L1976" s="6">
        <v>0</v>
      </c>
      <c r="M1976" s="6">
        <v>100.6</v>
      </c>
      <c r="N1976">
        <v>0</v>
      </c>
      <c r="O1976" s="6">
        <v>0</v>
      </c>
      <c r="P1976">
        <v>0</v>
      </c>
      <c r="Q1976" s="8">
        <v>677.3</v>
      </c>
      <c r="R1976" s="8">
        <v>681.38</v>
      </c>
      <c r="S1976" s="10" t="s">
        <v>607</v>
      </c>
    </row>
    <row r="1977" spans="1:19" hidden="1" x14ac:dyDescent="0.25">
      <c r="A1977" t="s">
        <v>134</v>
      </c>
      <c r="B1977" t="s">
        <v>77</v>
      </c>
      <c r="C1977" t="s">
        <v>128</v>
      </c>
      <c r="D1977" t="s">
        <v>585</v>
      </c>
      <c r="E1977" t="s">
        <v>94</v>
      </c>
      <c r="F1977" t="s">
        <v>6</v>
      </c>
      <c r="G1977">
        <v>11</v>
      </c>
      <c r="H1977">
        <v>14</v>
      </c>
      <c r="I1977">
        <v>14</v>
      </c>
      <c r="J1977">
        <v>14</v>
      </c>
      <c r="K1977" s="6">
        <v>104.78</v>
      </c>
      <c r="L1977" s="6">
        <v>4.21</v>
      </c>
      <c r="M1977" s="6">
        <v>104.78</v>
      </c>
      <c r="N1977">
        <v>0</v>
      </c>
      <c r="O1977" s="6">
        <v>0</v>
      </c>
      <c r="P1977">
        <v>0</v>
      </c>
      <c r="Q1977" s="8">
        <v>677.3</v>
      </c>
      <c r="R1977" s="8">
        <v>709.68</v>
      </c>
      <c r="S1977" s="10" t="s">
        <v>607</v>
      </c>
    </row>
    <row r="1978" spans="1:19" hidden="1" x14ac:dyDescent="0.25">
      <c r="A1978" t="s">
        <v>134</v>
      </c>
      <c r="B1978" t="s">
        <v>77</v>
      </c>
      <c r="C1978" t="s">
        <v>128</v>
      </c>
      <c r="D1978" t="s">
        <v>588</v>
      </c>
      <c r="E1978" t="s">
        <v>94</v>
      </c>
      <c r="F1978" t="s">
        <v>94</v>
      </c>
      <c r="G1978">
        <v>0</v>
      </c>
      <c r="H1978">
        <v>14</v>
      </c>
      <c r="I1978">
        <v>14</v>
      </c>
      <c r="J1978">
        <v>14</v>
      </c>
      <c r="K1978" s="6">
        <v>100</v>
      </c>
      <c r="L1978" s="6">
        <v>0</v>
      </c>
      <c r="M1978" s="6">
        <v>100</v>
      </c>
      <c r="N1978">
        <v>0</v>
      </c>
      <c r="O1978" s="6">
        <v>0</v>
      </c>
      <c r="P1978">
        <v>0</v>
      </c>
      <c r="Q1978" s="8">
        <v>667.28</v>
      </c>
      <c r="R1978" s="8">
        <v>667.28</v>
      </c>
      <c r="S1978" s="9" t="s">
        <v>617</v>
      </c>
    </row>
    <row r="1979" spans="1:19" hidden="1" x14ac:dyDescent="0.25">
      <c r="A1979" t="s">
        <v>134</v>
      </c>
      <c r="B1979" t="s">
        <v>77</v>
      </c>
      <c r="C1979" t="s">
        <v>128</v>
      </c>
      <c r="D1979" t="s">
        <v>588</v>
      </c>
      <c r="E1979" t="s">
        <v>94</v>
      </c>
      <c r="F1979" t="s">
        <v>96</v>
      </c>
      <c r="G1979">
        <v>4</v>
      </c>
      <c r="H1979">
        <v>14</v>
      </c>
      <c r="I1979">
        <v>14</v>
      </c>
      <c r="J1979">
        <v>14</v>
      </c>
      <c r="K1979" s="6">
        <v>100</v>
      </c>
      <c r="L1979" s="6">
        <v>0</v>
      </c>
      <c r="M1979" s="6">
        <v>100</v>
      </c>
      <c r="N1979">
        <v>0</v>
      </c>
      <c r="O1979" s="6">
        <v>0</v>
      </c>
      <c r="P1979">
        <v>0</v>
      </c>
      <c r="Q1979" s="8">
        <v>667.28</v>
      </c>
      <c r="R1979" s="8">
        <v>667.28</v>
      </c>
      <c r="S1979" s="10" t="s">
        <v>607</v>
      </c>
    </row>
    <row r="1980" spans="1:19" hidden="1" x14ac:dyDescent="0.25">
      <c r="A1980" t="s">
        <v>134</v>
      </c>
      <c r="B1980" t="s">
        <v>77</v>
      </c>
      <c r="C1980" t="s">
        <v>128</v>
      </c>
      <c r="D1980" t="s">
        <v>588</v>
      </c>
      <c r="E1980" t="s">
        <v>94</v>
      </c>
      <c r="F1980" t="s">
        <v>6</v>
      </c>
      <c r="G1980">
        <v>11</v>
      </c>
      <c r="H1980">
        <v>14</v>
      </c>
      <c r="I1980">
        <v>14</v>
      </c>
      <c r="J1980">
        <v>14</v>
      </c>
      <c r="K1980" s="6">
        <v>104.2</v>
      </c>
      <c r="L1980" s="6">
        <v>4</v>
      </c>
      <c r="M1980" s="6">
        <v>104.2</v>
      </c>
      <c r="N1980">
        <v>0</v>
      </c>
      <c r="O1980" s="6">
        <v>0</v>
      </c>
      <c r="P1980">
        <v>0</v>
      </c>
      <c r="Q1980" s="8">
        <v>667.28</v>
      </c>
      <c r="R1980" s="8">
        <v>695.33</v>
      </c>
      <c r="S1980" s="10" t="s">
        <v>607</v>
      </c>
    </row>
    <row r="1981" spans="1:19" hidden="1" x14ac:dyDescent="0.25">
      <c r="A1981" t="s">
        <v>134</v>
      </c>
      <c r="B1981" t="s">
        <v>77</v>
      </c>
      <c r="C1981" t="s">
        <v>128</v>
      </c>
      <c r="D1981" t="s">
        <v>589</v>
      </c>
      <c r="E1981" t="s">
        <v>94</v>
      </c>
      <c r="F1981" t="s">
        <v>94</v>
      </c>
      <c r="G1981">
        <v>0</v>
      </c>
      <c r="H1981">
        <v>10</v>
      </c>
      <c r="I1981">
        <v>10</v>
      </c>
      <c r="J1981">
        <v>10</v>
      </c>
      <c r="K1981" s="6">
        <v>100</v>
      </c>
      <c r="L1981" s="6">
        <v>0</v>
      </c>
      <c r="M1981" s="6">
        <v>100</v>
      </c>
      <c r="N1981">
        <v>0</v>
      </c>
      <c r="O1981" s="6">
        <v>0</v>
      </c>
      <c r="P1981">
        <v>0</v>
      </c>
      <c r="Q1981" s="8">
        <v>609.52</v>
      </c>
      <c r="R1981" s="8">
        <v>609.52</v>
      </c>
      <c r="S1981" s="9" t="s">
        <v>584</v>
      </c>
    </row>
    <row r="1982" spans="1:19" hidden="1" x14ac:dyDescent="0.25">
      <c r="A1982" t="s">
        <v>134</v>
      </c>
      <c r="B1982" t="s">
        <v>77</v>
      </c>
      <c r="C1982" t="s">
        <v>128</v>
      </c>
      <c r="D1982" t="s">
        <v>589</v>
      </c>
      <c r="E1982" t="s">
        <v>94</v>
      </c>
      <c r="F1982" t="s">
        <v>96</v>
      </c>
      <c r="G1982">
        <v>4</v>
      </c>
      <c r="H1982">
        <v>10</v>
      </c>
      <c r="I1982">
        <v>10</v>
      </c>
      <c r="J1982">
        <v>10</v>
      </c>
      <c r="K1982" s="6">
        <v>100</v>
      </c>
      <c r="L1982" s="6">
        <v>0</v>
      </c>
      <c r="M1982" s="6">
        <v>100</v>
      </c>
      <c r="N1982">
        <v>0</v>
      </c>
      <c r="O1982" s="6">
        <v>0</v>
      </c>
      <c r="P1982">
        <v>0</v>
      </c>
      <c r="Q1982" s="8">
        <v>609.52</v>
      </c>
      <c r="R1982" s="8">
        <v>609.52</v>
      </c>
      <c r="S1982" s="10" t="s">
        <v>131</v>
      </c>
    </row>
    <row r="1983" spans="1:19" hidden="1" x14ac:dyDescent="0.25">
      <c r="A1983" t="s">
        <v>134</v>
      </c>
      <c r="B1983" t="s">
        <v>77</v>
      </c>
      <c r="C1983" t="s">
        <v>128</v>
      </c>
      <c r="D1983" t="s">
        <v>589</v>
      </c>
      <c r="E1983" t="s">
        <v>94</v>
      </c>
      <c r="F1983" t="s">
        <v>6</v>
      </c>
      <c r="G1983">
        <v>11</v>
      </c>
      <c r="H1983">
        <v>10</v>
      </c>
      <c r="I1983">
        <v>10</v>
      </c>
      <c r="J1983">
        <v>10</v>
      </c>
      <c r="K1983" s="6">
        <v>104.6</v>
      </c>
      <c r="L1983" s="6">
        <v>4.51</v>
      </c>
      <c r="M1983" s="6">
        <v>104.6</v>
      </c>
      <c r="N1983">
        <v>0</v>
      </c>
      <c r="O1983" s="6">
        <v>0</v>
      </c>
      <c r="P1983">
        <v>0</v>
      </c>
      <c r="Q1983" s="8">
        <v>609.52</v>
      </c>
      <c r="R1983" s="8">
        <v>637.57000000000005</v>
      </c>
      <c r="S1983" s="10" t="s">
        <v>131</v>
      </c>
    </row>
    <row r="1984" spans="1:19" hidden="1" x14ac:dyDescent="0.25">
      <c r="A1984" t="s">
        <v>134</v>
      </c>
      <c r="B1984" t="s">
        <v>77</v>
      </c>
      <c r="C1984" t="s">
        <v>128</v>
      </c>
      <c r="D1984" t="s">
        <v>590</v>
      </c>
      <c r="E1984" t="s">
        <v>94</v>
      </c>
      <c r="F1984" t="s">
        <v>94</v>
      </c>
      <c r="G1984">
        <v>0</v>
      </c>
      <c r="H1984">
        <v>2</v>
      </c>
      <c r="I1984">
        <v>2</v>
      </c>
      <c r="J1984">
        <v>2</v>
      </c>
      <c r="K1984" s="6">
        <v>100</v>
      </c>
      <c r="L1984" s="6">
        <v>0</v>
      </c>
      <c r="M1984" s="6">
        <v>100</v>
      </c>
      <c r="N1984">
        <v>0</v>
      </c>
      <c r="O1984" s="6">
        <v>0</v>
      </c>
      <c r="P1984">
        <v>0</v>
      </c>
      <c r="Q1984" s="8">
        <v>512.09</v>
      </c>
      <c r="R1984" s="8">
        <v>512.09</v>
      </c>
      <c r="S1984" s="9" t="s">
        <v>536</v>
      </c>
    </row>
    <row r="1985" spans="1:19" hidden="1" x14ac:dyDescent="0.25">
      <c r="A1985" t="s">
        <v>134</v>
      </c>
      <c r="B1985" t="s">
        <v>77</v>
      </c>
      <c r="C1985" t="s">
        <v>128</v>
      </c>
      <c r="D1985" t="s">
        <v>590</v>
      </c>
      <c r="E1985" t="s">
        <v>94</v>
      </c>
      <c r="F1985" t="s">
        <v>96</v>
      </c>
      <c r="G1985">
        <v>4</v>
      </c>
      <c r="H1985">
        <v>2</v>
      </c>
      <c r="I1985">
        <v>2</v>
      </c>
      <c r="J1985">
        <v>2</v>
      </c>
      <c r="K1985" s="6">
        <v>100</v>
      </c>
      <c r="L1985" s="6">
        <v>0</v>
      </c>
      <c r="M1985" s="6">
        <v>100</v>
      </c>
      <c r="N1985">
        <v>0</v>
      </c>
      <c r="O1985" s="6">
        <v>0</v>
      </c>
      <c r="P1985">
        <v>0</v>
      </c>
      <c r="Q1985" s="8">
        <v>512.09</v>
      </c>
      <c r="R1985" s="8">
        <v>512.09</v>
      </c>
      <c r="S1985" s="9" t="s">
        <v>537</v>
      </c>
    </row>
    <row r="1986" spans="1:19" hidden="1" x14ac:dyDescent="0.25">
      <c r="A1986" t="s">
        <v>134</v>
      </c>
      <c r="B1986" t="s">
        <v>77</v>
      </c>
      <c r="C1986" t="s">
        <v>128</v>
      </c>
      <c r="D1986" t="s">
        <v>590</v>
      </c>
      <c r="E1986" t="s">
        <v>94</v>
      </c>
      <c r="F1986" t="s">
        <v>6</v>
      </c>
      <c r="G1986">
        <v>11</v>
      </c>
      <c r="H1986">
        <v>2</v>
      </c>
      <c r="I1986">
        <v>2</v>
      </c>
      <c r="J1986">
        <v>2</v>
      </c>
      <c r="K1986" s="6">
        <v>105.77</v>
      </c>
      <c r="L1986" s="6">
        <v>5.79</v>
      </c>
      <c r="M1986" s="6">
        <v>105.77</v>
      </c>
      <c r="N1986">
        <v>0</v>
      </c>
      <c r="O1986" s="6">
        <v>0</v>
      </c>
      <c r="P1986">
        <v>0</v>
      </c>
      <c r="Q1986" s="8">
        <v>512.09</v>
      </c>
      <c r="R1986" s="8">
        <v>541.63</v>
      </c>
      <c r="S1986" s="9" t="s">
        <v>537</v>
      </c>
    </row>
    <row r="1987" spans="1:19" hidden="1" x14ac:dyDescent="0.25">
      <c r="A1987" t="s">
        <v>134</v>
      </c>
      <c r="B1987" t="s">
        <v>76</v>
      </c>
      <c r="C1987" t="s">
        <v>124</v>
      </c>
      <c r="D1987" t="s">
        <v>539</v>
      </c>
      <c r="E1987" t="s">
        <v>91</v>
      </c>
      <c r="F1987" t="s">
        <v>91</v>
      </c>
      <c r="G1987">
        <v>0</v>
      </c>
      <c r="H1987">
        <v>27</v>
      </c>
      <c r="I1987">
        <v>27</v>
      </c>
      <c r="J1987">
        <v>27</v>
      </c>
      <c r="K1987" s="6">
        <v>100</v>
      </c>
      <c r="L1987" s="6">
        <v>0</v>
      </c>
      <c r="M1987" s="6">
        <v>100</v>
      </c>
      <c r="N1987">
        <v>0</v>
      </c>
      <c r="O1987" s="6">
        <v>0</v>
      </c>
      <c r="P1987">
        <v>0</v>
      </c>
      <c r="Q1987" s="8">
        <v>260.35000000000002</v>
      </c>
      <c r="R1987" s="8">
        <v>260.35000000000002</v>
      </c>
      <c r="S1987" s="9" t="s">
        <v>558</v>
      </c>
    </row>
    <row r="1988" spans="1:19" hidden="1" x14ac:dyDescent="0.25">
      <c r="A1988" t="s">
        <v>134</v>
      </c>
      <c r="B1988" t="s">
        <v>76</v>
      </c>
      <c r="C1988" t="s">
        <v>124</v>
      </c>
      <c r="D1988" t="s">
        <v>539</v>
      </c>
      <c r="E1988" t="s">
        <v>91</v>
      </c>
      <c r="F1988" t="s">
        <v>94</v>
      </c>
      <c r="G1988">
        <v>1</v>
      </c>
      <c r="H1988">
        <v>27</v>
      </c>
      <c r="I1988">
        <v>25</v>
      </c>
      <c r="J1988">
        <v>23</v>
      </c>
      <c r="K1988" s="6">
        <v>101.88</v>
      </c>
      <c r="L1988" s="6">
        <v>0</v>
      </c>
      <c r="M1988" s="6">
        <v>100.31</v>
      </c>
      <c r="N1988">
        <v>-1.57</v>
      </c>
      <c r="O1988" s="6">
        <v>14.8</v>
      </c>
      <c r="P1988">
        <v>2</v>
      </c>
      <c r="Q1988" s="8">
        <v>256.7</v>
      </c>
      <c r="R1988" s="8">
        <v>261.51</v>
      </c>
      <c r="S1988" s="10" t="s">
        <v>132</v>
      </c>
    </row>
    <row r="1989" spans="1:19" hidden="1" x14ac:dyDescent="0.25">
      <c r="A1989" t="s">
        <v>134</v>
      </c>
      <c r="B1989" t="s">
        <v>76</v>
      </c>
      <c r="C1989" t="s">
        <v>124</v>
      </c>
      <c r="D1989" t="s">
        <v>539</v>
      </c>
      <c r="E1989" t="s">
        <v>91</v>
      </c>
      <c r="F1989" t="s">
        <v>96</v>
      </c>
      <c r="G1989">
        <v>5</v>
      </c>
      <c r="H1989">
        <v>27</v>
      </c>
      <c r="I1989">
        <v>24</v>
      </c>
      <c r="J1989">
        <v>19</v>
      </c>
      <c r="K1989" s="6">
        <v>102.6</v>
      </c>
      <c r="L1989" s="6">
        <v>0</v>
      </c>
      <c r="M1989" s="6">
        <v>106.64</v>
      </c>
      <c r="N1989">
        <v>4.04</v>
      </c>
      <c r="O1989" s="6">
        <v>29.6</v>
      </c>
      <c r="P1989">
        <v>5</v>
      </c>
      <c r="Q1989" s="8">
        <v>261.52999999999997</v>
      </c>
      <c r="R1989" s="8">
        <v>268.33</v>
      </c>
      <c r="S1989" s="10" t="s">
        <v>647</v>
      </c>
    </row>
    <row r="1990" spans="1:19" hidden="1" x14ac:dyDescent="0.25">
      <c r="A1990" t="s">
        <v>134</v>
      </c>
      <c r="B1990" t="s">
        <v>76</v>
      </c>
      <c r="C1990" t="s">
        <v>124</v>
      </c>
      <c r="D1990" t="s">
        <v>539</v>
      </c>
      <c r="E1990" t="s">
        <v>91</v>
      </c>
      <c r="F1990" t="s">
        <v>6</v>
      </c>
      <c r="G1990">
        <v>12</v>
      </c>
      <c r="H1990">
        <v>27</v>
      </c>
      <c r="I1990">
        <v>21</v>
      </c>
      <c r="J1990">
        <v>18</v>
      </c>
      <c r="K1990" s="6">
        <v>101.27</v>
      </c>
      <c r="L1990" s="6">
        <v>0</v>
      </c>
      <c r="M1990" s="6">
        <v>107.58</v>
      </c>
      <c r="N1990">
        <v>6.31</v>
      </c>
      <c r="O1990" s="6">
        <v>33.299999999999997</v>
      </c>
      <c r="P1990">
        <v>3</v>
      </c>
      <c r="Q1990" s="8">
        <v>272.66000000000003</v>
      </c>
      <c r="R1990" s="8">
        <v>276.11</v>
      </c>
      <c r="S1990" s="10" t="s">
        <v>488</v>
      </c>
    </row>
    <row r="1991" spans="1:19" hidden="1" x14ac:dyDescent="0.25">
      <c r="A1991" t="s">
        <v>134</v>
      </c>
      <c r="B1991" t="s">
        <v>76</v>
      </c>
      <c r="C1991" t="s">
        <v>124</v>
      </c>
      <c r="D1991" t="s">
        <v>552</v>
      </c>
      <c r="E1991" t="s">
        <v>91</v>
      </c>
      <c r="F1991" t="s">
        <v>91</v>
      </c>
      <c r="G1991">
        <v>0</v>
      </c>
      <c r="H1991">
        <v>4</v>
      </c>
      <c r="I1991">
        <v>4</v>
      </c>
      <c r="J1991">
        <v>4</v>
      </c>
      <c r="K1991" s="6">
        <v>100</v>
      </c>
      <c r="L1991" s="6">
        <v>0</v>
      </c>
      <c r="M1991" s="6">
        <v>100</v>
      </c>
      <c r="N1991">
        <v>0</v>
      </c>
      <c r="O1991" s="6">
        <v>0</v>
      </c>
      <c r="P1991">
        <v>0</v>
      </c>
      <c r="Q1991" s="8">
        <v>146.35</v>
      </c>
      <c r="R1991" s="8">
        <v>146.35</v>
      </c>
      <c r="S1991" s="9" t="s">
        <v>605</v>
      </c>
    </row>
    <row r="1992" spans="1:19" hidden="1" x14ac:dyDescent="0.25">
      <c r="A1992" t="s">
        <v>134</v>
      </c>
      <c r="B1992" t="s">
        <v>76</v>
      </c>
      <c r="C1992" t="s">
        <v>124</v>
      </c>
      <c r="D1992" t="s">
        <v>552</v>
      </c>
      <c r="E1992" t="s">
        <v>91</v>
      </c>
      <c r="F1992" t="s">
        <v>94</v>
      </c>
      <c r="G1992">
        <v>1</v>
      </c>
      <c r="H1992">
        <v>4</v>
      </c>
      <c r="I1992">
        <v>4</v>
      </c>
      <c r="J1992">
        <v>4</v>
      </c>
      <c r="K1992" s="6">
        <v>98.14</v>
      </c>
      <c r="L1992" s="6">
        <v>0</v>
      </c>
      <c r="M1992" s="6">
        <v>98.14</v>
      </c>
      <c r="N1992">
        <v>0</v>
      </c>
      <c r="O1992" s="6">
        <v>0</v>
      </c>
      <c r="P1992">
        <v>0</v>
      </c>
      <c r="Q1992" s="8">
        <v>146.35</v>
      </c>
      <c r="R1992" s="8">
        <v>143.62</v>
      </c>
      <c r="S1992" s="9" t="s">
        <v>548</v>
      </c>
    </row>
    <row r="1993" spans="1:19" hidden="1" x14ac:dyDescent="0.25">
      <c r="A1993" t="s">
        <v>134</v>
      </c>
      <c r="B1993" t="s">
        <v>76</v>
      </c>
      <c r="C1993" t="s">
        <v>124</v>
      </c>
      <c r="D1993" t="s">
        <v>552</v>
      </c>
      <c r="E1993" t="s">
        <v>91</v>
      </c>
      <c r="F1993" t="s">
        <v>96</v>
      </c>
      <c r="G1993">
        <v>5</v>
      </c>
      <c r="H1993">
        <v>4</v>
      </c>
      <c r="I1993">
        <v>4</v>
      </c>
      <c r="J1993">
        <v>4</v>
      </c>
      <c r="K1993" s="6">
        <v>98.14</v>
      </c>
      <c r="L1993" s="6">
        <v>0</v>
      </c>
      <c r="M1993" s="6">
        <v>98.14</v>
      </c>
      <c r="N1993">
        <v>0</v>
      </c>
      <c r="O1993" s="6">
        <v>0</v>
      </c>
      <c r="P1993">
        <v>0</v>
      </c>
      <c r="Q1993" s="8">
        <v>146.35</v>
      </c>
      <c r="R1993" s="8">
        <v>143.62</v>
      </c>
      <c r="S1993" s="9" t="s">
        <v>548</v>
      </c>
    </row>
    <row r="1994" spans="1:19" hidden="1" x14ac:dyDescent="0.25">
      <c r="A1994" t="s">
        <v>134</v>
      </c>
      <c r="B1994" t="s">
        <v>76</v>
      </c>
      <c r="C1994" t="s">
        <v>124</v>
      </c>
      <c r="D1994" t="s">
        <v>552</v>
      </c>
      <c r="E1994" t="s">
        <v>91</v>
      </c>
      <c r="F1994" t="s">
        <v>6</v>
      </c>
      <c r="G1994">
        <v>12</v>
      </c>
      <c r="H1994">
        <v>4</v>
      </c>
      <c r="I1994">
        <v>4</v>
      </c>
      <c r="J1994">
        <v>4</v>
      </c>
      <c r="K1994" s="6">
        <v>96.87</v>
      </c>
      <c r="L1994" s="6">
        <v>-2.25</v>
      </c>
      <c r="M1994" s="6">
        <v>96.87</v>
      </c>
      <c r="N1994">
        <v>0</v>
      </c>
      <c r="O1994" s="6">
        <v>0</v>
      </c>
      <c r="P1994">
        <v>0</v>
      </c>
      <c r="Q1994" s="8">
        <v>146.35</v>
      </c>
      <c r="R1994" s="8">
        <v>141.77000000000001</v>
      </c>
      <c r="S1994" s="9" t="s">
        <v>548</v>
      </c>
    </row>
    <row r="1995" spans="1:19" hidden="1" x14ac:dyDescent="0.25">
      <c r="A1995" t="s">
        <v>134</v>
      </c>
      <c r="B1995" t="s">
        <v>76</v>
      </c>
      <c r="C1995" t="s">
        <v>124</v>
      </c>
      <c r="D1995" t="s">
        <v>560</v>
      </c>
      <c r="E1995" t="s">
        <v>90</v>
      </c>
      <c r="F1995" t="s">
        <v>90</v>
      </c>
      <c r="G1995">
        <v>0</v>
      </c>
      <c r="H1995">
        <v>2</v>
      </c>
      <c r="I1995">
        <v>2</v>
      </c>
      <c r="J1995">
        <v>2</v>
      </c>
      <c r="K1995" s="6">
        <v>100</v>
      </c>
      <c r="L1995" s="6">
        <v>0</v>
      </c>
      <c r="M1995" s="6">
        <v>100</v>
      </c>
      <c r="N1995">
        <v>0</v>
      </c>
      <c r="O1995" s="6">
        <v>0</v>
      </c>
      <c r="P1995">
        <v>0</v>
      </c>
      <c r="Q1995" s="8">
        <v>226.4</v>
      </c>
      <c r="R1995" s="8">
        <v>226.4</v>
      </c>
      <c r="S1995" s="9" t="s">
        <v>536</v>
      </c>
    </row>
    <row r="1996" spans="1:19" hidden="1" x14ac:dyDescent="0.25">
      <c r="A1996" t="s">
        <v>134</v>
      </c>
      <c r="B1996" t="s">
        <v>76</v>
      </c>
      <c r="C1996" t="s">
        <v>124</v>
      </c>
      <c r="D1996" t="s">
        <v>560</v>
      </c>
      <c r="E1996" t="s">
        <v>90</v>
      </c>
      <c r="F1996" t="s">
        <v>91</v>
      </c>
      <c r="G1996">
        <v>1</v>
      </c>
      <c r="H1996">
        <v>2</v>
      </c>
      <c r="I1996">
        <v>2</v>
      </c>
      <c r="J1996">
        <v>2</v>
      </c>
      <c r="K1996" s="6">
        <v>100</v>
      </c>
      <c r="L1996" s="6">
        <v>0</v>
      </c>
      <c r="M1996" s="6">
        <v>100</v>
      </c>
      <c r="N1996">
        <v>0</v>
      </c>
      <c r="O1996" s="6">
        <v>0</v>
      </c>
      <c r="P1996">
        <v>0</v>
      </c>
      <c r="Q1996" s="8">
        <v>226.4</v>
      </c>
      <c r="R1996" s="8">
        <v>226.4</v>
      </c>
      <c r="S1996" s="9" t="s">
        <v>537</v>
      </c>
    </row>
    <row r="1997" spans="1:19" hidden="1" x14ac:dyDescent="0.25">
      <c r="A1997" t="s">
        <v>134</v>
      </c>
      <c r="B1997" t="s">
        <v>76</v>
      </c>
      <c r="C1997" t="s">
        <v>124</v>
      </c>
      <c r="D1997" t="s">
        <v>560</v>
      </c>
      <c r="E1997" t="s">
        <v>90</v>
      </c>
      <c r="F1997" t="s">
        <v>94</v>
      </c>
      <c r="G1997">
        <v>2</v>
      </c>
      <c r="H1997">
        <v>2</v>
      </c>
      <c r="I1997">
        <v>2</v>
      </c>
      <c r="J1997">
        <v>2</v>
      </c>
      <c r="K1997" s="6">
        <v>98.67</v>
      </c>
      <c r="L1997" s="6">
        <v>-1.29</v>
      </c>
      <c r="M1997" s="6">
        <v>98.67</v>
      </c>
      <c r="N1997">
        <v>0</v>
      </c>
      <c r="O1997" s="6">
        <v>0</v>
      </c>
      <c r="P1997">
        <v>0</v>
      </c>
      <c r="Q1997" s="8">
        <v>226.4</v>
      </c>
      <c r="R1997" s="8">
        <v>223.4</v>
      </c>
      <c r="S1997" s="9" t="s">
        <v>537</v>
      </c>
    </row>
    <row r="1998" spans="1:19" hidden="1" x14ac:dyDescent="0.25">
      <c r="A1998" t="s">
        <v>134</v>
      </c>
      <c r="B1998" t="s">
        <v>76</v>
      </c>
      <c r="C1998" t="s">
        <v>124</v>
      </c>
      <c r="D1998" t="s">
        <v>560</v>
      </c>
      <c r="E1998" t="s">
        <v>90</v>
      </c>
      <c r="F1998" t="s">
        <v>96</v>
      </c>
      <c r="G1998">
        <v>6</v>
      </c>
      <c r="H1998">
        <v>2</v>
      </c>
      <c r="I1998">
        <v>2</v>
      </c>
      <c r="J1998">
        <v>2</v>
      </c>
      <c r="K1998" s="6">
        <v>98.67</v>
      </c>
      <c r="L1998" s="6">
        <v>-1.29</v>
      </c>
      <c r="M1998" s="6">
        <v>98.67</v>
      </c>
      <c r="N1998">
        <v>0</v>
      </c>
      <c r="O1998" s="6">
        <v>0</v>
      </c>
      <c r="P1998">
        <v>0</v>
      </c>
      <c r="Q1998" s="8">
        <v>226.4</v>
      </c>
      <c r="R1998" s="8">
        <v>223.4</v>
      </c>
      <c r="S1998" s="9" t="s">
        <v>537</v>
      </c>
    </row>
    <row r="1999" spans="1:19" hidden="1" x14ac:dyDescent="0.25">
      <c r="A1999" t="s">
        <v>134</v>
      </c>
      <c r="B1999" t="s">
        <v>76</v>
      </c>
      <c r="C1999" t="s">
        <v>124</v>
      </c>
      <c r="D1999" t="s">
        <v>560</v>
      </c>
      <c r="E1999" t="s">
        <v>90</v>
      </c>
      <c r="F1999" t="s">
        <v>6</v>
      </c>
      <c r="G1999">
        <v>13</v>
      </c>
      <c r="H1999">
        <v>2</v>
      </c>
      <c r="I1999">
        <v>2</v>
      </c>
      <c r="J1999">
        <v>2</v>
      </c>
      <c r="K1999" s="6">
        <v>98.67</v>
      </c>
      <c r="L1999" s="6">
        <v>-1.29</v>
      </c>
      <c r="M1999" s="6">
        <v>98.67</v>
      </c>
      <c r="N1999">
        <v>0</v>
      </c>
      <c r="O1999" s="6">
        <v>0</v>
      </c>
      <c r="P1999">
        <v>0</v>
      </c>
      <c r="Q1999" s="8">
        <v>226.4</v>
      </c>
      <c r="R1999" s="8">
        <v>223.4</v>
      </c>
      <c r="S1999" s="9" t="s">
        <v>537</v>
      </c>
    </row>
    <row r="2000" spans="1:19" hidden="1" x14ac:dyDescent="0.25">
      <c r="A2000" t="s">
        <v>134</v>
      </c>
      <c r="B2000" t="s">
        <v>76</v>
      </c>
      <c r="C2000" t="s">
        <v>124</v>
      </c>
      <c r="D2000" t="s">
        <v>524</v>
      </c>
      <c r="E2000" t="s">
        <v>90</v>
      </c>
      <c r="F2000" t="s">
        <v>90</v>
      </c>
      <c r="G2000">
        <v>0</v>
      </c>
      <c r="H2000">
        <v>6</v>
      </c>
      <c r="I2000">
        <v>6</v>
      </c>
      <c r="J2000">
        <v>6</v>
      </c>
      <c r="K2000" s="6">
        <v>100</v>
      </c>
      <c r="L2000" s="6">
        <v>0</v>
      </c>
      <c r="M2000" s="6">
        <v>100</v>
      </c>
      <c r="N2000">
        <v>0</v>
      </c>
      <c r="O2000" s="6">
        <v>0</v>
      </c>
      <c r="P2000">
        <v>0</v>
      </c>
      <c r="Q2000" s="8">
        <v>291.64999999999998</v>
      </c>
      <c r="R2000" s="8">
        <v>291.64999999999998</v>
      </c>
      <c r="S2000" s="9" t="s">
        <v>534</v>
      </c>
    </row>
    <row r="2001" spans="1:19" hidden="1" x14ac:dyDescent="0.25">
      <c r="A2001" t="s">
        <v>134</v>
      </c>
      <c r="B2001" t="s">
        <v>76</v>
      </c>
      <c r="C2001" t="s">
        <v>124</v>
      </c>
      <c r="D2001" t="s">
        <v>524</v>
      </c>
      <c r="E2001" t="s">
        <v>90</v>
      </c>
      <c r="F2001" t="s">
        <v>91</v>
      </c>
      <c r="G2001">
        <v>1</v>
      </c>
      <c r="H2001">
        <v>6</v>
      </c>
      <c r="I2001">
        <v>6</v>
      </c>
      <c r="J2001">
        <v>6</v>
      </c>
      <c r="K2001" s="6">
        <v>100</v>
      </c>
      <c r="L2001" s="6">
        <v>0</v>
      </c>
      <c r="M2001" s="6">
        <v>100</v>
      </c>
      <c r="N2001">
        <v>0</v>
      </c>
      <c r="O2001" s="6">
        <v>0</v>
      </c>
      <c r="P2001">
        <v>0</v>
      </c>
      <c r="Q2001" s="8">
        <v>291.64999999999998</v>
      </c>
      <c r="R2001" s="8">
        <v>291.64999999999998</v>
      </c>
      <c r="S2001" s="9" t="s">
        <v>535</v>
      </c>
    </row>
    <row r="2002" spans="1:19" hidden="1" x14ac:dyDescent="0.25">
      <c r="A2002" t="s">
        <v>134</v>
      </c>
      <c r="B2002" t="s">
        <v>76</v>
      </c>
      <c r="C2002" t="s">
        <v>124</v>
      </c>
      <c r="D2002" t="s">
        <v>524</v>
      </c>
      <c r="E2002" t="s">
        <v>90</v>
      </c>
      <c r="F2002" t="s">
        <v>94</v>
      </c>
      <c r="G2002">
        <v>2</v>
      </c>
      <c r="H2002">
        <v>6</v>
      </c>
      <c r="I2002">
        <v>6</v>
      </c>
      <c r="J2002">
        <v>6</v>
      </c>
      <c r="K2002" s="6">
        <v>100</v>
      </c>
      <c r="L2002" s="6">
        <v>0</v>
      </c>
      <c r="M2002" s="6">
        <v>100</v>
      </c>
      <c r="N2002">
        <v>0</v>
      </c>
      <c r="O2002" s="6">
        <v>0</v>
      </c>
      <c r="P2002">
        <v>0</v>
      </c>
      <c r="Q2002" s="8">
        <v>291.64999999999998</v>
      </c>
      <c r="R2002" s="8">
        <v>291.64999999999998</v>
      </c>
      <c r="S2002" s="9" t="s">
        <v>535</v>
      </c>
    </row>
    <row r="2003" spans="1:19" hidden="1" x14ac:dyDescent="0.25">
      <c r="A2003" t="s">
        <v>134</v>
      </c>
      <c r="B2003" t="s">
        <v>76</v>
      </c>
      <c r="C2003" t="s">
        <v>124</v>
      </c>
      <c r="D2003" t="s">
        <v>524</v>
      </c>
      <c r="E2003" t="s">
        <v>90</v>
      </c>
      <c r="F2003" t="s">
        <v>96</v>
      </c>
      <c r="G2003">
        <v>6</v>
      </c>
      <c r="H2003">
        <v>6</v>
      </c>
      <c r="I2003">
        <v>6</v>
      </c>
      <c r="J2003">
        <v>6</v>
      </c>
      <c r="K2003" s="6">
        <v>99.89</v>
      </c>
      <c r="L2003" s="6">
        <v>0</v>
      </c>
      <c r="M2003" s="6">
        <v>99.89</v>
      </c>
      <c r="N2003">
        <v>0</v>
      </c>
      <c r="O2003" s="6">
        <v>0</v>
      </c>
      <c r="P2003">
        <v>0</v>
      </c>
      <c r="Q2003" s="8">
        <v>291.64999999999998</v>
      </c>
      <c r="R2003" s="8">
        <v>291.31</v>
      </c>
      <c r="S2003" s="9" t="s">
        <v>535</v>
      </c>
    </row>
    <row r="2004" spans="1:19" hidden="1" x14ac:dyDescent="0.25">
      <c r="A2004" t="s">
        <v>134</v>
      </c>
      <c r="B2004" t="s">
        <v>76</v>
      </c>
      <c r="C2004" t="s">
        <v>124</v>
      </c>
      <c r="D2004" t="s">
        <v>524</v>
      </c>
      <c r="E2004" t="s">
        <v>90</v>
      </c>
      <c r="F2004" t="s">
        <v>6</v>
      </c>
      <c r="G2004">
        <v>13</v>
      </c>
      <c r="H2004">
        <v>6</v>
      </c>
      <c r="I2004">
        <v>6</v>
      </c>
      <c r="J2004">
        <v>6</v>
      </c>
      <c r="K2004" s="6">
        <v>99.09</v>
      </c>
      <c r="L2004" s="6">
        <v>0</v>
      </c>
      <c r="M2004" s="6">
        <v>99.09</v>
      </c>
      <c r="N2004">
        <v>0</v>
      </c>
      <c r="O2004" s="6">
        <v>0</v>
      </c>
      <c r="P2004">
        <v>0</v>
      </c>
      <c r="Q2004" s="8">
        <v>291.64999999999998</v>
      </c>
      <c r="R2004" s="8">
        <v>288.98</v>
      </c>
      <c r="S2004" s="9" t="s">
        <v>535</v>
      </c>
    </row>
    <row r="2005" spans="1:19" hidden="1" x14ac:dyDescent="0.25">
      <c r="A2005" t="s">
        <v>134</v>
      </c>
      <c r="B2005" t="s">
        <v>76</v>
      </c>
      <c r="C2005" t="s">
        <v>124</v>
      </c>
      <c r="D2005" t="s">
        <v>527</v>
      </c>
      <c r="E2005" t="s">
        <v>90</v>
      </c>
      <c r="F2005" t="s">
        <v>90</v>
      </c>
      <c r="G2005">
        <v>0</v>
      </c>
      <c r="H2005">
        <v>28</v>
      </c>
      <c r="I2005">
        <v>28</v>
      </c>
      <c r="J2005">
        <v>28</v>
      </c>
      <c r="K2005" s="6">
        <v>100</v>
      </c>
      <c r="L2005" s="6">
        <v>0</v>
      </c>
      <c r="M2005" s="6">
        <v>100</v>
      </c>
      <c r="N2005">
        <v>0</v>
      </c>
      <c r="O2005" s="6">
        <v>0</v>
      </c>
      <c r="P2005">
        <v>0</v>
      </c>
      <c r="Q2005" s="8">
        <v>366.43</v>
      </c>
      <c r="R2005" s="8">
        <v>366.43</v>
      </c>
      <c r="S2005" s="9" t="s">
        <v>556</v>
      </c>
    </row>
    <row r="2006" spans="1:19" hidden="1" x14ac:dyDescent="0.25">
      <c r="A2006" t="s">
        <v>134</v>
      </c>
      <c r="B2006" t="s">
        <v>76</v>
      </c>
      <c r="C2006" t="s">
        <v>124</v>
      </c>
      <c r="D2006" t="s">
        <v>527</v>
      </c>
      <c r="E2006" t="s">
        <v>90</v>
      </c>
      <c r="F2006" t="s">
        <v>91</v>
      </c>
      <c r="G2006">
        <v>1</v>
      </c>
      <c r="H2006">
        <v>28</v>
      </c>
      <c r="I2006">
        <v>26</v>
      </c>
      <c r="J2006">
        <v>26</v>
      </c>
      <c r="K2006" s="6">
        <v>100</v>
      </c>
      <c r="L2006" s="6">
        <v>0</v>
      </c>
      <c r="M2006" s="6">
        <v>98.05</v>
      </c>
      <c r="N2006">
        <v>-1.95</v>
      </c>
      <c r="O2006" s="6">
        <v>7.1</v>
      </c>
      <c r="P2006">
        <v>0</v>
      </c>
      <c r="Q2006" s="8">
        <v>359.3</v>
      </c>
      <c r="R2006" s="8">
        <v>359.3</v>
      </c>
      <c r="S2006" s="10" t="s">
        <v>608</v>
      </c>
    </row>
    <row r="2007" spans="1:19" hidden="1" x14ac:dyDescent="0.25">
      <c r="A2007" t="s">
        <v>134</v>
      </c>
      <c r="B2007" t="s">
        <v>76</v>
      </c>
      <c r="C2007" t="s">
        <v>124</v>
      </c>
      <c r="D2007" t="s">
        <v>527</v>
      </c>
      <c r="E2007" t="s">
        <v>90</v>
      </c>
      <c r="F2007" t="s">
        <v>94</v>
      </c>
      <c r="G2007">
        <v>2</v>
      </c>
      <c r="H2007">
        <v>28</v>
      </c>
      <c r="I2007">
        <v>26</v>
      </c>
      <c r="J2007">
        <v>26</v>
      </c>
      <c r="K2007" s="6">
        <v>99.89</v>
      </c>
      <c r="L2007" s="6">
        <v>0</v>
      </c>
      <c r="M2007" s="6">
        <v>97.95</v>
      </c>
      <c r="N2007">
        <v>-1.94</v>
      </c>
      <c r="O2007" s="6">
        <v>7.1</v>
      </c>
      <c r="P2007">
        <v>0</v>
      </c>
      <c r="Q2007" s="8">
        <v>359.3</v>
      </c>
      <c r="R2007" s="8">
        <v>358.92</v>
      </c>
      <c r="S2007" s="10" t="s">
        <v>608</v>
      </c>
    </row>
    <row r="2008" spans="1:19" hidden="1" x14ac:dyDescent="0.25">
      <c r="A2008" t="s">
        <v>134</v>
      </c>
      <c r="B2008" t="s">
        <v>76</v>
      </c>
      <c r="C2008" t="s">
        <v>124</v>
      </c>
      <c r="D2008" t="s">
        <v>527</v>
      </c>
      <c r="E2008" t="s">
        <v>90</v>
      </c>
      <c r="F2008" t="s">
        <v>96</v>
      </c>
      <c r="G2008">
        <v>6</v>
      </c>
      <c r="H2008">
        <v>28</v>
      </c>
      <c r="I2008">
        <v>28</v>
      </c>
      <c r="J2008">
        <v>26</v>
      </c>
      <c r="K2008" s="6">
        <v>99.72</v>
      </c>
      <c r="L2008" s="6">
        <v>0</v>
      </c>
      <c r="M2008" s="6">
        <v>96.9</v>
      </c>
      <c r="N2008">
        <v>-2.82</v>
      </c>
      <c r="O2008" s="6">
        <v>7.1</v>
      </c>
      <c r="P2008">
        <v>2</v>
      </c>
      <c r="Q2008" s="8">
        <v>359.3</v>
      </c>
      <c r="R2008" s="8">
        <v>358.31</v>
      </c>
      <c r="S2008" s="10" t="s">
        <v>608</v>
      </c>
    </row>
    <row r="2009" spans="1:19" hidden="1" x14ac:dyDescent="0.25">
      <c r="A2009" t="s">
        <v>134</v>
      </c>
      <c r="B2009" t="s">
        <v>76</v>
      </c>
      <c r="C2009" t="s">
        <v>124</v>
      </c>
      <c r="D2009" t="s">
        <v>527</v>
      </c>
      <c r="E2009" t="s">
        <v>90</v>
      </c>
      <c r="F2009" t="s">
        <v>6</v>
      </c>
      <c r="G2009">
        <v>13</v>
      </c>
      <c r="H2009">
        <v>28</v>
      </c>
      <c r="I2009">
        <v>26</v>
      </c>
      <c r="J2009">
        <v>24</v>
      </c>
      <c r="K2009" s="6">
        <v>98.04</v>
      </c>
      <c r="L2009" s="6">
        <v>0</v>
      </c>
      <c r="M2009" s="6">
        <v>95.19</v>
      </c>
      <c r="N2009">
        <v>-2.85</v>
      </c>
      <c r="O2009" s="6">
        <v>14.3</v>
      </c>
      <c r="P2009">
        <v>2</v>
      </c>
      <c r="Q2009" s="8">
        <v>358.84</v>
      </c>
      <c r="R2009" s="8">
        <v>351.82</v>
      </c>
      <c r="S2009" s="10" t="s">
        <v>602</v>
      </c>
    </row>
    <row r="2010" spans="1:19" hidden="1" x14ac:dyDescent="0.25">
      <c r="A2010" t="s">
        <v>134</v>
      </c>
      <c r="B2010" t="s">
        <v>76</v>
      </c>
      <c r="C2010" t="s">
        <v>124</v>
      </c>
      <c r="D2010" t="s">
        <v>530</v>
      </c>
      <c r="E2010" t="s">
        <v>90</v>
      </c>
      <c r="F2010" t="s">
        <v>90</v>
      </c>
      <c r="G2010">
        <v>0</v>
      </c>
      <c r="H2010">
        <v>12</v>
      </c>
      <c r="I2010">
        <v>12</v>
      </c>
      <c r="J2010">
        <v>12</v>
      </c>
      <c r="K2010" s="6">
        <v>100</v>
      </c>
      <c r="L2010" s="6">
        <v>0</v>
      </c>
      <c r="M2010" s="6">
        <v>100</v>
      </c>
      <c r="N2010">
        <v>0</v>
      </c>
      <c r="O2010" s="6">
        <v>0</v>
      </c>
      <c r="P2010">
        <v>0</v>
      </c>
      <c r="Q2010" s="8">
        <v>386.51</v>
      </c>
      <c r="R2010" s="8">
        <v>386.51</v>
      </c>
      <c r="S2010" s="9" t="s">
        <v>586</v>
      </c>
    </row>
    <row r="2011" spans="1:19" hidden="1" x14ac:dyDescent="0.25">
      <c r="A2011" t="s">
        <v>134</v>
      </c>
      <c r="B2011" t="s">
        <v>76</v>
      </c>
      <c r="C2011" t="s">
        <v>124</v>
      </c>
      <c r="D2011" t="s">
        <v>530</v>
      </c>
      <c r="E2011" t="s">
        <v>90</v>
      </c>
      <c r="F2011" t="s">
        <v>91</v>
      </c>
      <c r="G2011">
        <v>1</v>
      </c>
      <c r="H2011">
        <v>12</v>
      </c>
      <c r="I2011">
        <v>12</v>
      </c>
      <c r="J2011">
        <v>12</v>
      </c>
      <c r="K2011" s="6">
        <v>100</v>
      </c>
      <c r="L2011" s="6">
        <v>0</v>
      </c>
      <c r="M2011" s="6">
        <v>100</v>
      </c>
      <c r="N2011">
        <v>0</v>
      </c>
      <c r="O2011" s="6">
        <v>0</v>
      </c>
      <c r="P2011">
        <v>0</v>
      </c>
      <c r="Q2011" s="8">
        <v>386.51</v>
      </c>
      <c r="R2011" s="8">
        <v>386.51</v>
      </c>
      <c r="S2011" s="10" t="s">
        <v>587</v>
      </c>
    </row>
    <row r="2012" spans="1:19" hidden="1" x14ac:dyDescent="0.25">
      <c r="A2012" t="s">
        <v>134</v>
      </c>
      <c r="B2012" t="s">
        <v>76</v>
      </c>
      <c r="C2012" t="s">
        <v>124</v>
      </c>
      <c r="D2012" t="s">
        <v>530</v>
      </c>
      <c r="E2012" t="s">
        <v>90</v>
      </c>
      <c r="F2012" t="s">
        <v>94</v>
      </c>
      <c r="G2012">
        <v>2</v>
      </c>
      <c r="H2012">
        <v>12</v>
      </c>
      <c r="I2012">
        <v>12</v>
      </c>
      <c r="J2012">
        <v>12</v>
      </c>
      <c r="K2012" s="6">
        <v>99.97</v>
      </c>
      <c r="L2012" s="6">
        <v>0</v>
      </c>
      <c r="M2012" s="6">
        <v>99.97</v>
      </c>
      <c r="N2012">
        <v>0</v>
      </c>
      <c r="O2012" s="6">
        <v>0</v>
      </c>
      <c r="P2012">
        <v>0</v>
      </c>
      <c r="Q2012" s="8">
        <v>386.51</v>
      </c>
      <c r="R2012" s="8">
        <v>386.39</v>
      </c>
      <c r="S2012" s="10" t="s">
        <v>587</v>
      </c>
    </row>
    <row r="2013" spans="1:19" hidden="1" x14ac:dyDescent="0.25">
      <c r="A2013" t="s">
        <v>134</v>
      </c>
      <c r="B2013" t="s">
        <v>76</v>
      </c>
      <c r="C2013" t="s">
        <v>124</v>
      </c>
      <c r="D2013" t="s">
        <v>530</v>
      </c>
      <c r="E2013" t="s">
        <v>90</v>
      </c>
      <c r="F2013" t="s">
        <v>96</v>
      </c>
      <c r="G2013">
        <v>6</v>
      </c>
      <c r="H2013">
        <v>12</v>
      </c>
      <c r="I2013">
        <v>12</v>
      </c>
      <c r="J2013">
        <v>12</v>
      </c>
      <c r="K2013" s="6">
        <v>99.97</v>
      </c>
      <c r="L2013" s="6">
        <v>0</v>
      </c>
      <c r="M2013" s="6">
        <v>99.97</v>
      </c>
      <c r="N2013">
        <v>0</v>
      </c>
      <c r="O2013" s="6">
        <v>0</v>
      </c>
      <c r="P2013">
        <v>0</v>
      </c>
      <c r="Q2013" s="8">
        <v>386.51</v>
      </c>
      <c r="R2013" s="8">
        <v>386.39</v>
      </c>
      <c r="S2013" s="10" t="s">
        <v>587</v>
      </c>
    </row>
    <row r="2014" spans="1:19" hidden="1" x14ac:dyDescent="0.25">
      <c r="A2014" t="s">
        <v>134</v>
      </c>
      <c r="B2014" t="s">
        <v>76</v>
      </c>
      <c r="C2014" t="s">
        <v>124</v>
      </c>
      <c r="D2014" t="s">
        <v>530</v>
      </c>
      <c r="E2014" t="s">
        <v>90</v>
      </c>
      <c r="F2014" t="s">
        <v>6</v>
      </c>
      <c r="G2014">
        <v>13</v>
      </c>
      <c r="H2014">
        <v>12</v>
      </c>
      <c r="I2014">
        <v>12</v>
      </c>
      <c r="J2014">
        <v>10</v>
      </c>
      <c r="K2014" s="6">
        <v>99.28</v>
      </c>
      <c r="L2014" s="6">
        <v>0</v>
      </c>
      <c r="M2014" s="6">
        <v>102.5</v>
      </c>
      <c r="N2014">
        <v>3.22</v>
      </c>
      <c r="O2014" s="6">
        <v>16.7</v>
      </c>
      <c r="P2014">
        <v>2</v>
      </c>
      <c r="Q2014" s="8">
        <v>394.84</v>
      </c>
      <c r="R2014" s="8">
        <v>392.02</v>
      </c>
      <c r="S2014" s="10" t="s">
        <v>131</v>
      </c>
    </row>
    <row r="2015" spans="1:19" hidden="1" x14ac:dyDescent="0.25">
      <c r="A2015" t="s">
        <v>134</v>
      </c>
      <c r="B2015" t="s">
        <v>76</v>
      </c>
      <c r="C2015" t="s">
        <v>124</v>
      </c>
      <c r="D2015" t="s">
        <v>531</v>
      </c>
      <c r="E2015" t="s">
        <v>90</v>
      </c>
      <c r="F2015" t="s">
        <v>90</v>
      </c>
      <c r="G2015">
        <v>0</v>
      </c>
      <c r="H2015">
        <v>10</v>
      </c>
      <c r="I2015">
        <v>10</v>
      </c>
      <c r="J2015">
        <v>10</v>
      </c>
      <c r="K2015" s="6">
        <v>100</v>
      </c>
      <c r="L2015" s="6">
        <v>0</v>
      </c>
      <c r="M2015" s="6">
        <v>100</v>
      </c>
      <c r="N2015">
        <v>0</v>
      </c>
      <c r="O2015" s="6">
        <v>0</v>
      </c>
      <c r="P2015">
        <v>0</v>
      </c>
      <c r="Q2015" s="8">
        <v>426.78</v>
      </c>
      <c r="R2015" s="8">
        <v>426.78</v>
      </c>
      <c r="S2015" s="9" t="s">
        <v>584</v>
      </c>
    </row>
    <row r="2016" spans="1:19" hidden="1" x14ac:dyDescent="0.25">
      <c r="A2016" t="s">
        <v>134</v>
      </c>
      <c r="B2016" t="s">
        <v>76</v>
      </c>
      <c r="C2016" t="s">
        <v>124</v>
      </c>
      <c r="D2016" t="s">
        <v>531</v>
      </c>
      <c r="E2016" t="s">
        <v>90</v>
      </c>
      <c r="F2016" t="s">
        <v>91</v>
      </c>
      <c r="G2016">
        <v>1</v>
      </c>
      <c r="H2016">
        <v>10</v>
      </c>
      <c r="I2016">
        <v>10</v>
      </c>
      <c r="J2016">
        <v>10</v>
      </c>
      <c r="K2016" s="6">
        <v>100</v>
      </c>
      <c r="L2016" s="6">
        <v>0</v>
      </c>
      <c r="M2016" s="6">
        <v>100</v>
      </c>
      <c r="N2016">
        <v>0</v>
      </c>
      <c r="O2016" s="6">
        <v>0</v>
      </c>
      <c r="P2016">
        <v>0</v>
      </c>
      <c r="Q2016" s="8">
        <v>426.78</v>
      </c>
      <c r="R2016" s="8">
        <v>426.78</v>
      </c>
      <c r="S2016" s="10" t="s">
        <v>131</v>
      </c>
    </row>
    <row r="2017" spans="1:19" hidden="1" x14ac:dyDescent="0.25">
      <c r="A2017" t="s">
        <v>134</v>
      </c>
      <c r="B2017" t="s">
        <v>76</v>
      </c>
      <c r="C2017" t="s">
        <v>124</v>
      </c>
      <c r="D2017" t="s">
        <v>531</v>
      </c>
      <c r="E2017" t="s">
        <v>90</v>
      </c>
      <c r="F2017" t="s">
        <v>94</v>
      </c>
      <c r="G2017">
        <v>2</v>
      </c>
      <c r="H2017">
        <v>10</v>
      </c>
      <c r="I2017">
        <v>10</v>
      </c>
      <c r="J2017">
        <v>10</v>
      </c>
      <c r="K2017" s="6">
        <v>100.23</v>
      </c>
      <c r="L2017" s="6">
        <v>0</v>
      </c>
      <c r="M2017" s="6">
        <v>100.23</v>
      </c>
      <c r="N2017">
        <v>0</v>
      </c>
      <c r="O2017" s="6">
        <v>0</v>
      </c>
      <c r="P2017">
        <v>0</v>
      </c>
      <c r="Q2017" s="8">
        <v>426.78</v>
      </c>
      <c r="R2017" s="8">
        <v>427.78</v>
      </c>
      <c r="S2017" s="10" t="s">
        <v>131</v>
      </c>
    </row>
    <row r="2018" spans="1:19" hidden="1" x14ac:dyDescent="0.25">
      <c r="A2018" t="s">
        <v>134</v>
      </c>
      <c r="B2018" t="s">
        <v>76</v>
      </c>
      <c r="C2018" t="s">
        <v>124</v>
      </c>
      <c r="D2018" t="s">
        <v>531</v>
      </c>
      <c r="E2018" t="s">
        <v>90</v>
      </c>
      <c r="F2018" t="s">
        <v>96</v>
      </c>
      <c r="G2018">
        <v>6</v>
      </c>
      <c r="H2018">
        <v>10</v>
      </c>
      <c r="I2018">
        <v>10</v>
      </c>
      <c r="J2018">
        <v>10</v>
      </c>
      <c r="K2018" s="6">
        <v>100.23</v>
      </c>
      <c r="L2018" s="6">
        <v>0</v>
      </c>
      <c r="M2018" s="6">
        <v>100.23</v>
      </c>
      <c r="N2018">
        <v>0</v>
      </c>
      <c r="O2018" s="6">
        <v>0</v>
      </c>
      <c r="P2018">
        <v>0</v>
      </c>
      <c r="Q2018" s="8">
        <v>426.78</v>
      </c>
      <c r="R2018" s="8">
        <v>427.78</v>
      </c>
      <c r="S2018" s="10" t="s">
        <v>131</v>
      </c>
    </row>
    <row r="2019" spans="1:19" hidden="1" x14ac:dyDescent="0.25">
      <c r="A2019" t="s">
        <v>134</v>
      </c>
      <c r="B2019" t="s">
        <v>76</v>
      </c>
      <c r="C2019" t="s">
        <v>124</v>
      </c>
      <c r="D2019" t="s">
        <v>531</v>
      </c>
      <c r="E2019" t="s">
        <v>90</v>
      </c>
      <c r="F2019" t="s">
        <v>6</v>
      </c>
      <c r="G2019">
        <v>13</v>
      </c>
      <c r="H2019">
        <v>10</v>
      </c>
      <c r="I2019">
        <v>10</v>
      </c>
      <c r="J2019">
        <v>10</v>
      </c>
      <c r="K2019" s="6">
        <v>98.83</v>
      </c>
      <c r="L2019" s="6">
        <v>-0.87</v>
      </c>
      <c r="M2019" s="6">
        <v>98.83</v>
      </c>
      <c r="N2019">
        <v>0</v>
      </c>
      <c r="O2019" s="6">
        <v>0</v>
      </c>
      <c r="P2019">
        <v>0</v>
      </c>
      <c r="Q2019" s="8">
        <v>426.78</v>
      </c>
      <c r="R2019" s="8">
        <v>421.78</v>
      </c>
      <c r="S2019" s="10" t="s">
        <v>131</v>
      </c>
    </row>
    <row r="2020" spans="1:19" hidden="1" x14ac:dyDescent="0.25">
      <c r="A2020" t="s">
        <v>134</v>
      </c>
      <c r="B2020" t="s">
        <v>76</v>
      </c>
      <c r="C2020" t="s">
        <v>124</v>
      </c>
      <c r="D2020" t="s">
        <v>532</v>
      </c>
      <c r="E2020" t="s">
        <v>90</v>
      </c>
      <c r="F2020" t="s">
        <v>90</v>
      </c>
      <c r="G2020">
        <v>0</v>
      </c>
      <c r="H2020">
        <v>18</v>
      </c>
      <c r="I2020">
        <v>18</v>
      </c>
      <c r="J2020">
        <v>18</v>
      </c>
      <c r="K2020" s="6">
        <v>100</v>
      </c>
      <c r="L2020" s="6">
        <v>0</v>
      </c>
      <c r="M2020" s="6">
        <v>100</v>
      </c>
      <c r="N2020">
        <v>0</v>
      </c>
      <c r="O2020" s="6">
        <v>0</v>
      </c>
      <c r="P2020">
        <v>0</v>
      </c>
      <c r="Q2020" s="8">
        <v>347.32</v>
      </c>
      <c r="R2020" s="8">
        <v>347.32</v>
      </c>
      <c r="S2020" s="9" t="s">
        <v>620</v>
      </c>
    </row>
    <row r="2021" spans="1:19" hidden="1" x14ac:dyDescent="0.25">
      <c r="A2021" t="s">
        <v>134</v>
      </c>
      <c r="B2021" t="s">
        <v>76</v>
      </c>
      <c r="C2021" t="s">
        <v>124</v>
      </c>
      <c r="D2021" t="s">
        <v>532</v>
      </c>
      <c r="E2021" t="s">
        <v>90</v>
      </c>
      <c r="F2021" t="s">
        <v>91</v>
      </c>
      <c r="G2021">
        <v>1</v>
      </c>
      <c r="H2021">
        <v>18</v>
      </c>
      <c r="I2021">
        <v>20</v>
      </c>
      <c r="J2021">
        <v>18</v>
      </c>
      <c r="K2021" s="6">
        <v>100</v>
      </c>
      <c r="L2021" s="6">
        <v>0</v>
      </c>
      <c r="M2021" s="6">
        <v>100.98</v>
      </c>
      <c r="N2021">
        <v>0.98</v>
      </c>
      <c r="O2021" s="6">
        <v>0</v>
      </c>
      <c r="P2021">
        <v>2</v>
      </c>
      <c r="Q2021" s="8">
        <v>347.32</v>
      </c>
      <c r="R2021" s="8">
        <v>347.32</v>
      </c>
      <c r="S2021" s="10" t="s">
        <v>488</v>
      </c>
    </row>
    <row r="2022" spans="1:19" hidden="1" x14ac:dyDescent="0.25">
      <c r="A2022" t="s">
        <v>134</v>
      </c>
      <c r="B2022" t="s">
        <v>76</v>
      </c>
      <c r="C2022" t="s">
        <v>124</v>
      </c>
      <c r="D2022" t="s">
        <v>532</v>
      </c>
      <c r="E2022" t="s">
        <v>90</v>
      </c>
      <c r="F2022" t="s">
        <v>94</v>
      </c>
      <c r="G2022">
        <v>2</v>
      </c>
      <c r="H2022">
        <v>18</v>
      </c>
      <c r="I2022">
        <v>18</v>
      </c>
      <c r="J2022">
        <v>18</v>
      </c>
      <c r="K2022" s="6">
        <v>99.73</v>
      </c>
      <c r="L2022" s="6">
        <v>0</v>
      </c>
      <c r="M2022" s="6">
        <v>99.73</v>
      </c>
      <c r="N2022">
        <v>0</v>
      </c>
      <c r="O2022" s="6">
        <v>0</v>
      </c>
      <c r="P2022">
        <v>0</v>
      </c>
      <c r="Q2022" s="8">
        <v>347.32</v>
      </c>
      <c r="R2022" s="8">
        <v>346.37</v>
      </c>
      <c r="S2022" s="10" t="s">
        <v>488</v>
      </c>
    </row>
    <row r="2023" spans="1:19" hidden="1" x14ac:dyDescent="0.25">
      <c r="A2023" t="s">
        <v>134</v>
      </c>
      <c r="B2023" t="s">
        <v>76</v>
      </c>
      <c r="C2023" t="s">
        <v>124</v>
      </c>
      <c r="D2023" t="s">
        <v>532</v>
      </c>
      <c r="E2023" t="s">
        <v>90</v>
      </c>
      <c r="F2023" t="s">
        <v>96</v>
      </c>
      <c r="G2023">
        <v>6</v>
      </c>
      <c r="H2023">
        <v>18</v>
      </c>
      <c r="I2023">
        <v>18</v>
      </c>
      <c r="J2023">
        <v>18</v>
      </c>
      <c r="K2023" s="6">
        <v>99.73</v>
      </c>
      <c r="L2023" s="6">
        <v>0</v>
      </c>
      <c r="M2023" s="6">
        <v>99.73</v>
      </c>
      <c r="N2023">
        <v>0</v>
      </c>
      <c r="O2023" s="6">
        <v>0</v>
      </c>
      <c r="P2023">
        <v>0</v>
      </c>
      <c r="Q2023" s="8">
        <v>347.32</v>
      </c>
      <c r="R2023" s="8">
        <v>346.37</v>
      </c>
      <c r="S2023" s="10" t="s">
        <v>488</v>
      </c>
    </row>
    <row r="2024" spans="1:19" hidden="1" x14ac:dyDescent="0.25">
      <c r="A2024" t="s">
        <v>134</v>
      </c>
      <c r="B2024" t="s">
        <v>76</v>
      </c>
      <c r="C2024" t="s">
        <v>124</v>
      </c>
      <c r="D2024" t="s">
        <v>532</v>
      </c>
      <c r="E2024" t="s">
        <v>90</v>
      </c>
      <c r="F2024" t="s">
        <v>6</v>
      </c>
      <c r="G2024">
        <v>13</v>
      </c>
      <c r="H2024">
        <v>18</v>
      </c>
      <c r="I2024">
        <v>16</v>
      </c>
      <c r="J2024">
        <v>16</v>
      </c>
      <c r="K2024" s="6">
        <v>98.36</v>
      </c>
      <c r="L2024" s="6">
        <v>0</v>
      </c>
      <c r="M2024" s="6">
        <v>98.82</v>
      </c>
      <c r="N2024">
        <v>0.46</v>
      </c>
      <c r="O2024" s="6">
        <v>11.1</v>
      </c>
      <c r="P2024">
        <v>0</v>
      </c>
      <c r="Q2024" s="8">
        <v>348.97</v>
      </c>
      <c r="R2024" s="8">
        <v>343.23</v>
      </c>
      <c r="S2024" s="10" t="s">
        <v>609</v>
      </c>
    </row>
    <row r="2025" spans="1:19" hidden="1" x14ac:dyDescent="0.25">
      <c r="A2025" t="s">
        <v>134</v>
      </c>
      <c r="B2025" t="s">
        <v>76</v>
      </c>
      <c r="C2025" t="s">
        <v>124</v>
      </c>
      <c r="D2025" t="s">
        <v>533</v>
      </c>
      <c r="E2025" t="s">
        <v>94</v>
      </c>
      <c r="F2025" t="s">
        <v>94</v>
      </c>
      <c r="G2025">
        <v>0</v>
      </c>
      <c r="H2025">
        <v>12</v>
      </c>
      <c r="I2025">
        <v>12</v>
      </c>
      <c r="J2025">
        <v>12</v>
      </c>
      <c r="K2025" s="6">
        <v>100</v>
      </c>
      <c r="L2025" s="6">
        <v>0</v>
      </c>
      <c r="M2025" s="6">
        <v>100</v>
      </c>
      <c r="N2025">
        <v>0</v>
      </c>
      <c r="O2025" s="6">
        <v>0</v>
      </c>
      <c r="P2025">
        <v>0</v>
      </c>
      <c r="Q2025" s="8">
        <v>390.37</v>
      </c>
      <c r="R2025" s="8">
        <v>390.37</v>
      </c>
      <c r="S2025" s="9" t="s">
        <v>586</v>
      </c>
    </row>
    <row r="2026" spans="1:19" hidden="1" x14ac:dyDescent="0.25">
      <c r="A2026" t="s">
        <v>134</v>
      </c>
      <c r="B2026" t="s">
        <v>76</v>
      </c>
      <c r="C2026" t="s">
        <v>124</v>
      </c>
      <c r="D2026" t="s">
        <v>533</v>
      </c>
      <c r="E2026" t="s">
        <v>94</v>
      </c>
      <c r="F2026" t="s">
        <v>96</v>
      </c>
      <c r="G2026">
        <v>4</v>
      </c>
      <c r="H2026">
        <v>12</v>
      </c>
      <c r="I2026">
        <v>14</v>
      </c>
      <c r="J2026">
        <v>12</v>
      </c>
      <c r="K2026" s="6">
        <v>100</v>
      </c>
      <c r="L2026" s="6">
        <v>0</v>
      </c>
      <c r="M2026" s="6">
        <v>102.62</v>
      </c>
      <c r="N2026">
        <v>2.62</v>
      </c>
      <c r="O2026" s="6">
        <v>0</v>
      </c>
      <c r="P2026">
        <v>2</v>
      </c>
      <c r="Q2026" s="8">
        <v>390.37</v>
      </c>
      <c r="R2026" s="8">
        <v>390.37</v>
      </c>
      <c r="S2026" s="10" t="s">
        <v>587</v>
      </c>
    </row>
    <row r="2027" spans="1:19" hidden="1" x14ac:dyDescent="0.25">
      <c r="A2027" t="s">
        <v>134</v>
      </c>
      <c r="B2027" t="s">
        <v>76</v>
      </c>
      <c r="C2027" t="s">
        <v>124</v>
      </c>
      <c r="D2027" t="s">
        <v>533</v>
      </c>
      <c r="E2027" t="s">
        <v>94</v>
      </c>
      <c r="F2027" t="s">
        <v>6</v>
      </c>
      <c r="G2027">
        <v>11</v>
      </c>
      <c r="H2027">
        <v>12</v>
      </c>
      <c r="I2027">
        <v>12</v>
      </c>
      <c r="J2027">
        <v>10</v>
      </c>
      <c r="K2027" s="6">
        <v>100.2</v>
      </c>
      <c r="L2027" s="6">
        <v>0</v>
      </c>
      <c r="M2027" s="6">
        <v>104.68</v>
      </c>
      <c r="N2027">
        <v>4.4800000000000004</v>
      </c>
      <c r="O2027" s="6">
        <v>16.7</v>
      </c>
      <c r="P2027">
        <v>2</v>
      </c>
      <c r="Q2027" s="8">
        <v>394.75</v>
      </c>
      <c r="R2027" s="8">
        <v>395.53</v>
      </c>
      <c r="S2027" s="10" t="s">
        <v>131</v>
      </c>
    </row>
    <row r="2028" spans="1:19" hidden="1" x14ac:dyDescent="0.25">
      <c r="A2028" t="s">
        <v>134</v>
      </c>
      <c r="B2028" t="s">
        <v>76</v>
      </c>
      <c r="C2028" t="s">
        <v>124</v>
      </c>
      <c r="D2028" t="s">
        <v>545</v>
      </c>
      <c r="E2028" t="s">
        <v>94</v>
      </c>
      <c r="F2028" t="s">
        <v>94</v>
      </c>
      <c r="G2028">
        <v>0</v>
      </c>
      <c r="H2028">
        <v>14</v>
      </c>
      <c r="I2028">
        <v>14</v>
      </c>
      <c r="J2028">
        <v>14</v>
      </c>
      <c r="K2028" s="6">
        <v>100</v>
      </c>
      <c r="L2028" s="6">
        <v>0</v>
      </c>
      <c r="M2028" s="6">
        <v>100</v>
      </c>
      <c r="N2028">
        <v>0</v>
      </c>
      <c r="O2028" s="6">
        <v>0</v>
      </c>
      <c r="P2028">
        <v>0</v>
      </c>
      <c r="Q2028" s="8">
        <v>339.38</v>
      </c>
      <c r="R2028" s="8">
        <v>339.38</v>
      </c>
      <c r="S2028" s="9" t="s">
        <v>617</v>
      </c>
    </row>
    <row r="2029" spans="1:19" hidden="1" x14ac:dyDescent="0.25">
      <c r="A2029" t="s">
        <v>134</v>
      </c>
      <c r="B2029" t="s">
        <v>76</v>
      </c>
      <c r="C2029" t="s">
        <v>124</v>
      </c>
      <c r="D2029" t="s">
        <v>545</v>
      </c>
      <c r="E2029" t="s">
        <v>94</v>
      </c>
      <c r="F2029" t="s">
        <v>96</v>
      </c>
      <c r="G2029">
        <v>4</v>
      </c>
      <c r="H2029">
        <v>14</v>
      </c>
      <c r="I2029">
        <v>14</v>
      </c>
      <c r="J2029">
        <v>14</v>
      </c>
      <c r="K2029" s="6">
        <v>100</v>
      </c>
      <c r="L2029" s="6">
        <v>0</v>
      </c>
      <c r="M2029" s="6">
        <v>100</v>
      </c>
      <c r="N2029">
        <v>0</v>
      </c>
      <c r="O2029" s="6">
        <v>0</v>
      </c>
      <c r="P2029">
        <v>0</v>
      </c>
      <c r="Q2029" s="8">
        <v>339.38</v>
      </c>
      <c r="R2029" s="8">
        <v>339.38</v>
      </c>
      <c r="S2029" s="10" t="s">
        <v>607</v>
      </c>
    </row>
    <row r="2030" spans="1:19" hidden="1" x14ac:dyDescent="0.25">
      <c r="A2030" t="s">
        <v>134</v>
      </c>
      <c r="B2030" t="s">
        <v>76</v>
      </c>
      <c r="C2030" t="s">
        <v>124</v>
      </c>
      <c r="D2030" t="s">
        <v>545</v>
      </c>
      <c r="E2030" t="s">
        <v>94</v>
      </c>
      <c r="F2030" t="s">
        <v>6</v>
      </c>
      <c r="G2030">
        <v>11</v>
      </c>
      <c r="H2030">
        <v>14</v>
      </c>
      <c r="I2030">
        <v>14</v>
      </c>
      <c r="J2030">
        <v>14</v>
      </c>
      <c r="K2030" s="6">
        <v>100</v>
      </c>
      <c r="L2030" s="6">
        <v>0</v>
      </c>
      <c r="M2030" s="6">
        <v>100</v>
      </c>
      <c r="N2030">
        <v>0</v>
      </c>
      <c r="O2030" s="6">
        <v>0</v>
      </c>
      <c r="P2030">
        <v>0</v>
      </c>
      <c r="Q2030" s="8">
        <v>339.38</v>
      </c>
      <c r="R2030" s="8">
        <v>339.38</v>
      </c>
      <c r="S2030" s="10" t="s">
        <v>607</v>
      </c>
    </row>
    <row r="2031" spans="1:19" hidden="1" x14ac:dyDescent="0.25">
      <c r="A2031" t="s">
        <v>134</v>
      </c>
      <c r="B2031" t="s">
        <v>76</v>
      </c>
      <c r="C2031" t="s">
        <v>124</v>
      </c>
      <c r="D2031" t="s">
        <v>570</v>
      </c>
      <c r="E2031" t="s">
        <v>94</v>
      </c>
      <c r="F2031" t="s">
        <v>94</v>
      </c>
      <c r="G2031">
        <v>0</v>
      </c>
      <c r="H2031">
        <v>4</v>
      </c>
      <c r="I2031">
        <v>4</v>
      </c>
      <c r="J2031">
        <v>4</v>
      </c>
      <c r="K2031" s="6">
        <v>100</v>
      </c>
      <c r="L2031" s="6">
        <v>0</v>
      </c>
      <c r="M2031" s="6">
        <v>100</v>
      </c>
      <c r="N2031">
        <v>0</v>
      </c>
      <c r="O2031" s="6">
        <v>0</v>
      </c>
      <c r="P2031">
        <v>0</v>
      </c>
      <c r="Q2031" s="8">
        <v>263.83999999999997</v>
      </c>
      <c r="R2031" s="8">
        <v>263.83999999999997</v>
      </c>
      <c r="S2031" s="9" t="s">
        <v>605</v>
      </c>
    </row>
    <row r="2032" spans="1:19" hidden="1" x14ac:dyDescent="0.25">
      <c r="A2032" t="s">
        <v>134</v>
      </c>
      <c r="B2032" t="s">
        <v>76</v>
      </c>
      <c r="C2032" t="s">
        <v>124</v>
      </c>
      <c r="D2032" t="s">
        <v>570</v>
      </c>
      <c r="E2032" t="s">
        <v>94</v>
      </c>
      <c r="F2032" t="s">
        <v>96</v>
      </c>
      <c r="G2032">
        <v>4</v>
      </c>
      <c r="H2032">
        <v>4</v>
      </c>
      <c r="I2032">
        <v>4</v>
      </c>
      <c r="J2032">
        <v>4</v>
      </c>
      <c r="K2032" s="6">
        <v>100</v>
      </c>
      <c r="L2032" s="6">
        <v>0</v>
      </c>
      <c r="M2032" s="6">
        <v>100</v>
      </c>
      <c r="N2032">
        <v>0</v>
      </c>
      <c r="O2032" s="6">
        <v>0</v>
      </c>
      <c r="P2032">
        <v>0</v>
      </c>
      <c r="Q2032" s="8">
        <v>263.83999999999997</v>
      </c>
      <c r="R2032" s="8">
        <v>263.83999999999997</v>
      </c>
      <c r="S2032" s="9" t="s">
        <v>548</v>
      </c>
    </row>
    <row r="2033" spans="1:19" hidden="1" x14ac:dyDescent="0.25">
      <c r="A2033" t="s">
        <v>134</v>
      </c>
      <c r="B2033" t="s">
        <v>76</v>
      </c>
      <c r="C2033" t="s">
        <v>124</v>
      </c>
      <c r="D2033" t="s">
        <v>570</v>
      </c>
      <c r="E2033" t="s">
        <v>94</v>
      </c>
      <c r="F2033" t="s">
        <v>6</v>
      </c>
      <c r="G2033">
        <v>11</v>
      </c>
      <c r="H2033">
        <v>4</v>
      </c>
      <c r="I2033">
        <v>4</v>
      </c>
      <c r="J2033">
        <v>4</v>
      </c>
      <c r="K2033" s="6">
        <v>100</v>
      </c>
      <c r="L2033" s="6">
        <v>0</v>
      </c>
      <c r="M2033" s="6">
        <v>100</v>
      </c>
      <c r="N2033">
        <v>0</v>
      </c>
      <c r="O2033" s="6">
        <v>0</v>
      </c>
      <c r="P2033">
        <v>0</v>
      </c>
      <c r="Q2033" s="8">
        <v>263.83999999999997</v>
      </c>
      <c r="R2033" s="8">
        <v>263.83999999999997</v>
      </c>
      <c r="S2033" s="9" t="s">
        <v>548</v>
      </c>
    </row>
    <row r="2034" spans="1:19" hidden="1" x14ac:dyDescent="0.25">
      <c r="A2034" t="s">
        <v>134</v>
      </c>
      <c r="B2034" t="s">
        <v>76</v>
      </c>
      <c r="C2034" t="s">
        <v>124</v>
      </c>
      <c r="D2034" t="s">
        <v>578</v>
      </c>
      <c r="E2034" t="s">
        <v>94</v>
      </c>
      <c r="F2034" t="s">
        <v>94</v>
      </c>
      <c r="G2034">
        <v>0</v>
      </c>
      <c r="H2034">
        <v>2</v>
      </c>
      <c r="I2034">
        <v>2</v>
      </c>
      <c r="J2034">
        <v>2</v>
      </c>
      <c r="K2034" s="6">
        <v>100</v>
      </c>
      <c r="L2034" s="6">
        <v>0</v>
      </c>
      <c r="M2034" s="6">
        <v>100</v>
      </c>
      <c r="N2034">
        <v>0</v>
      </c>
      <c r="O2034" s="6">
        <v>0</v>
      </c>
      <c r="P2034">
        <v>0</v>
      </c>
      <c r="Q2034" s="8">
        <v>277.64</v>
      </c>
      <c r="R2034" s="8">
        <v>277.64</v>
      </c>
      <c r="S2034" s="9" t="s">
        <v>536</v>
      </c>
    </row>
    <row r="2035" spans="1:19" hidden="1" x14ac:dyDescent="0.25">
      <c r="A2035" t="s">
        <v>134</v>
      </c>
      <c r="B2035" t="s">
        <v>76</v>
      </c>
      <c r="C2035" t="s">
        <v>124</v>
      </c>
      <c r="D2035" t="s">
        <v>578</v>
      </c>
      <c r="E2035" t="s">
        <v>94</v>
      </c>
      <c r="F2035" t="s">
        <v>96</v>
      </c>
      <c r="G2035">
        <v>4</v>
      </c>
      <c r="H2035">
        <v>2</v>
      </c>
      <c r="I2035">
        <v>2</v>
      </c>
      <c r="J2035">
        <v>2</v>
      </c>
      <c r="K2035" s="6">
        <v>100</v>
      </c>
      <c r="L2035" s="6">
        <v>0</v>
      </c>
      <c r="M2035" s="6">
        <v>100</v>
      </c>
      <c r="N2035">
        <v>0</v>
      </c>
      <c r="O2035" s="6">
        <v>0</v>
      </c>
      <c r="P2035">
        <v>0</v>
      </c>
      <c r="Q2035" s="8">
        <v>277.64</v>
      </c>
      <c r="R2035" s="8">
        <v>277.64</v>
      </c>
      <c r="S2035" s="9" t="s">
        <v>537</v>
      </c>
    </row>
    <row r="2036" spans="1:19" hidden="1" x14ac:dyDescent="0.25">
      <c r="A2036" t="s">
        <v>134</v>
      </c>
      <c r="B2036" t="s">
        <v>76</v>
      </c>
      <c r="C2036" t="s">
        <v>124</v>
      </c>
      <c r="D2036" t="s">
        <v>578</v>
      </c>
      <c r="E2036" t="s">
        <v>94</v>
      </c>
      <c r="F2036" t="s">
        <v>6</v>
      </c>
      <c r="G2036">
        <v>11</v>
      </c>
      <c r="H2036">
        <v>2</v>
      </c>
      <c r="I2036">
        <v>2</v>
      </c>
      <c r="J2036">
        <v>2</v>
      </c>
      <c r="K2036" s="6">
        <v>100</v>
      </c>
      <c r="L2036" s="6">
        <v>0</v>
      </c>
      <c r="M2036" s="6">
        <v>100</v>
      </c>
      <c r="N2036">
        <v>0</v>
      </c>
      <c r="O2036" s="6">
        <v>0</v>
      </c>
      <c r="P2036">
        <v>0</v>
      </c>
      <c r="Q2036" s="8">
        <v>277.64</v>
      </c>
      <c r="R2036" s="8">
        <v>277.64</v>
      </c>
      <c r="S2036" s="9" t="s">
        <v>537</v>
      </c>
    </row>
    <row r="2037" spans="1:19" hidden="1" x14ac:dyDescent="0.25">
      <c r="A2037" t="s">
        <v>134</v>
      </c>
      <c r="B2037" t="s">
        <v>76</v>
      </c>
      <c r="C2037" t="s">
        <v>124</v>
      </c>
      <c r="D2037" t="s">
        <v>580</v>
      </c>
      <c r="E2037" t="s">
        <v>94</v>
      </c>
      <c r="F2037" t="s">
        <v>94</v>
      </c>
      <c r="G2037">
        <v>0</v>
      </c>
      <c r="H2037">
        <v>12</v>
      </c>
      <c r="I2037">
        <v>12</v>
      </c>
      <c r="J2037">
        <v>12</v>
      </c>
      <c r="K2037" s="6">
        <v>100</v>
      </c>
      <c r="L2037" s="6">
        <v>0</v>
      </c>
      <c r="M2037" s="6">
        <v>100</v>
      </c>
      <c r="N2037">
        <v>0</v>
      </c>
      <c r="O2037" s="6">
        <v>0</v>
      </c>
      <c r="P2037">
        <v>0</v>
      </c>
      <c r="Q2037" s="8">
        <v>326.14</v>
      </c>
      <c r="R2037" s="8">
        <v>326.14</v>
      </c>
      <c r="S2037" s="9" t="s">
        <v>586</v>
      </c>
    </row>
    <row r="2038" spans="1:19" hidden="1" x14ac:dyDescent="0.25">
      <c r="A2038" t="s">
        <v>134</v>
      </c>
      <c r="B2038" t="s">
        <v>76</v>
      </c>
      <c r="C2038" t="s">
        <v>124</v>
      </c>
      <c r="D2038" t="s">
        <v>580</v>
      </c>
      <c r="E2038" t="s">
        <v>94</v>
      </c>
      <c r="F2038" t="s">
        <v>96</v>
      </c>
      <c r="G2038">
        <v>4</v>
      </c>
      <c r="H2038">
        <v>12</v>
      </c>
      <c r="I2038">
        <v>12</v>
      </c>
      <c r="J2038">
        <v>12</v>
      </c>
      <c r="K2038" s="6">
        <v>100</v>
      </c>
      <c r="L2038" s="6">
        <v>0</v>
      </c>
      <c r="M2038" s="6">
        <v>100</v>
      </c>
      <c r="N2038">
        <v>0</v>
      </c>
      <c r="O2038" s="6">
        <v>0</v>
      </c>
      <c r="P2038">
        <v>0</v>
      </c>
      <c r="Q2038" s="8">
        <v>326.14</v>
      </c>
      <c r="R2038" s="8">
        <v>326.14</v>
      </c>
      <c r="S2038" s="10" t="s">
        <v>587</v>
      </c>
    </row>
    <row r="2039" spans="1:19" hidden="1" x14ac:dyDescent="0.25">
      <c r="A2039" t="s">
        <v>134</v>
      </c>
      <c r="B2039" t="s">
        <v>76</v>
      </c>
      <c r="C2039" t="s">
        <v>124</v>
      </c>
      <c r="D2039" t="s">
        <v>580</v>
      </c>
      <c r="E2039" t="s">
        <v>94</v>
      </c>
      <c r="F2039" t="s">
        <v>6</v>
      </c>
      <c r="G2039">
        <v>11</v>
      </c>
      <c r="H2039">
        <v>12</v>
      </c>
      <c r="I2039">
        <v>12</v>
      </c>
      <c r="J2039">
        <v>12</v>
      </c>
      <c r="K2039" s="6">
        <v>102.25</v>
      </c>
      <c r="L2039" s="6">
        <v>2.67</v>
      </c>
      <c r="M2039" s="6">
        <v>102.25</v>
      </c>
      <c r="N2039">
        <v>0</v>
      </c>
      <c r="O2039" s="6">
        <v>0</v>
      </c>
      <c r="P2039">
        <v>0</v>
      </c>
      <c r="Q2039" s="8">
        <v>326.14</v>
      </c>
      <c r="R2039" s="8">
        <v>333.47</v>
      </c>
      <c r="S2039" s="10" t="s">
        <v>587</v>
      </c>
    </row>
    <row r="2040" spans="1:19" hidden="1" x14ac:dyDescent="0.25">
      <c r="A2040" t="s">
        <v>134</v>
      </c>
      <c r="B2040" t="s">
        <v>76</v>
      </c>
      <c r="C2040" t="s">
        <v>124</v>
      </c>
      <c r="D2040" t="s">
        <v>582</v>
      </c>
      <c r="E2040" t="s">
        <v>94</v>
      </c>
      <c r="F2040" t="s">
        <v>94</v>
      </c>
      <c r="G2040">
        <v>0</v>
      </c>
      <c r="H2040">
        <v>26</v>
      </c>
      <c r="I2040">
        <v>26</v>
      </c>
      <c r="J2040">
        <v>26</v>
      </c>
      <c r="K2040" s="6">
        <v>100</v>
      </c>
      <c r="L2040" s="6">
        <v>0</v>
      </c>
      <c r="M2040" s="6">
        <v>100</v>
      </c>
      <c r="N2040">
        <v>0</v>
      </c>
      <c r="O2040" s="6">
        <v>0</v>
      </c>
      <c r="P2040">
        <v>0</v>
      </c>
      <c r="Q2040" s="8">
        <v>338.27</v>
      </c>
      <c r="R2040" s="8">
        <v>338.27</v>
      </c>
      <c r="S2040" s="9" t="s">
        <v>618</v>
      </c>
    </row>
    <row r="2041" spans="1:19" hidden="1" x14ac:dyDescent="0.25">
      <c r="A2041" t="s">
        <v>134</v>
      </c>
      <c r="B2041" t="s">
        <v>76</v>
      </c>
      <c r="C2041" t="s">
        <v>124</v>
      </c>
      <c r="D2041" t="s">
        <v>582</v>
      </c>
      <c r="E2041" t="s">
        <v>94</v>
      </c>
      <c r="F2041" t="s">
        <v>96</v>
      </c>
      <c r="G2041">
        <v>4</v>
      </c>
      <c r="H2041">
        <v>26</v>
      </c>
      <c r="I2041">
        <v>26</v>
      </c>
      <c r="J2041">
        <v>26</v>
      </c>
      <c r="K2041" s="6">
        <v>100</v>
      </c>
      <c r="L2041" s="6">
        <v>0</v>
      </c>
      <c r="M2041" s="6">
        <v>100</v>
      </c>
      <c r="N2041">
        <v>0</v>
      </c>
      <c r="O2041" s="6">
        <v>0</v>
      </c>
      <c r="P2041">
        <v>0</v>
      </c>
      <c r="Q2041" s="8">
        <v>338.27</v>
      </c>
      <c r="R2041" s="8">
        <v>338.27</v>
      </c>
      <c r="S2041" s="10" t="s">
        <v>608</v>
      </c>
    </row>
    <row r="2042" spans="1:19" hidden="1" x14ac:dyDescent="0.25">
      <c r="A2042" t="s">
        <v>134</v>
      </c>
      <c r="B2042" t="s">
        <v>76</v>
      </c>
      <c r="C2042" t="s">
        <v>124</v>
      </c>
      <c r="D2042" t="s">
        <v>582</v>
      </c>
      <c r="E2042" t="s">
        <v>94</v>
      </c>
      <c r="F2042" t="s">
        <v>6</v>
      </c>
      <c r="G2042">
        <v>11</v>
      </c>
      <c r="H2042">
        <v>26</v>
      </c>
      <c r="I2042">
        <v>26</v>
      </c>
      <c r="J2042">
        <v>26</v>
      </c>
      <c r="K2042" s="6">
        <v>102.47</v>
      </c>
      <c r="L2042" s="6">
        <v>2.65</v>
      </c>
      <c r="M2042" s="6">
        <v>102.47</v>
      </c>
      <c r="N2042">
        <v>0</v>
      </c>
      <c r="O2042" s="6">
        <v>0</v>
      </c>
      <c r="P2042">
        <v>0</v>
      </c>
      <c r="Q2042" s="8">
        <v>338.27</v>
      </c>
      <c r="R2042" s="8">
        <v>346.64</v>
      </c>
      <c r="S2042" s="10" t="s">
        <v>608</v>
      </c>
    </row>
    <row r="2043" spans="1:19" hidden="1" x14ac:dyDescent="0.25">
      <c r="A2043" t="s">
        <v>134</v>
      </c>
      <c r="B2043" t="s">
        <v>76</v>
      </c>
      <c r="C2043" t="s">
        <v>124</v>
      </c>
      <c r="D2043" t="s">
        <v>583</v>
      </c>
      <c r="E2043" t="s">
        <v>94</v>
      </c>
      <c r="F2043" t="s">
        <v>94</v>
      </c>
      <c r="G2043">
        <v>0</v>
      </c>
      <c r="H2043">
        <v>26</v>
      </c>
      <c r="I2043">
        <v>26</v>
      </c>
      <c r="J2043">
        <v>26</v>
      </c>
      <c r="K2043" s="6">
        <v>100</v>
      </c>
      <c r="L2043" s="6">
        <v>0</v>
      </c>
      <c r="M2043" s="6">
        <v>100</v>
      </c>
      <c r="N2043">
        <v>0</v>
      </c>
      <c r="O2043" s="6">
        <v>0</v>
      </c>
      <c r="P2043">
        <v>0</v>
      </c>
      <c r="Q2043" s="8">
        <v>371.76</v>
      </c>
      <c r="R2043" s="8">
        <v>371.76</v>
      </c>
      <c r="S2043" s="9" t="s">
        <v>618</v>
      </c>
    </row>
    <row r="2044" spans="1:19" hidden="1" x14ac:dyDescent="0.25">
      <c r="A2044" t="s">
        <v>134</v>
      </c>
      <c r="B2044" t="s">
        <v>76</v>
      </c>
      <c r="C2044" t="s">
        <v>124</v>
      </c>
      <c r="D2044" t="s">
        <v>583</v>
      </c>
      <c r="E2044" t="s">
        <v>94</v>
      </c>
      <c r="F2044" t="s">
        <v>96</v>
      </c>
      <c r="G2044">
        <v>4</v>
      </c>
      <c r="H2044">
        <v>26</v>
      </c>
      <c r="I2044">
        <v>26</v>
      </c>
      <c r="J2044">
        <v>26</v>
      </c>
      <c r="K2044" s="6">
        <v>100</v>
      </c>
      <c r="L2044" s="6">
        <v>0</v>
      </c>
      <c r="M2044" s="6">
        <v>100</v>
      </c>
      <c r="N2044">
        <v>0</v>
      </c>
      <c r="O2044" s="6">
        <v>0</v>
      </c>
      <c r="P2044">
        <v>0</v>
      </c>
      <c r="Q2044" s="8">
        <v>371.76</v>
      </c>
      <c r="R2044" s="8">
        <v>371.76</v>
      </c>
      <c r="S2044" s="10" t="s">
        <v>608</v>
      </c>
    </row>
    <row r="2045" spans="1:19" hidden="1" x14ac:dyDescent="0.25">
      <c r="A2045" t="s">
        <v>134</v>
      </c>
      <c r="B2045" t="s">
        <v>76</v>
      </c>
      <c r="C2045" t="s">
        <v>124</v>
      </c>
      <c r="D2045" t="s">
        <v>583</v>
      </c>
      <c r="E2045" t="s">
        <v>94</v>
      </c>
      <c r="F2045" t="s">
        <v>6</v>
      </c>
      <c r="G2045">
        <v>11</v>
      </c>
      <c r="H2045">
        <v>26</v>
      </c>
      <c r="I2045">
        <v>26</v>
      </c>
      <c r="J2045">
        <v>26</v>
      </c>
      <c r="K2045" s="6">
        <v>102.24</v>
      </c>
      <c r="L2045" s="6">
        <v>2.2599999999999998</v>
      </c>
      <c r="M2045" s="6">
        <v>102.24</v>
      </c>
      <c r="N2045">
        <v>0</v>
      </c>
      <c r="O2045" s="6">
        <v>0</v>
      </c>
      <c r="P2045">
        <v>0</v>
      </c>
      <c r="Q2045" s="8">
        <v>371.76</v>
      </c>
      <c r="R2045" s="8">
        <v>380.1</v>
      </c>
      <c r="S2045" s="10" t="s">
        <v>608</v>
      </c>
    </row>
    <row r="2046" spans="1:19" hidden="1" x14ac:dyDescent="0.25">
      <c r="A2046" t="s">
        <v>134</v>
      </c>
      <c r="B2046" t="s">
        <v>76</v>
      </c>
      <c r="C2046" t="s">
        <v>124</v>
      </c>
      <c r="D2046" t="s">
        <v>585</v>
      </c>
      <c r="E2046" t="s">
        <v>94</v>
      </c>
      <c r="F2046" t="s">
        <v>94</v>
      </c>
      <c r="G2046">
        <v>0</v>
      </c>
      <c r="H2046">
        <v>28</v>
      </c>
      <c r="I2046">
        <v>28</v>
      </c>
      <c r="J2046">
        <v>28</v>
      </c>
      <c r="K2046" s="6">
        <v>100</v>
      </c>
      <c r="L2046" s="6">
        <v>0</v>
      </c>
      <c r="M2046" s="6">
        <v>100</v>
      </c>
      <c r="N2046">
        <v>0</v>
      </c>
      <c r="O2046" s="6">
        <v>0</v>
      </c>
      <c r="P2046">
        <v>0</v>
      </c>
      <c r="Q2046" s="8">
        <v>366.68</v>
      </c>
      <c r="R2046" s="8">
        <v>366.68</v>
      </c>
      <c r="S2046" s="9" t="s">
        <v>556</v>
      </c>
    </row>
    <row r="2047" spans="1:19" hidden="1" x14ac:dyDescent="0.25">
      <c r="A2047" t="s">
        <v>134</v>
      </c>
      <c r="B2047" t="s">
        <v>76</v>
      </c>
      <c r="C2047" t="s">
        <v>124</v>
      </c>
      <c r="D2047" t="s">
        <v>585</v>
      </c>
      <c r="E2047" t="s">
        <v>94</v>
      </c>
      <c r="F2047" t="s">
        <v>96</v>
      </c>
      <c r="G2047">
        <v>4</v>
      </c>
      <c r="H2047">
        <v>28</v>
      </c>
      <c r="I2047">
        <v>28</v>
      </c>
      <c r="J2047">
        <v>28</v>
      </c>
      <c r="K2047" s="6">
        <v>100</v>
      </c>
      <c r="L2047" s="6">
        <v>0</v>
      </c>
      <c r="M2047" s="6">
        <v>100</v>
      </c>
      <c r="N2047">
        <v>0</v>
      </c>
      <c r="O2047" s="6">
        <v>0</v>
      </c>
      <c r="P2047">
        <v>0</v>
      </c>
      <c r="Q2047" s="8">
        <v>366.68</v>
      </c>
      <c r="R2047" s="8">
        <v>366.68</v>
      </c>
      <c r="S2047" s="10" t="s">
        <v>483</v>
      </c>
    </row>
    <row r="2048" spans="1:19" hidden="1" x14ac:dyDescent="0.25">
      <c r="A2048" t="s">
        <v>134</v>
      </c>
      <c r="B2048" t="s">
        <v>76</v>
      </c>
      <c r="C2048" t="s">
        <v>124</v>
      </c>
      <c r="D2048" t="s">
        <v>585</v>
      </c>
      <c r="E2048" t="s">
        <v>94</v>
      </c>
      <c r="F2048" t="s">
        <v>6</v>
      </c>
      <c r="G2048">
        <v>11</v>
      </c>
      <c r="H2048">
        <v>28</v>
      </c>
      <c r="I2048">
        <v>28</v>
      </c>
      <c r="J2048">
        <v>28</v>
      </c>
      <c r="K2048" s="6">
        <v>102.21</v>
      </c>
      <c r="L2048" s="6">
        <v>2.2000000000000002</v>
      </c>
      <c r="M2048" s="6">
        <v>102.21</v>
      </c>
      <c r="N2048">
        <v>0</v>
      </c>
      <c r="O2048" s="6">
        <v>0</v>
      </c>
      <c r="P2048">
        <v>0</v>
      </c>
      <c r="Q2048" s="8">
        <v>366.68</v>
      </c>
      <c r="R2048" s="8">
        <v>374.79</v>
      </c>
      <c r="S2048" s="10" t="s">
        <v>483</v>
      </c>
    </row>
    <row r="2049" spans="1:19" hidden="1" x14ac:dyDescent="0.25">
      <c r="A2049" t="s">
        <v>134</v>
      </c>
      <c r="B2049" t="s">
        <v>76</v>
      </c>
      <c r="C2049" t="s">
        <v>124</v>
      </c>
      <c r="D2049" t="s">
        <v>588</v>
      </c>
      <c r="E2049" t="s">
        <v>94</v>
      </c>
      <c r="F2049" t="s">
        <v>94</v>
      </c>
      <c r="G2049">
        <v>0</v>
      </c>
      <c r="H2049">
        <v>24</v>
      </c>
      <c r="I2049">
        <v>24</v>
      </c>
      <c r="J2049">
        <v>24</v>
      </c>
      <c r="K2049" s="6">
        <v>100</v>
      </c>
      <c r="L2049" s="6">
        <v>0</v>
      </c>
      <c r="M2049" s="6">
        <v>100</v>
      </c>
      <c r="N2049">
        <v>0</v>
      </c>
      <c r="O2049" s="6">
        <v>0</v>
      </c>
      <c r="P2049">
        <v>0</v>
      </c>
      <c r="Q2049" s="8">
        <v>361.45</v>
      </c>
      <c r="R2049" s="8">
        <v>361.45</v>
      </c>
      <c r="S2049" s="9" t="s">
        <v>601</v>
      </c>
    </row>
    <row r="2050" spans="1:19" hidden="1" x14ac:dyDescent="0.25">
      <c r="A2050" t="s">
        <v>134</v>
      </c>
      <c r="B2050" t="s">
        <v>76</v>
      </c>
      <c r="C2050" t="s">
        <v>124</v>
      </c>
      <c r="D2050" t="s">
        <v>588</v>
      </c>
      <c r="E2050" t="s">
        <v>94</v>
      </c>
      <c r="F2050" t="s">
        <v>96</v>
      </c>
      <c r="G2050">
        <v>4</v>
      </c>
      <c r="H2050">
        <v>24</v>
      </c>
      <c r="I2050">
        <v>24</v>
      </c>
      <c r="J2050">
        <v>24</v>
      </c>
      <c r="K2050" s="6">
        <v>100</v>
      </c>
      <c r="L2050" s="6">
        <v>0</v>
      </c>
      <c r="M2050" s="6">
        <v>100</v>
      </c>
      <c r="N2050">
        <v>0</v>
      </c>
      <c r="O2050" s="6">
        <v>0</v>
      </c>
      <c r="P2050">
        <v>0</v>
      </c>
      <c r="Q2050" s="8">
        <v>361.45</v>
      </c>
      <c r="R2050" s="8">
        <v>361.45</v>
      </c>
      <c r="S2050" s="10" t="s">
        <v>602</v>
      </c>
    </row>
    <row r="2051" spans="1:19" hidden="1" x14ac:dyDescent="0.25">
      <c r="A2051" t="s">
        <v>134</v>
      </c>
      <c r="B2051" t="s">
        <v>76</v>
      </c>
      <c r="C2051" t="s">
        <v>124</v>
      </c>
      <c r="D2051" t="s">
        <v>588</v>
      </c>
      <c r="E2051" t="s">
        <v>94</v>
      </c>
      <c r="F2051" t="s">
        <v>6</v>
      </c>
      <c r="G2051">
        <v>11</v>
      </c>
      <c r="H2051">
        <v>24</v>
      </c>
      <c r="I2051">
        <v>24</v>
      </c>
      <c r="J2051">
        <v>24</v>
      </c>
      <c r="K2051" s="6">
        <v>102.28</v>
      </c>
      <c r="L2051" s="6">
        <v>2.31</v>
      </c>
      <c r="M2051" s="6">
        <v>102.28</v>
      </c>
      <c r="N2051">
        <v>0</v>
      </c>
      <c r="O2051" s="6">
        <v>0</v>
      </c>
      <c r="P2051">
        <v>0</v>
      </c>
      <c r="Q2051" s="8">
        <v>361.45</v>
      </c>
      <c r="R2051" s="8">
        <v>369.68</v>
      </c>
      <c r="S2051" s="10" t="s">
        <v>602</v>
      </c>
    </row>
    <row r="2052" spans="1:19" hidden="1" x14ac:dyDescent="0.25">
      <c r="A2052" t="s">
        <v>134</v>
      </c>
      <c r="B2052" t="s">
        <v>76</v>
      </c>
      <c r="C2052" t="s">
        <v>124</v>
      </c>
      <c r="D2052" t="s">
        <v>589</v>
      </c>
      <c r="E2052" t="s">
        <v>94</v>
      </c>
      <c r="F2052" t="s">
        <v>94</v>
      </c>
      <c r="G2052">
        <v>0</v>
      </c>
      <c r="H2052">
        <v>20</v>
      </c>
      <c r="I2052">
        <v>20</v>
      </c>
      <c r="J2052">
        <v>20</v>
      </c>
      <c r="K2052" s="6">
        <v>100</v>
      </c>
      <c r="L2052" s="6">
        <v>0</v>
      </c>
      <c r="M2052" s="6">
        <v>100</v>
      </c>
      <c r="N2052">
        <v>0</v>
      </c>
      <c r="O2052" s="6">
        <v>0</v>
      </c>
      <c r="P2052">
        <v>0</v>
      </c>
      <c r="Q2052" s="8">
        <v>373.9</v>
      </c>
      <c r="R2052" s="8">
        <v>373.9</v>
      </c>
      <c r="S2052" s="9" t="s">
        <v>622</v>
      </c>
    </row>
    <row r="2053" spans="1:19" hidden="1" x14ac:dyDescent="0.25">
      <c r="A2053" t="s">
        <v>134</v>
      </c>
      <c r="B2053" t="s">
        <v>76</v>
      </c>
      <c r="C2053" t="s">
        <v>124</v>
      </c>
      <c r="D2053" t="s">
        <v>589</v>
      </c>
      <c r="E2053" t="s">
        <v>94</v>
      </c>
      <c r="F2053" t="s">
        <v>96</v>
      </c>
      <c r="G2053">
        <v>4</v>
      </c>
      <c r="H2053">
        <v>20</v>
      </c>
      <c r="I2053">
        <v>20</v>
      </c>
      <c r="J2053">
        <v>20</v>
      </c>
      <c r="K2053" s="6">
        <v>100</v>
      </c>
      <c r="L2053" s="6">
        <v>0</v>
      </c>
      <c r="M2053" s="6">
        <v>100</v>
      </c>
      <c r="N2053">
        <v>0</v>
      </c>
      <c r="O2053" s="6">
        <v>0</v>
      </c>
      <c r="P2053">
        <v>0</v>
      </c>
      <c r="Q2053" s="8">
        <v>373.9</v>
      </c>
      <c r="R2053" s="8">
        <v>373.9</v>
      </c>
      <c r="S2053" s="10" t="s">
        <v>487</v>
      </c>
    </row>
    <row r="2054" spans="1:19" hidden="1" x14ac:dyDescent="0.25">
      <c r="A2054" t="s">
        <v>134</v>
      </c>
      <c r="B2054" t="s">
        <v>76</v>
      </c>
      <c r="C2054" t="s">
        <v>124</v>
      </c>
      <c r="D2054" t="s">
        <v>589</v>
      </c>
      <c r="E2054" t="s">
        <v>94</v>
      </c>
      <c r="F2054" t="s">
        <v>6</v>
      </c>
      <c r="G2054">
        <v>11</v>
      </c>
      <c r="H2054">
        <v>20</v>
      </c>
      <c r="I2054">
        <v>20</v>
      </c>
      <c r="J2054">
        <v>20</v>
      </c>
      <c r="K2054" s="6">
        <v>102.2</v>
      </c>
      <c r="L2054" s="6">
        <v>2.2200000000000002</v>
      </c>
      <c r="M2054" s="6">
        <v>102.2</v>
      </c>
      <c r="N2054">
        <v>0</v>
      </c>
      <c r="O2054" s="6">
        <v>0</v>
      </c>
      <c r="P2054">
        <v>0</v>
      </c>
      <c r="Q2054" s="8">
        <v>373.9</v>
      </c>
      <c r="R2054" s="8">
        <v>382.13</v>
      </c>
      <c r="S2054" s="10" t="s">
        <v>487</v>
      </c>
    </row>
    <row r="2055" spans="1:19" hidden="1" x14ac:dyDescent="0.25">
      <c r="A2055" t="s">
        <v>134</v>
      </c>
      <c r="B2055" t="s">
        <v>76</v>
      </c>
      <c r="C2055" t="s">
        <v>124</v>
      </c>
      <c r="D2055" t="s">
        <v>590</v>
      </c>
      <c r="E2055" t="s">
        <v>94</v>
      </c>
      <c r="F2055" t="s">
        <v>94</v>
      </c>
      <c r="G2055">
        <v>0</v>
      </c>
      <c r="H2055">
        <v>18</v>
      </c>
      <c r="I2055">
        <v>18</v>
      </c>
      <c r="J2055">
        <v>18</v>
      </c>
      <c r="K2055" s="6">
        <v>100</v>
      </c>
      <c r="L2055" s="6">
        <v>0</v>
      </c>
      <c r="M2055" s="6">
        <v>100</v>
      </c>
      <c r="N2055">
        <v>0</v>
      </c>
      <c r="O2055" s="6">
        <v>0</v>
      </c>
      <c r="P2055">
        <v>0</v>
      </c>
      <c r="Q2055" s="8">
        <v>363.41</v>
      </c>
      <c r="R2055" s="8">
        <v>363.41</v>
      </c>
      <c r="S2055" s="9" t="s">
        <v>620</v>
      </c>
    </row>
    <row r="2056" spans="1:19" hidden="1" x14ac:dyDescent="0.25">
      <c r="A2056" t="s">
        <v>134</v>
      </c>
      <c r="B2056" t="s">
        <v>76</v>
      </c>
      <c r="C2056" t="s">
        <v>124</v>
      </c>
      <c r="D2056" t="s">
        <v>590</v>
      </c>
      <c r="E2056" t="s">
        <v>94</v>
      </c>
      <c r="F2056" t="s">
        <v>96</v>
      </c>
      <c r="G2056">
        <v>4</v>
      </c>
      <c r="H2056">
        <v>18</v>
      </c>
      <c r="I2056">
        <v>18</v>
      </c>
      <c r="J2056">
        <v>18</v>
      </c>
      <c r="K2056" s="6">
        <v>100</v>
      </c>
      <c r="L2056" s="6">
        <v>0</v>
      </c>
      <c r="M2056" s="6">
        <v>100</v>
      </c>
      <c r="N2056">
        <v>0</v>
      </c>
      <c r="O2056" s="6">
        <v>0</v>
      </c>
      <c r="P2056">
        <v>0</v>
      </c>
      <c r="Q2056" s="8">
        <v>363.41</v>
      </c>
      <c r="R2056" s="8">
        <v>363.41</v>
      </c>
      <c r="S2056" s="10" t="s">
        <v>488</v>
      </c>
    </row>
    <row r="2057" spans="1:19" hidden="1" x14ac:dyDescent="0.25">
      <c r="A2057" t="s">
        <v>134</v>
      </c>
      <c r="B2057" t="s">
        <v>76</v>
      </c>
      <c r="C2057" t="s">
        <v>124</v>
      </c>
      <c r="D2057" t="s">
        <v>590</v>
      </c>
      <c r="E2057" t="s">
        <v>94</v>
      </c>
      <c r="F2057" t="s">
        <v>6</v>
      </c>
      <c r="G2057">
        <v>11</v>
      </c>
      <c r="H2057">
        <v>18</v>
      </c>
      <c r="I2057">
        <v>18</v>
      </c>
      <c r="J2057">
        <v>18</v>
      </c>
      <c r="K2057" s="6">
        <v>102.26</v>
      </c>
      <c r="L2057" s="6">
        <v>2.17</v>
      </c>
      <c r="M2057" s="6">
        <v>102.26</v>
      </c>
      <c r="N2057">
        <v>0</v>
      </c>
      <c r="O2057" s="6">
        <v>0</v>
      </c>
      <c r="P2057">
        <v>0</v>
      </c>
      <c r="Q2057" s="8">
        <v>363.41</v>
      </c>
      <c r="R2057" s="8">
        <v>371.61</v>
      </c>
      <c r="S2057" s="10" t="s">
        <v>488</v>
      </c>
    </row>
    <row r="2058" spans="1:19" hidden="1" x14ac:dyDescent="0.25">
      <c r="A2058" t="s">
        <v>134</v>
      </c>
      <c r="B2058" t="s">
        <v>76</v>
      </c>
      <c r="C2058" t="s">
        <v>126</v>
      </c>
      <c r="D2058" t="s">
        <v>539</v>
      </c>
      <c r="E2058" t="s">
        <v>91</v>
      </c>
      <c r="F2058" t="s">
        <v>91</v>
      </c>
      <c r="G2058">
        <v>0</v>
      </c>
      <c r="H2058">
        <v>18</v>
      </c>
      <c r="I2058">
        <v>18</v>
      </c>
      <c r="J2058">
        <v>18</v>
      </c>
      <c r="K2058" s="6">
        <v>100</v>
      </c>
      <c r="L2058" s="6">
        <v>0</v>
      </c>
      <c r="M2058" s="6">
        <v>100</v>
      </c>
      <c r="N2058">
        <v>0</v>
      </c>
      <c r="O2058" s="6">
        <v>0</v>
      </c>
      <c r="P2058">
        <v>0</v>
      </c>
      <c r="Q2058" s="8">
        <v>149.44999999999999</v>
      </c>
      <c r="R2058" s="8">
        <v>149.44999999999999</v>
      </c>
      <c r="S2058" s="9" t="s">
        <v>620</v>
      </c>
    </row>
    <row r="2059" spans="1:19" hidden="1" x14ac:dyDescent="0.25">
      <c r="A2059" t="s">
        <v>134</v>
      </c>
      <c r="B2059" t="s">
        <v>76</v>
      </c>
      <c r="C2059" t="s">
        <v>126</v>
      </c>
      <c r="D2059" t="s">
        <v>539</v>
      </c>
      <c r="E2059" t="s">
        <v>91</v>
      </c>
      <c r="F2059" t="s">
        <v>94</v>
      </c>
      <c r="G2059">
        <v>1</v>
      </c>
      <c r="H2059">
        <v>18</v>
      </c>
      <c r="I2059">
        <v>16</v>
      </c>
      <c r="J2059">
        <v>16</v>
      </c>
      <c r="K2059" s="6">
        <v>103.33</v>
      </c>
      <c r="L2059" s="6">
        <v>0</v>
      </c>
      <c r="M2059" s="6">
        <v>102.36</v>
      </c>
      <c r="N2059">
        <v>-0.97</v>
      </c>
      <c r="O2059" s="6">
        <v>11.1</v>
      </c>
      <c r="P2059">
        <v>0</v>
      </c>
      <c r="Q2059" s="8">
        <v>148.04</v>
      </c>
      <c r="R2059" s="8">
        <v>152.97</v>
      </c>
      <c r="S2059" s="10" t="s">
        <v>609</v>
      </c>
    </row>
    <row r="2060" spans="1:19" hidden="1" x14ac:dyDescent="0.25">
      <c r="A2060" t="s">
        <v>134</v>
      </c>
      <c r="B2060" t="s">
        <v>76</v>
      </c>
      <c r="C2060" t="s">
        <v>126</v>
      </c>
      <c r="D2060" t="s">
        <v>539</v>
      </c>
      <c r="E2060" t="s">
        <v>91</v>
      </c>
      <c r="F2060" t="s">
        <v>96</v>
      </c>
      <c r="G2060">
        <v>5</v>
      </c>
      <c r="H2060">
        <v>18</v>
      </c>
      <c r="I2060">
        <v>15</v>
      </c>
      <c r="J2060">
        <v>15</v>
      </c>
      <c r="K2060" s="6">
        <v>104.54</v>
      </c>
      <c r="L2060" s="6">
        <v>0</v>
      </c>
      <c r="M2060" s="6">
        <v>101.67</v>
      </c>
      <c r="N2060">
        <v>-2.87</v>
      </c>
      <c r="O2060" s="6">
        <v>16.7</v>
      </c>
      <c r="P2060">
        <v>0</v>
      </c>
      <c r="Q2060" s="8">
        <v>145.35</v>
      </c>
      <c r="R2060" s="8">
        <v>151.94</v>
      </c>
      <c r="S2060" s="10" t="s">
        <v>616</v>
      </c>
    </row>
    <row r="2061" spans="1:19" hidden="1" x14ac:dyDescent="0.25">
      <c r="A2061" t="s">
        <v>134</v>
      </c>
      <c r="B2061" t="s">
        <v>76</v>
      </c>
      <c r="C2061" t="s">
        <v>126</v>
      </c>
      <c r="D2061" t="s">
        <v>539</v>
      </c>
      <c r="E2061" t="s">
        <v>91</v>
      </c>
      <c r="F2061" t="s">
        <v>6</v>
      </c>
      <c r="G2061">
        <v>12</v>
      </c>
      <c r="H2061">
        <v>18</v>
      </c>
      <c r="I2061">
        <v>11</v>
      </c>
      <c r="J2061">
        <v>10</v>
      </c>
      <c r="K2061" s="6">
        <v>97.25</v>
      </c>
      <c r="L2061" s="6">
        <v>0</v>
      </c>
      <c r="M2061" s="6">
        <v>102.37</v>
      </c>
      <c r="N2061">
        <v>5.12</v>
      </c>
      <c r="O2061" s="6">
        <v>44.4</v>
      </c>
      <c r="P2061">
        <v>1</v>
      </c>
      <c r="Q2061" s="8">
        <v>159.27000000000001</v>
      </c>
      <c r="R2061" s="8">
        <v>154.88</v>
      </c>
      <c r="S2061" s="10" t="s">
        <v>131</v>
      </c>
    </row>
    <row r="2062" spans="1:19" hidden="1" x14ac:dyDescent="0.25">
      <c r="A2062" t="s">
        <v>134</v>
      </c>
      <c r="B2062" t="s">
        <v>76</v>
      </c>
      <c r="C2062" t="s">
        <v>126</v>
      </c>
      <c r="D2062" t="s">
        <v>552</v>
      </c>
      <c r="E2062" t="s">
        <v>91</v>
      </c>
      <c r="F2062" t="s">
        <v>91</v>
      </c>
      <c r="G2062">
        <v>0</v>
      </c>
      <c r="H2062">
        <v>2</v>
      </c>
      <c r="I2062">
        <v>2</v>
      </c>
      <c r="J2062">
        <v>2</v>
      </c>
      <c r="K2062" s="6">
        <v>100</v>
      </c>
      <c r="L2062" s="6">
        <v>0</v>
      </c>
      <c r="M2062" s="6">
        <v>100</v>
      </c>
      <c r="N2062">
        <v>0</v>
      </c>
      <c r="O2062" s="6">
        <v>0</v>
      </c>
      <c r="P2062">
        <v>0</v>
      </c>
      <c r="Q2062" s="8">
        <v>82.71</v>
      </c>
      <c r="R2062" s="8">
        <v>82.71</v>
      </c>
      <c r="S2062" s="9" t="s">
        <v>536</v>
      </c>
    </row>
    <row r="2063" spans="1:19" hidden="1" x14ac:dyDescent="0.25">
      <c r="A2063" t="s">
        <v>134</v>
      </c>
      <c r="B2063" t="s">
        <v>76</v>
      </c>
      <c r="C2063" t="s">
        <v>126</v>
      </c>
      <c r="D2063" t="s">
        <v>552</v>
      </c>
      <c r="E2063" t="s">
        <v>91</v>
      </c>
      <c r="F2063" t="s">
        <v>94</v>
      </c>
      <c r="G2063">
        <v>1</v>
      </c>
      <c r="H2063">
        <v>2</v>
      </c>
      <c r="I2063">
        <v>2</v>
      </c>
      <c r="J2063">
        <v>2</v>
      </c>
      <c r="K2063" s="6">
        <v>99.57</v>
      </c>
      <c r="L2063" s="6">
        <v>-0.49</v>
      </c>
      <c r="M2063" s="6">
        <v>99.57</v>
      </c>
      <c r="N2063">
        <v>0</v>
      </c>
      <c r="O2063" s="6">
        <v>0</v>
      </c>
      <c r="P2063">
        <v>0</v>
      </c>
      <c r="Q2063" s="8">
        <v>82.71</v>
      </c>
      <c r="R2063" s="8">
        <v>82.35</v>
      </c>
      <c r="S2063" s="9" t="s">
        <v>537</v>
      </c>
    </row>
    <row r="2064" spans="1:19" hidden="1" x14ac:dyDescent="0.25">
      <c r="A2064" t="s">
        <v>134</v>
      </c>
      <c r="B2064" t="s">
        <v>76</v>
      </c>
      <c r="C2064" t="s">
        <v>126</v>
      </c>
      <c r="D2064" t="s">
        <v>552</v>
      </c>
      <c r="E2064" t="s">
        <v>91</v>
      </c>
      <c r="F2064" t="s">
        <v>96</v>
      </c>
      <c r="G2064">
        <v>5</v>
      </c>
      <c r="H2064">
        <v>2</v>
      </c>
      <c r="I2064">
        <v>2</v>
      </c>
      <c r="J2064">
        <v>2</v>
      </c>
      <c r="K2064" s="6">
        <v>99.57</v>
      </c>
      <c r="L2064" s="6">
        <v>-0.49</v>
      </c>
      <c r="M2064" s="6">
        <v>99.57</v>
      </c>
      <c r="N2064">
        <v>0</v>
      </c>
      <c r="O2064" s="6">
        <v>0</v>
      </c>
      <c r="P2064">
        <v>0</v>
      </c>
      <c r="Q2064" s="8">
        <v>82.71</v>
      </c>
      <c r="R2064" s="8">
        <v>82.35</v>
      </c>
      <c r="S2064" s="9" t="s">
        <v>537</v>
      </c>
    </row>
    <row r="2065" spans="1:19" hidden="1" x14ac:dyDescent="0.25">
      <c r="A2065" t="s">
        <v>134</v>
      </c>
      <c r="B2065" t="s">
        <v>76</v>
      </c>
      <c r="C2065" t="s">
        <v>126</v>
      </c>
      <c r="D2065" t="s">
        <v>552</v>
      </c>
      <c r="E2065" t="s">
        <v>91</v>
      </c>
      <c r="F2065" t="s">
        <v>6</v>
      </c>
      <c r="G2065">
        <v>12</v>
      </c>
      <c r="H2065">
        <v>2</v>
      </c>
      <c r="I2065">
        <v>2</v>
      </c>
      <c r="J2065">
        <v>2</v>
      </c>
      <c r="K2065" s="6">
        <v>97.84</v>
      </c>
      <c r="L2065" s="6">
        <v>-2.4500000000000002</v>
      </c>
      <c r="M2065" s="6">
        <v>97.84</v>
      </c>
      <c r="N2065">
        <v>0</v>
      </c>
      <c r="O2065" s="6">
        <v>0</v>
      </c>
      <c r="P2065">
        <v>0</v>
      </c>
      <c r="Q2065" s="8">
        <v>82.71</v>
      </c>
      <c r="R2065" s="8">
        <v>80.930000000000007</v>
      </c>
      <c r="S2065" s="9" t="s">
        <v>537</v>
      </c>
    </row>
    <row r="2066" spans="1:19" hidden="1" x14ac:dyDescent="0.25">
      <c r="A2066" t="s">
        <v>134</v>
      </c>
      <c r="B2066" t="s">
        <v>76</v>
      </c>
      <c r="C2066" t="s">
        <v>126</v>
      </c>
      <c r="D2066" t="s">
        <v>560</v>
      </c>
      <c r="E2066" t="s">
        <v>90</v>
      </c>
      <c r="F2066" t="s">
        <v>90</v>
      </c>
      <c r="G2066">
        <v>0</v>
      </c>
      <c r="H2066">
        <v>1</v>
      </c>
      <c r="I2066">
        <v>1</v>
      </c>
      <c r="J2066">
        <v>1</v>
      </c>
      <c r="K2066" s="6">
        <v>100</v>
      </c>
      <c r="L2066" s="6">
        <v>0</v>
      </c>
      <c r="M2066" s="6">
        <v>100</v>
      </c>
      <c r="N2066">
        <v>0</v>
      </c>
      <c r="O2066" s="6">
        <v>0</v>
      </c>
      <c r="P2066">
        <v>0</v>
      </c>
      <c r="Q2066" s="8">
        <v>130.9</v>
      </c>
      <c r="R2066" s="8">
        <v>130.9</v>
      </c>
      <c r="S2066" s="9" t="s">
        <v>540</v>
      </c>
    </row>
    <row r="2067" spans="1:19" hidden="1" x14ac:dyDescent="0.25">
      <c r="A2067" t="s">
        <v>134</v>
      </c>
      <c r="B2067" t="s">
        <v>76</v>
      </c>
      <c r="C2067" t="s">
        <v>126</v>
      </c>
      <c r="D2067" t="s">
        <v>560</v>
      </c>
      <c r="E2067" t="s">
        <v>90</v>
      </c>
      <c r="F2067" t="s">
        <v>91</v>
      </c>
      <c r="G2067">
        <v>1</v>
      </c>
      <c r="H2067">
        <v>1</v>
      </c>
      <c r="I2067">
        <v>1</v>
      </c>
      <c r="J2067">
        <v>1</v>
      </c>
      <c r="K2067" s="6">
        <v>100</v>
      </c>
      <c r="L2067" s="6">
        <v>0</v>
      </c>
      <c r="M2067" s="6">
        <v>100</v>
      </c>
      <c r="N2067">
        <v>0</v>
      </c>
      <c r="O2067" s="6">
        <v>0</v>
      </c>
      <c r="P2067">
        <v>0</v>
      </c>
      <c r="Q2067" s="8">
        <v>130.9</v>
      </c>
      <c r="R2067" s="8">
        <v>130.9</v>
      </c>
      <c r="S2067" s="9" t="s">
        <v>541</v>
      </c>
    </row>
    <row r="2068" spans="1:19" hidden="1" x14ac:dyDescent="0.25">
      <c r="A2068" t="s">
        <v>134</v>
      </c>
      <c r="B2068" t="s">
        <v>76</v>
      </c>
      <c r="C2068" t="s">
        <v>126</v>
      </c>
      <c r="D2068" t="s">
        <v>560</v>
      </c>
      <c r="E2068" t="s">
        <v>90</v>
      </c>
      <c r="F2068" t="s">
        <v>94</v>
      </c>
      <c r="G2068">
        <v>2</v>
      </c>
      <c r="H2068">
        <v>1</v>
      </c>
      <c r="I2068">
        <v>1</v>
      </c>
      <c r="J2068">
        <v>1</v>
      </c>
      <c r="K2068" s="6">
        <v>95.42</v>
      </c>
      <c r="L2068" s="6">
        <v>-4.58</v>
      </c>
      <c r="M2068" s="6">
        <v>95.42</v>
      </c>
      <c r="N2068">
        <v>0</v>
      </c>
      <c r="O2068" s="6">
        <v>0</v>
      </c>
      <c r="P2068">
        <v>0</v>
      </c>
      <c r="Q2068" s="8">
        <v>130.9</v>
      </c>
      <c r="R2068" s="8">
        <v>124.9</v>
      </c>
      <c r="S2068" s="9" t="s">
        <v>541</v>
      </c>
    </row>
    <row r="2069" spans="1:19" hidden="1" x14ac:dyDescent="0.25">
      <c r="A2069" t="s">
        <v>134</v>
      </c>
      <c r="B2069" t="s">
        <v>76</v>
      </c>
      <c r="C2069" t="s">
        <v>126</v>
      </c>
      <c r="D2069" t="s">
        <v>560</v>
      </c>
      <c r="E2069" t="s">
        <v>90</v>
      </c>
      <c r="F2069" t="s">
        <v>96</v>
      </c>
      <c r="G2069">
        <v>6</v>
      </c>
      <c r="H2069">
        <v>1</v>
      </c>
      <c r="I2069">
        <v>1</v>
      </c>
      <c r="J2069">
        <v>1</v>
      </c>
      <c r="K2069" s="6">
        <v>95.42</v>
      </c>
      <c r="L2069" s="6">
        <v>-4.58</v>
      </c>
      <c r="M2069" s="6">
        <v>95.42</v>
      </c>
      <c r="N2069">
        <v>0</v>
      </c>
      <c r="O2069" s="6">
        <v>0</v>
      </c>
      <c r="P2069">
        <v>0</v>
      </c>
      <c r="Q2069" s="8">
        <v>130.9</v>
      </c>
      <c r="R2069" s="8">
        <v>124.9</v>
      </c>
      <c r="S2069" s="9" t="s">
        <v>541</v>
      </c>
    </row>
    <row r="2070" spans="1:19" hidden="1" x14ac:dyDescent="0.25">
      <c r="A2070" t="s">
        <v>134</v>
      </c>
      <c r="B2070" t="s">
        <v>76</v>
      </c>
      <c r="C2070" t="s">
        <v>126</v>
      </c>
      <c r="D2070" t="s">
        <v>560</v>
      </c>
      <c r="E2070" t="s">
        <v>90</v>
      </c>
      <c r="F2070" t="s">
        <v>6</v>
      </c>
      <c r="G2070">
        <v>13</v>
      </c>
      <c r="H2070">
        <v>1</v>
      </c>
      <c r="I2070">
        <v>1</v>
      </c>
      <c r="J2070">
        <v>1</v>
      </c>
      <c r="K2070" s="6">
        <v>95.42</v>
      </c>
      <c r="L2070" s="6">
        <v>-4.58</v>
      </c>
      <c r="M2070" s="6">
        <v>95.42</v>
      </c>
      <c r="N2070">
        <v>0</v>
      </c>
      <c r="O2070" s="6">
        <v>0</v>
      </c>
      <c r="P2070">
        <v>0</v>
      </c>
      <c r="Q2070" s="8">
        <v>130.9</v>
      </c>
      <c r="R2070" s="8">
        <v>124.9</v>
      </c>
      <c r="S2070" s="9" t="s">
        <v>541</v>
      </c>
    </row>
    <row r="2071" spans="1:19" hidden="1" x14ac:dyDescent="0.25">
      <c r="A2071" t="s">
        <v>134</v>
      </c>
      <c r="B2071" t="s">
        <v>76</v>
      </c>
      <c r="C2071" t="s">
        <v>126</v>
      </c>
      <c r="D2071" t="s">
        <v>524</v>
      </c>
      <c r="E2071" t="s">
        <v>90</v>
      </c>
      <c r="F2071" t="s">
        <v>90</v>
      </c>
      <c r="G2071">
        <v>0</v>
      </c>
      <c r="H2071">
        <v>3</v>
      </c>
      <c r="I2071">
        <v>3</v>
      </c>
      <c r="J2071">
        <v>3</v>
      </c>
      <c r="K2071" s="6">
        <v>100</v>
      </c>
      <c r="L2071" s="6">
        <v>0</v>
      </c>
      <c r="M2071" s="6">
        <v>100</v>
      </c>
      <c r="N2071">
        <v>0</v>
      </c>
      <c r="O2071" s="6">
        <v>0</v>
      </c>
      <c r="P2071">
        <v>0</v>
      </c>
      <c r="Q2071" s="8">
        <v>140.69</v>
      </c>
      <c r="R2071" s="8">
        <v>140.69</v>
      </c>
      <c r="S2071" s="9" t="s">
        <v>525</v>
      </c>
    </row>
    <row r="2072" spans="1:19" hidden="1" x14ac:dyDescent="0.25">
      <c r="A2072" t="s">
        <v>134</v>
      </c>
      <c r="B2072" t="s">
        <v>76</v>
      </c>
      <c r="C2072" t="s">
        <v>126</v>
      </c>
      <c r="D2072" t="s">
        <v>524</v>
      </c>
      <c r="E2072" t="s">
        <v>90</v>
      </c>
      <c r="F2072" t="s">
        <v>91</v>
      </c>
      <c r="G2072">
        <v>1</v>
      </c>
      <c r="H2072">
        <v>3</v>
      </c>
      <c r="I2072">
        <v>3</v>
      </c>
      <c r="J2072">
        <v>3</v>
      </c>
      <c r="K2072" s="6">
        <v>100</v>
      </c>
      <c r="L2072" s="6">
        <v>0</v>
      </c>
      <c r="M2072" s="6">
        <v>100</v>
      </c>
      <c r="N2072">
        <v>0</v>
      </c>
      <c r="O2072" s="6">
        <v>0</v>
      </c>
      <c r="P2072">
        <v>0</v>
      </c>
      <c r="Q2072" s="8">
        <v>140.69</v>
      </c>
      <c r="R2072" s="8">
        <v>140.69</v>
      </c>
      <c r="S2072" s="9" t="s">
        <v>526</v>
      </c>
    </row>
    <row r="2073" spans="1:19" hidden="1" x14ac:dyDescent="0.25">
      <c r="A2073" t="s">
        <v>134</v>
      </c>
      <c r="B2073" t="s">
        <v>76</v>
      </c>
      <c r="C2073" t="s">
        <v>126</v>
      </c>
      <c r="D2073" t="s">
        <v>524</v>
      </c>
      <c r="E2073" t="s">
        <v>90</v>
      </c>
      <c r="F2073" t="s">
        <v>94</v>
      </c>
      <c r="G2073">
        <v>2</v>
      </c>
      <c r="H2073">
        <v>3</v>
      </c>
      <c r="I2073">
        <v>3</v>
      </c>
      <c r="J2073">
        <v>3</v>
      </c>
      <c r="K2073" s="6">
        <v>98.1</v>
      </c>
      <c r="L2073" s="6">
        <v>-2.69</v>
      </c>
      <c r="M2073" s="6">
        <v>98.1</v>
      </c>
      <c r="N2073">
        <v>0</v>
      </c>
      <c r="O2073" s="6">
        <v>0</v>
      </c>
      <c r="P2073">
        <v>0</v>
      </c>
      <c r="Q2073" s="8">
        <v>140.69</v>
      </c>
      <c r="R2073" s="8">
        <v>138.02000000000001</v>
      </c>
      <c r="S2073" s="9" t="s">
        <v>526</v>
      </c>
    </row>
    <row r="2074" spans="1:19" hidden="1" x14ac:dyDescent="0.25">
      <c r="A2074" t="s">
        <v>134</v>
      </c>
      <c r="B2074" t="s">
        <v>76</v>
      </c>
      <c r="C2074" t="s">
        <v>126</v>
      </c>
      <c r="D2074" t="s">
        <v>524</v>
      </c>
      <c r="E2074" t="s">
        <v>90</v>
      </c>
      <c r="F2074" t="s">
        <v>96</v>
      </c>
      <c r="G2074">
        <v>6</v>
      </c>
      <c r="H2074">
        <v>3</v>
      </c>
      <c r="I2074">
        <v>3</v>
      </c>
      <c r="J2074">
        <v>3</v>
      </c>
      <c r="K2074" s="6">
        <v>98.1</v>
      </c>
      <c r="L2074" s="6">
        <v>-2.69</v>
      </c>
      <c r="M2074" s="6">
        <v>98.1</v>
      </c>
      <c r="N2074">
        <v>0</v>
      </c>
      <c r="O2074" s="6">
        <v>0</v>
      </c>
      <c r="P2074">
        <v>0</v>
      </c>
      <c r="Q2074" s="8">
        <v>140.69</v>
      </c>
      <c r="R2074" s="8">
        <v>138.02000000000001</v>
      </c>
      <c r="S2074" s="9" t="s">
        <v>526</v>
      </c>
    </row>
    <row r="2075" spans="1:19" hidden="1" x14ac:dyDescent="0.25">
      <c r="A2075" t="s">
        <v>134</v>
      </c>
      <c r="B2075" t="s">
        <v>76</v>
      </c>
      <c r="C2075" t="s">
        <v>126</v>
      </c>
      <c r="D2075" t="s">
        <v>524</v>
      </c>
      <c r="E2075" t="s">
        <v>90</v>
      </c>
      <c r="F2075" t="s">
        <v>6</v>
      </c>
      <c r="G2075">
        <v>13</v>
      </c>
      <c r="H2075">
        <v>3</v>
      </c>
      <c r="I2075">
        <v>3</v>
      </c>
      <c r="J2075">
        <v>3</v>
      </c>
      <c r="K2075" s="6">
        <v>96.68</v>
      </c>
      <c r="L2075" s="6">
        <v>-2.92</v>
      </c>
      <c r="M2075" s="6">
        <v>96.68</v>
      </c>
      <c r="N2075">
        <v>0</v>
      </c>
      <c r="O2075" s="6">
        <v>0</v>
      </c>
      <c r="P2075">
        <v>0</v>
      </c>
      <c r="Q2075" s="8">
        <v>140.69</v>
      </c>
      <c r="R2075" s="8">
        <v>136.02000000000001</v>
      </c>
      <c r="S2075" s="9" t="s">
        <v>526</v>
      </c>
    </row>
    <row r="2076" spans="1:19" hidden="1" x14ac:dyDescent="0.25">
      <c r="A2076" t="s">
        <v>134</v>
      </c>
      <c r="B2076" t="s">
        <v>76</v>
      </c>
      <c r="C2076" t="s">
        <v>126</v>
      </c>
      <c r="D2076" t="s">
        <v>527</v>
      </c>
      <c r="E2076" t="s">
        <v>90</v>
      </c>
      <c r="F2076" t="s">
        <v>90</v>
      </c>
      <c r="G2076">
        <v>0</v>
      </c>
      <c r="H2076">
        <v>13</v>
      </c>
      <c r="I2076">
        <v>13</v>
      </c>
      <c r="J2076">
        <v>13</v>
      </c>
      <c r="K2076" s="6">
        <v>100</v>
      </c>
      <c r="L2076" s="6">
        <v>0</v>
      </c>
      <c r="M2076" s="6">
        <v>100</v>
      </c>
      <c r="N2076">
        <v>0</v>
      </c>
      <c r="O2076" s="6">
        <v>0</v>
      </c>
      <c r="P2076">
        <v>0</v>
      </c>
      <c r="Q2076" s="8">
        <v>199.65</v>
      </c>
      <c r="R2076" s="8">
        <v>199.65</v>
      </c>
      <c r="S2076" s="9" t="s">
        <v>619</v>
      </c>
    </row>
    <row r="2077" spans="1:19" hidden="1" x14ac:dyDescent="0.25">
      <c r="A2077" t="s">
        <v>134</v>
      </c>
      <c r="B2077" t="s">
        <v>76</v>
      </c>
      <c r="C2077" t="s">
        <v>126</v>
      </c>
      <c r="D2077" t="s">
        <v>527</v>
      </c>
      <c r="E2077" t="s">
        <v>90</v>
      </c>
      <c r="F2077" t="s">
        <v>91</v>
      </c>
      <c r="G2077">
        <v>1</v>
      </c>
      <c r="H2077">
        <v>13</v>
      </c>
      <c r="I2077">
        <v>12</v>
      </c>
      <c r="J2077">
        <v>12</v>
      </c>
      <c r="K2077" s="6">
        <v>100</v>
      </c>
      <c r="L2077" s="6">
        <v>0</v>
      </c>
      <c r="M2077" s="6">
        <v>98.5</v>
      </c>
      <c r="N2077">
        <v>-1.5</v>
      </c>
      <c r="O2077" s="6">
        <v>7.7</v>
      </c>
      <c r="P2077">
        <v>0</v>
      </c>
      <c r="Q2077" s="8">
        <v>196.66</v>
      </c>
      <c r="R2077" s="8">
        <v>196.66</v>
      </c>
      <c r="S2077" s="10" t="s">
        <v>587</v>
      </c>
    </row>
    <row r="2078" spans="1:19" hidden="1" x14ac:dyDescent="0.25">
      <c r="A2078" t="s">
        <v>134</v>
      </c>
      <c r="B2078" t="s">
        <v>76</v>
      </c>
      <c r="C2078" t="s">
        <v>126</v>
      </c>
      <c r="D2078" t="s">
        <v>527</v>
      </c>
      <c r="E2078" t="s">
        <v>90</v>
      </c>
      <c r="F2078" t="s">
        <v>94</v>
      </c>
      <c r="G2078">
        <v>2</v>
      </c>
      <c r="H2078">
        <v>13</v>
      </c>
      <c r="I2078">
        <v>12</v>
      </c>
      <c r="J2078">
        <v>12</v>
      </c>
      <c r="K2078" s="6">
        <v>99.85</v>
      </c>
      <c r="L2078" s="6">
        <v>0</v>
      </c>
      <c r="M2078" s="6">
        <v>98.35</v>
      </c>
      <c r="N2078">
        <v>-1.5</v>
      </c>
      <c r="O2078" s="6">
        <v>7.7</v>
      </c>
      <c r="P2078">
        <v>0</v>
      </c>
      <c r="Q2078" s="8">
        <v>196.66</v>
      </c>
      <c r="R2078" s="8">
        <v>196.36</v>
      </c>
      <c r="S2078" s="10" t="s">
        <v>587</v>
      </c>
    </row>
    <row r="2079" spans="1:19" hidden="1" x14ac:dyDescent="0.25">
      <c r="A2079" t="s">
        <v>134</v>
      </c>
      <c r="B2079" t="s">
        <v>76</v>
      </c>
      <c r="C2079" t="s">
        <v>126</v>
      </c>
      <c r="D2079" t="s">
        <v>527</v>
      </c>
      <c r="E2079" t="s">
        <v>90</v>
      </c>
      <c r="F2079" t="s">
        <v>96</v>
      </c>
      <c r="G2079">
        <v>6</v>
      </c>
      <c r="H2079">
        <v>13</v>
      </c>
      <c r="I2079">
        <v>13</v>
      </c>
      <c r="J2079">
        <v>12</v>
      </c>
      <c r="K2079" s="6">
        <v>99.73</v>
      </c>
      <c r="L2079" s="6">
        <v>0</v>
      </c>
      <c r="M2079" s="6">
        <v>96.89</v>
      </c>
      <c r="N2079">
        <v>-2.84</v>
      </c>
      <c r="O2079" s="6">
        <v>7.7</v>
      </c>
      <c r="P2079">
        <v>1</v>
      </c>
      <c r="Q2079" s="8">
        <v>196.66</v>
      </c>
      <c r="R2079" s="8">
        <v>196.12</v>
      </c>
      <c r="S2079" s="10" t="s">
        <v>587</v>
      </c>
    </row>
    <row r="2080" spans="1:19" hidden="1" x14ac:dyDescent="0.25">
      <c r="A2080" t="s">
        <v>134</v>
      </c>
      <c r="B2080" t="s">
        <v>76</v>
      </c>
      <c r="C2080" t="s">
        <v>126</v>
      </c>
      <c r="D2080" t="s">
        <v>527</v>
      </c>
      <c r="E2080" t="s">
        <v>90</v>
      </c>
      <c r="F2080" t="s">
        <v>6</v>
      </c>
      <c r="G2080">
        <v>13</v>
      </c>
      <c r="H2080">
        <v>13</v>
      </c>
      <c r="I2080">
        <v>12</v>
      </c>
      <c r="J2080">
        <v>11</v>
      </c>
      <c r="K2080" s="6">
        <v>99.25</v>
      </c>
      <c r="L2080" s="6">
        <v>0</v>
      </c>
      <c r="M2080" s="6">
        <v>97.16</v>
      </c>
      <c r="N2080">
        <v>-2.09</v>
      </c>
      <c r="O2080" s="6">
        <v>15.4</v>
      </c>
      <c r="P2080">
        <v>1</v>
      </c>
      <c r="Q2080" s="8">
        <v>198.45</v>
      </c>
      <c r="R2080" s="8">
        <v>196.95</v>
      </c>
      <c r="S2080" s="10" t="s">
        <v>529</v>
      </c>
    </row>
    <row r="2081" spans="1:19" hidden="1" x14ac:dyDescent="0.25">
      <c r="A2081" t="s">
        <v>134</v>
      </c>
      <c r="B2081" t="s">
        <v>76</v>
      </c>
      <c r="C2081" t="s">
        <v>126</v>
      </c>
      <c r="D2081" t="s">
        <v>530</v>
      </c>
      <c r="E2081" t="s">
        <v>90</v>
      </c>
      <c r="F2081" t="s">
        <v>90</v>
      </c>
      <c r="G2081">
        <v>0</v>
      </c>
      <c r="H2081">
        <v>6</v>
      </c>
      <c r="I2081">
        <v>6</v>
      </c>
      <c r="J2081">
        <v>6</v>
      </c>
      <c r="K2081" s="6">
        <v>100</v>
      </c>
      <c r="L2081" s="6">
        <v>0</v>
      </c>
      <c r="M2081" s="6">
        <v>100</v>
      </c>
      <c r="N2081">
        <v>0</v>
      </c>
      <c r="O2081" s="6">
        <v>0</v>
      </c>
      <c r="P2081">
        <v>0</v>
      </c>
      <c r="Q2081" s="8">
        <v>224.55</v>
      </c>
      <c r="R2081" s="8">
        <v>224.55</v>
      </c>
      <c r="S2081" s="9" t="s">
        <v>534</v>
      </c>
    </row>
    <row r="2082" spans="1:19" hidden="1" x14ac:dyDescent="0.25">
      <c r="A2082" t="s">
        <v>134</v>
      </c>
      <c r="B2082" t="s">
        <v>76</v>
      </c>
      <c r="C2082" t="s">
        <v>126</v>
      </c>
      <c r="D2082" t="s">
        <v>530</v>
      </c>
      <c r="E2082" t="s">
        <v>90</v>
      </c>
      <c r="F2082" t="s">
        <v>91</v>
      </c>
      <c r="G2082">
        <v>1</v>
      </c>
      <c r="H2082">
        <v>6</v>
      </c>
      <c r="I2082">
        <v>6</v>
      </c>
      <c r="J2082">
        <v>6</v>
      </c>
      <c r="K2082" s="6">
        <v>100</v>
      </c>
      <c r="L2082" s="6">
        <v>0</v>
      </c>
      <c r="M2082" s="6">
        <v>100</v>
      </c>
      <c r="N2082">
        <v>0</v>
      </c>
      <c r="O2082" s="6">
        <v>0</v>
      </c>
      <c r="P2082">
        <v>0</v>
      </c>
      <c r="Q2082" s="8">
        <v>224.55</v>
      </c>
      <c r="R2082" s="8">
        <v>224.55</v>
      </c>
      <c r="S2082" s="9" t="s">
        <v>535</v>
      </c>
    </row>
    <row r="2083" spans="1:19" hidden="1" x14ac:dyDescent="0.25">
      <c r="A2083" t="s">
        <v>134</v>
      </c>
      <c r="B2083" t="s">
        <v>76</v>
      </c>
      <c r="C2083" t="s">
        <v>126</v>
      </c>
      <c r="D2083" t="s">
        <v>530</v>
      </c>
      <c r="E2083" t="s">
        <v>90</v>
      </c>
      <c r="F2083" t="s">
        <v>94</v>
      </c>
      <c r="G2083">
        <v>2</v>
      </c>
      <c r="H2083">
        <v>6</v>
      </c>
      <c r="I2083">
        <v>6</v>
      </c>
      <c r="J2083">
        <v>6</v>
      </c>
      <c r="K2083" s="6">
        <v>99.79</v>
      </c>
      <c r="L2083" s="6">
        <v>0</v>
      </c>
      <c r="M2083" s="6">
        <v>99.79</v>
      </c>
      <c r="N2083">
        <v>0</v>
      </c>
      <c r="O2083" s="6">
        <v>0</v>
      </c>
      <c r="P2083">
        <v>0</v>
      </c>
      <c r="Q2083" s="8">
        <v>224.55</v>
      </c>
      <c r="R2083" s="8">
        <v>224.08</v>
      </c>
      <c r="S2083" s="9" t="s">
        <v>535</v>
      </c>
    </row>
    <row r="2084" spans="1:19" hidden="1" x14ac:dyDescent="0.25">
      <c r="A2084" t="s">
        <v>134</v>
      </c>
      <c r="B2084" t="s">
        <v>76</v>
      </c>
      <c r="C2084" t="s">
        <v>126</v>
      </c>
      <c r="D2084" t="s">
        <v>530</v>
      </c>
      <c r="E2084" t="s">
        <v>90</v>
      </c>
      <c r="F2084" t="s">
        <v>96</v>
      </c>
      <c r="G2084">
        <v>6</v>
      </c>
      <c r="H2084">
        <v>6</v>
      </c>
      <c r="I2084">
        <v>6</v>
      </c>
      <c r="J2084">
        <v>6</v>
      </c>
      <c r="K2084" s="6">
        <v>99.79</v>
      </c>
      <c r="L2084" s="6">
        <v>0</v>
      </c>
      <c r="M2084" s="6">
        <v>99.79</v>
      </c>
      <c r="N2084">
        <v>0</v>
      </c>
      <c r="O2084" s="6">
        <v>0</v>
      </c>
      <c r="P2084">
        <v>0</v>
      </c>
      <c r="Q2084" s="8">
        <v>224.55</v>
      </c>
      <c r="R2084" s="8">
        <v>224.08</v>
      </c>
      <c r="S2084" s="9" t="s">
        <v>535</v>
      </c>
    </row>
    <row r="2085" spans="1:19" hidden="1" x14ac:dyDescent="0.25">
      <c r="A2085" t="s">
        <v>134</v>
      </c>
      <c r="B2085" t="s">
        <v>76</v>
      </c>
      <c r="C2085" t="s">
        <v>126</v>
      </c>
      <c r="D2085" t="s">
        <v>530</v>
      </c>
      <c r="E2085" t="s">
        <v>90</v>
      </c>
      <c r="F2085" t="s">
        <v>6</v>
      </c>
      <c r="G2085">
        <v>13</v>
      </c>
      <c r="H2085">
        <v>6</v>
      </c>
      <c r="I2085">
        <v>6</v>
      </c>
      <c r="J2085">
        <v>5</v>
      </c>
      <c r="K2085" s="6">
        <v>99.09</v>
      </c>
      <c r="L2085" s="6">
        <v>0</v>
      </c>
      <c r="M2085" s="6">
        <v>102.29</v>
      </c>
      <c r="N2085">
        <v>3.2</v>
      </c>
      <c r="O2085" s="6">
        <v>16.7</v>
      </c>
      <c r="P2085">
        <v>1</v>
      </c>
      <c r="Q2085" s="8">
        <v>233.49</v>
      </c>
      <c r="R2085" s="8">
        <v>231.36</v>
      </c>
      <c r="S2085" s="9" t="s">
        <v>133</v>
      </c>
    </row>
    <row r="2086" spans="1:19" hidden="1" x14ac:dyDescent="0.25">
      <c r="A2086" t="s">
        <v>134</v>
      </c>
      <c r="B2086" t="s">
        <v>76</v>
      </c>
      <c r="C2086" t="s">
        <v>126</v>
      </c>
      <c r="D2086" t="s">
        <v>531</v>
      </c>
      <c r="E2086" t="s">
        <v>90</v>
      </c>
      <c r="F2086" t="s">
        <v>90</v>
      </c>
      <c r="G2086">
        <v>0</v>
      </c>
      <c r="H2086">
        <v>5</v>
      </c>
      <c r="I2086">
        <v>5</v>
      </c>
      <c r="J2086">
        <v>5</v>
      </c>
      <c r="K2086" s="6">
        <v>100</v>
      </c>
      <c r="L2086" s="6">
        <v>0</v>
      </c>
      <c r="M2086" s="6">
        <v>100</v>
      </c>
      <c r="N2086">
        <v>0</v>
      </c>
      <c r="O2086" s="6">
        <v>0</v>
      </c>
      <c r="P2086">
        <v>0</v>
      </c>
      <c r="Q2086" s="8">
        <v>255.33</v>
      </c>
      <c r="R2086" s="8">
        <v>255.33</v>
      </c>
      <c r="S2086" s="9" t="s">
        <v>538</v>
      </c>
    </row>
    <row r="2087" spans="1:19" hidden="1" x14ac:dyDescent="0.25">
      <c r="A2087" t="s">
        <v>134</v>
      </c>
      <c r="B2087" t="s">
        <v>76</v>
      </c>
      <c r="C2087" t="s">
        <v>126</v>
      </c>
      <c r="D2087" t="s">
        <v>531</v>
      </c>
      <c r="E2087" t="s">
        <v>90</v>
      </c>
      <c r="F2087" t="s">
        <v>91</v>
      </c>
      <c r="G2087">
        <v>1</v>
      </c>
      <c r="H2087">
        <v>5</v>
      </c>
      <c r="I2087">
        <v>5</v>
      </c>
      <c r="J2087">
        <v>5</v>
      </c>
      <c r="K2087" s="6">
        <v>100</v>
      </c>
      <c r="L2087" s="6">
        <v>0</v>
      </c>
      <c r="M2087" s="6">
        <v>100</v>
      </c>
      <c r="N2087">
        <v>0</v>
      </c>
      <c r="O2087" s="6">
        <v>0</v>
      </c>
      <c r="P2087">
        <v>0</v>
      </c>
      <c r="Q2087" s="8">
        <v>255.33</v>
      </c>
      <c r="R2087" s="8">
        <v>255.33</v>
      </c>
      <c r="S2087" s="9" t="s">
        <v>133</v>
      </c>
    </row>
    <row r="2088" spans="1:19" hidden="1" x14ac:dyDescent="0.25">
      <c r="A2088" t="s">
        <v>134</v>
      </c>
      <c r="B2088" t="s">
        <v>76</v>
      </c>
      <c r="C2088" t="s">
        <v>126</v>
      </c>
      <c r="D2088" t="s">
        <v>531</v>
      </c>
      <c r="E2088" t="s">
        <v>90</v>
      </c>
      <c r="F2088" t="s">
        <v>94</v>
      </c>
      <c r="G2088">
        <v>2</v>
      </c>
      <c r="H2088">
        <v>5</v>
      </c>
      <c r="I2088">
        <v>5</v>
      </c>
      <c r="J2088">
        <v>5</v>
      </c>
      <c r="K2088" s="6">
        <v>100</v>
      </c>
      <c r="L2088" s="6">
        <v>0</v>
      </c>
      <c r="M2088" s="6">
        <v>100</v>
      </c>
      <c r="N2088">
        <v>0</v>
      </c>
      <c r="O2088" s="6">
        <v>0</v>
      </c>
      <c r="P2088">
        <v>0</v>
      </c>
      <c r="Q2088" s="8">
        <v>255.33</v>
      </c>
      <c r="R2088" s="8">
        <v>255.33</v>
      </c>
      <c r="S2088" s="9" t="s">
        <v>133</v>
      </c>
    </row>
    <row r="2089" spans="1:19" hidden="1" x14ac:dyDescent="0.25">
      <c r="A2089" t="s">
        <v>134</v>
      </c>
      <c r="B2089" t="s">
        <v>76</v>
      </c>
      <c r="C2089" t="s">
        <v>126</v>
      </c>
      <c r="D2089" t="s">
        <v>531</v>
      </c>
      <c r="E2089" t="s">
        <v>90</v>
      </c>
      <c r="F2089" t="s">
        <v>96</v>
      </c>
      <c r="G2089">
        <v>6</v>
      </c>
      <c r="H2089">
        <v>5</v>
      </c>
      <c r="I2089">
        <v>5</v>
      </c>
      <c r="J2089">
        <v>5</v>
      </c>
      <c r="K2089" s="6">
        <v>100</v>
      </c>
      <c r="L2089" s="6">
        <v>0</v>
      </c>
      <c r="M2089" s="6">
        <v>100</v>
      </c>
      <c r="N2089">
        <v>0</v>
      </c>
      <c r="O2089" s="6">
        <v>0</v>
      </c>
      <c r="P2089">
        <v>0</v>
      </c>
      <c r="Q2089" s="8">
        <v>255.33</v>
      </c>
      <c r="R2089" s="8">
        <v>255.33</v>
      </c>
      <c r="S2089" s="9" t="s">
        <v>133</v>
      </c>
    </row>
    <row r="2090" spans="1:19" hidden="1" x14ac:dyDescent="0.25">
      <c r="A2090" t="s">
        <v>134</v>
      </c>
      <c r="B2090" t="s">
        <v>76</v>
      </c>
      <c r="C2090" t="s">
        <v>126</v>
      </c>
      <c r="D2090" t="s">
        <v>531</v>
      </c>
      <c r="E2090" t="s">
        <v>90</v>
      </c>
      <c r="F2090" t="s">
        <v>6</v>
      </c>
      <c r="G2090">
        <v>13</v>
      </c>
      <c r="H2090">
        <v>5</v>
      </c>
      <c r="I2090">
        <v>5</v>
      </c>
      <c r="J2090">
        <v>5</v>
      </c>
      <c r="K2090" s="6">
        <v>97.65</v>
      </c>
      <c r="L2090" s="6">
        <v>0</v>
      </c>
      <c r="M2090" s="6">
        <v>97.65</v>
      </c>
      <c r="N2090">
        <v>0</v>
      </c>
      <c r="O2090" s="6">
        <v>0</v>
      </c>
      <c r="P2090">
        <v>0</v>
      </c>
      <c r="Q2090" s="8">
        <v>255.33</v>
      </c>
      <c r="R2090" s="8">
        <v>249.33</v>
      </c>
      <c r="S2090" s="9" t="s">
        <v>133</v>
      </c>
    </row>
    <row r="2091" spans="1:19" hidden="1" x14ac:dyDescent="0.25">
      <c r="A2091" t="s">
        <v>134</v>
      </c>
      <c r="B2091" t="s">
        <v>76</v>
      </c>
      <c r="C2091" t="s">
        <v>126</v>
      </c>
      <c r="D2091" t="s">
        <v>532</v>
      </c>
      <c r="E2091" t="s">
        <v>90</v>
      </c>
      <c r="F2091" t="s">
        <v>90</v>
      </c>
      <c r="G2091">
        <v>0</v>
      </c>
      <c r="H2091">
        <v>9</v>
      </c>
      <c r="I2091">
        <v>9</v>
      </c>
      <c r="J2091">
        <v>9</v>
      </c>
      <c r="K2091" s="6">
        <v>100</v>
      </c>
      <c r="L2091" s="6">
        <v>0</v>
      </c>
      <c r="M2091" s="6">
        <v>100</v>
      </c>
      <c r="N2091">
        <v>0</v>
      </c>
      <c r="O2091" s="6">
        <v>0</v>
      </c>
      <c r="P2091">
        <v>0</v>
      </c>
      <c r="Q2091" s="8">
        <v>206.59</v>
      </c>
      <c r="R2091" s="8">
        <v>206.59</v>
      </c>
      <c r="S2091" s="9" t="s">
        <v>546</v>
      </c>
    </row>
    <row r="2092" spans="1:19" hidden="1" x14ac:dyDescent="0.25">
      <c r="A2092" t="s">
        <v>134</v>
      </c>
      <c r="B2092" t="s">
        <v>76</v>
      </c>
      <c r="C2092" t="s">
        <v>126</v>
      </c>
      <c r="D2092" t="s">
        <v>532</v>
      </c>
      <c r="E2092" t="s">
        <v>90</v>
      </c>
      <c r="F2092" t="s">
        <v>91</v>
      </c>
      <c r="G2092">
        <v>1</v>
      </c>
      <c r="H2092">
        <v>9</v>
      </c>
      <c r="I2092">
        <v>10</v>
      </c>
      <c r="J2092">
        <v>9</v>
      </c>
      <c r="K2092" s="6">
        <v>100</v>
      </c>
      <c r="L2092" s="6">
        <v>0</v>
      </c>
      <c r="M2092" s="6">
        <v>100.16</v>
      </c>
      <c r="N2092">
        <v>0.16</v>
      </c>
      <c r="O2092" s="6">
        <v>0</v>
      </c>
      <c r="P2092">
        <v>1</v>
      </c>
      <c r="Q2092" s="8">
        <v>206.59</v>
      </c>
      <c r="R2092" s="8">
        <v>206.59</v>
      </c>
      <c r="S2092" s="9" t="s">
        <v>547</v>
      </c>
    </row>
    <row r="2093" spans="1:19" hidden="1" x14ac:dyDescent="0.25">
      <c r="A2093" t="s">
        <v>134</v>
      </c>
      <c r="B2093" t="s">
        <v>76</v>
      </c>
      <c r="C2093" t="s">
        <v>126</v>
      </c>
      <c r="D2093" t="s">
        <v>532</v>
      </c>
      <c r="E2093" t="s">
        <v>90</v>
      </c>
      <c r="F2093" t="s">
        <v>94</v>
      </c>
      <c r="G2093">
        <v>2</v>
      </c>
      <c r="H2093">
        <v>9</v>
      </c>
      <c r="I2093">
        <v>9</v>
      </c>
      <c r="J2093">
        <v>9</v>
      </c>
      <c r="K2093" s="6">
        <v>99.62</v>
      </c>
      <c r="L2093" s="6">
        <v>0</v>
      </c>
      <c r="M2093" s="6">
        <v>99.62</v>
      </c>
      <c r="N2093">
        <v>0</v>
      </c>
      <c r="O2093" s="6">
        <v>0</v>
      </c>
      <c r="P2093">
        <v>0</v>
      </c>
      <c r="Q2093" s="8">
        <v>206.59</v>
      </c>
      <c r="R2093" s="8">
        <v>205.79</v>
      </c>
      <c r="S2093" s="9" t="s">
        <v>547</v>
      </c>
    </row>
    <row r="2094" spans="1:19" hidden="1" x14ac:dyDescent="0.25">
      <c r="A2094" t="s">
        <v>134</v>
      </c>
      <c r="B2094" t="s">
        <v>76</v>
      </c>
      <c r="C2094" t="s">
        <v>126</v>
      </c>
      <c r="D2094" t="s">
        <v>532</v>
      </c>
      <c r="E2094" t="s">
        <v>90</v>
      </c>
      <c r="F2094" t="s">
        <v>96</v>
      </c>
      <c r="G2094">
        <v>6</v>
      </c>
      <c r="H2094">
        <v>9</v>
      </c>
      <c r="I2094">
        <v>9</v>
      </c>
      <c r="J2094">
        <v>9</v>
      </c>
      <c r="K2094" s="6">
        <v>99.62</v>
      </c>
      <c r="L2094" s="6">
        <v>0</v>
      </c>
      <c r="M2094" s="6">
        <v>99.62</v>
      </c>
      <c r="N2094">
        <v>0</v>
      </c>
      <c r="O2094" s="6">
        <v>0</v>
      </c>
      <c r="P2094">
        <v>0</v>
      </c>
      <c r="Q2094" s="8">
        <v>206.59</v>
      </c>
      <c r="R2094" s="8">
        <v>205.79</v>
      </c>
      <c r="S2094" s="9" t="s">
        <v>547</v>
      </c>
    </row>
    <row r="2095" spans="1:19" hidden="1" x14ac:dyDescent="0.25">
      <c r="A2095" t="s">
        <v>134</v>
      </c>
      <c r="B2095" t="s">
        <v>76</v>
      </c>
      <c r="C2095" t="s">
        <v>126</v>
      </c>
      <c r="D2095" t="s">
        <v>532</v>
      </c>
      <c r="E2095" t="s">
        <v>90</v>
      </c>
      <c r="F2095" t="s">
        <v>6</v>
      </c>
      <c r="G2095">
        <v>13</v>
      </c>
      <c r="H2095">
        <v>9</v>
      </c>
      <c r="I2095">
        <v>8</v>
      </c>
      <c r="J2095">
        <v>8</v>
      </c>
      <c r="K2095" s="6">
        <v>97.09</v>
      </c>
      <c r="L2095" s="6">
        <v>-2.88</v>
      </c>
      <c r="M2095" s="6">
        <v>98.32</v>
      </c>
      <c r="N2095">
        <v>1.23</v>
      </c>
      <c r="O2095" s="6">
        <v>11.1</v>
      </c>
      <c r="P2095">
        <v>0</v>
      </c>
      <c r="Q2095" s="8">
        <v>209.21</v>
      </c>
      <c r="R2095" s="8">
        <v>203.12</v>
      </c>
      <c r="S2095" s="9" t="s">
        <v>544</v>
      </c>
    </row>
    <row r="2096" spans="1:19" hidden="1" x14ac:dyDescent="0.25">
      <c r="A2096" t="s">
        <v>134</v>
      </c>
      <c r="B2096" t="s">
        <v>76</v>
      </c>
      <c r="C2096" t="s">
        <v>126</v>
      </c>
      <c r="D2096" t="s">
        <v>533</v>
      </c>
      <c r="E2096" t="s">
        <v>94</v>
      </c>
      <c r="F2096" t="s">
        <v>94</v>
      </c>
      <c r="G2096">
        <v>0</v>
      </c>
      <c r="H2096">
        <v>6</v>
      </c>
      <c r="I2096">
        <v>6</v>
      </c>
      <c r="J2096">
        <v>6</v>
      </c>
      <c r="K2096" s="6">
        <v>100</v>
      </c>
      <c r="L2096" s="6">
        <v>0</v>
      </c>
      <c r="M2096" s="6">
        <v>100</v>
      </c>
      <c r="N2096">
        <v>0</v>
      </c>
      <c r="O2096" s="6">
        <v>0</v>
      </c>
      <c r="P2096">
        <v>0</v>
      </c>
      <c r="Q2096" s="8">
        <v>231.18</v>
      </c>
      <c r="R2096" s="8">
        <v>231.18</v>
      </c>
      <c r="S2096" s="9" t="s">
        <v>534</v>
      </c>
    </row>
    <row r="2097" spans="1:19" hidden="1" x14ac:dyDescent="0.25">
      <c r="A2097" t="s">
        <v>134</v>
      </c>
      <c r="B2097" t="s">
        <v>76</v>
      </c>
      <c r="C2097" t="s">
        <v>126</v>
      </c>
      <c r="D2097" t="s">
        <v>533</v>
      </c>
      <c r="E2097" t="s">
        <v>94</v>
      </c>
      <c r="F2097" t="s">
        <v>96</v>
      </c>
      <c r="G2097">
        <v>4</v>
      </c>
      <c r="H2097">
        <v>6</v>
      </c>
      <c r="I2097">
        <v>7</v>
      </c>
      <c r="J2097">
        <v>6</v>
      </c>
      <c r="K2097" s="6">
        <v>100</v>
      </c>
      <c r="L2097" s="6">
        <v>0</v>
      </c>
      <c r="M2097" s="6">
        <v>99.57</v>
      </c>
      <c r="N2097">
        <v>-0.43</v>
      </c>
      <c r="O2097" s="6">
        <v>0</v>
      </c>
      <c r="P2097">
        <v>1</v>
      </c>
      <c r="Q2097" s="8">
        <v>231.18</v>
      </c>
      <c r="R2097" s="8">
        <v>231.18</v>
      </c>
      <c r="S2097" s="9" t="s">
        <v>535</v>
      </c>
    </row>
    <row r="2098" spans="1:19" hidden="1" x14ac:dyDescent="0.25">
      <c r="A2098" t="s">
        <v>134</v>
      </c>
      <c r="B2098" t="s">
        <v>76</v>
      </c>
      <c r="C2098" t="s">
        <v>126</v>
      </c>
      <c r="D2098" t="s">
        <v>533</v>
      </c>
      <c r="E2098" t="s">
        <v>94</v>
      </c>
      <c r="F2098" t="s">
        <v>6</v>
      </c>
      <c r="G2098">
        <v>11</v>
      </c>
      <c r="H2098">
        <v>6</v>
      </c>
      <c r="I2098">
        <v>6</v>
      </c>
      <c r="J2098">
        <v>5</v>
      </c>
      <c r="K2098" s="6">
        <v>101.25</v>
      </c>
      <c r="L2098" s="6">
        <v>0</v>
      </c>
      <c r="M2098" s="6">
        <v>103.55</v>
      </c>
      <c r="N2098">
        <v>2.2999999999999998</v>
      </c>
      <c r="O2098" s="6">
        <v>16.7</v>
      </c>
      <c r="P2098">
        <v>1</v>
      </c>
      <c r="Q2098" s="8">
        <v>239.44</v>
      </c>
      <c r="R2098" s="8">
        <v>242.44</v>
      </c>
      <c r="S2098" s="9" t="s">
        <v>133</v>
      </c>
    </row>
    <row r="2099" spans="1:19" hidden="1" x14ac:dyDescent="0.25">
      <c r="A2099" t="s">
        <v>134</v>
      </c>
      <c r="B2099" t="s">
        <v>76</v>
      </c>
      <c r="C2099" t="s">
        <v>126</v>
      </c>
      <c r="D2099" t="s">
        <v>545</v>
      </c>
      <c r="E2099" t="s">
        <v>94</v>
      </c>
      <c r="F2099" t="s">
        <v>94</v>
      </c>
      <c r="G2099">
        <v>0</v>
      </c>
      <c r="H2099">
        <v>7</v>
      </c>
      <c r="I2099">
        <v>7</v>
      </c>
      <c r="J2099">
        <v>7</v>
      </c>
      <c r="K2099" s="6">
        <v>100</v>
      </c>
      <c r="L2099" s="6">
        <v>0</v>
      </c>
      <c r="M2099" s="6">
        <v>100</v>
      </c>
      <c r="N2099">
        <v>0</v>
      </c>
      <c r="O2099" s="6">
        <v>0</v>
      </c>
      <c r="P2099">
        <v>0</v>
      </c>
      <c r="Q2099" s="8">
        <v>199.88</v>
      </c>
      <c r="R2099" s="8">
        <v>199.88</v>
      </c>
      <c r="S2099" s="9" t="s">
        <v>549</v>
      </c>
    </row>
    <row r="2100" spans="1:19" hidden="1" x14ac:dyDescent="0.25">
      <c r="A2100" t="s">
        <v>134</v>
      </c>
      <c r="B2100" t="s">
        <v>76</v>
      </c>
      <c r="C2100" t="s">
        <v>126</v>
      </c>
      <c r="D2100" t="s">
        <v>545</v>
      </c>
      <c r="E2100" t="s">
        <v>94</v>
      </c>
      <c r="F2100" t="s">
        <v>96</v>
      </c>
      <c r="G2100">
        <v>4</v>
      </c>
      <c r="H2100">
        <v>7</v>
      </c>
      <c r="I2100">
        <v>7</v>
      </c>
      <c r="J2100">
        <v>7</v>
      </c>
      <c r="K2100" s="6">
        <v>100</v>
      </c>
      <c r="L2100" s="6">
        <v>0</v>
      </c>
      <c r="M2100" s="6">
        <v>100</v>
      </c>
      <c r="N2100">
        <v>0</v>
      </c>
      <c r="O2100" s="6">
        <v>0</v>
      </c>
      <c r="P2100">
        <v>0</v>
      </c>
      <c r="Q2100" s="8">
        <v>199.88</v>
      </c>
      <c r="R2100" s="8">
        <v>199.88</v>
      </c>
      <c r="S2100" s="9" t="s">
        <v>550</v>
      </c>
    </row>
    <row r="2101" spans="1:19" hidden="1" x14ac:dyDescent="0.25">
      <c r="A2101" t="s">
        <v>134</v>
      </c>
      <c r="B2101" t="s">
        <v>76</v>
      </c>
      <c r="C2101" t="s">
        <v>126</v>
      </c>
      <c r="D2101" t="s">
        <v>545</v>
      </c>
      <c r="E2101" t="s">
        <v>94</v>
      </c>
      <c r="F2101" t="s">
        <v>6</v>
      </c>
      <c r="G2101">
        <v>11</v>
      </c>
      <c r="H2101">
        <v>7</v>
      </c>
      <c r="I2101">
        <v>7</v>
      </c>
      <c r="J2101">
        <v>7</v>
      </c>
      <c r="K2101" s="6">
        <v>100</v>
      </c>
      <c r="L2101" s="6">
        <v>0</v>
      </c>
      <c r="M2101" s="6">
        <v>100</v>
      </c>
      <c r="N2101">
        <v>0</v>
      </c>
      <c r="O2101" s="6">
        <v>0</v>
      </c>
      <c r="P2101">
        <v>0</v>
      </c>
      <c r="Q2101" s="8">
        <v>199.88</v>
      </c>
      <c r="R2101" s="8">
        <v>199.88</v>
      </c>
      <c r="S2101" s="9" t="s">
        <v>550</v>
      </c>
    </row>
    <row r="2102" spans="1:19" hidden="1" x14ac:dyDescent="0.25">
      <c r="A2102" t="s">
        <v>134</v>
      </c>
      <c r="B2102" t="s">
        <v>76</v>
      </c>
      <c r="C2102" t="s">
        <v>126</v>
      </c>
      <c r="D2102" t="s">
        <v>570</v>
      </c>
      <c r="E2102" t="s">
        <v>94</v>
      </c>
      <c r="F2102" t="s">
        <v>94</v>
      </c>
      <c r="G2102">
        <v>0</v>
      </c>
      <c r="H2102">
        <v>2</v>
      </c>
      <c r="I2102">
        <v>2</v>
      </c>
      <c r="J2102">
        <v>2</v>
      </c>
      <c r="K2102" s="6">
        <v>100</v>
      </c>
      <c r="L2102" s="6">
        <v>0</v>
      </c>
      <c r="M2102" s="6">
        <v>100</v>
      </c>
      <c r="N2102">
        <v>0</v>
      </c>
      <c r="O2102" s="6">
        <v>0</v>
      </c>
      <c r="P2102">
        <v>0</v>
      </c>
      <c r="Q2102" s="8">
        <v>149.88999999999999</v>
      </c>
      <c r="R2102" s="8">
        <v>149.88999999999999</v>
      </c>
      <c r="S2102" s="9" t="s">
        <v>536</v>
      </c>
    </row>
    <row r="2103" spans="1:19" hidden="1" x14ac:dyDescent="0.25">
      <c r="A2103" t="s">
        <v>134</v>
      </c>
      <c r="B2103" t="s">
        <v>76</v>
      </c>
      <c r="C2103" t="s">
        <v>126</v>
      </c>
      <c r="D2103" t="s">
        <v>570</v>
      </c>
      <c r="E2103" t="s">
        <v>94</v>
      </c>
      <c r="F2103" t="s">
        <v>96</v>
      </c>
      <c r="G2103">
        <v>4</v>
      </c>
      <c r="H2103">
        <v>2</v>
      </c>
      <c r="I2103">
        <v>2</v>
      </c>
      <c r="J2103">
        <v>2</v>
      </c>
      <c r="K2103" s="6">
        <v>100</v>
      </c>
      <c r="L2103" s="6">
        <v>0</v>
      </c>
      <c r="M2103" s="6">
        <v>100</v>
      </c>
      <c r="N2103">
        <v>0</v>
      </c>
      <c r="O2103" s="6">
        <v>0</v>
      </c>
      <c r="P2103">
        <v>0</v>
      </c>
      <c r="Q2103" s="8">
        <v>149.88999999999999</v>
      </c>
      <c r="R2103" s="8">
        <v>149.88999999999999</v>
      </c>
      <c r="S2103" s="9" t="s">
        <v>537</v>
      </c>
    </row>
    <row r="2104" spans="1:19" hidden="1" x14ac:dyDescent="0.25">
      <c r="A2104" t="s">
        <v>134</v>
      </c>
      <c r="B2104" t="s">
        <v>76</v>
      </c>
      <c r="C2104" t="s">
        <v>126</v>
      </c>
      <c r="D2104" t="s">
        <v>570</v>
      </c>
      <c r="E2104" t="s">
        <v>94</v>
      </c>
      <c r="F2104" t="s">
        <v>6</v>
      </c>
      <c r="G2104">
        <v>11</v>
      </c>
      <c r="H2104">
        <v>2</v>
      </c>
      <c r="I2104">
        <v>2</v>
      </c>
      <c r="J2104">
        <v>2</v>
      </c>
      <c r="K2104" s="6">
        <v>100</v>
      </c>
      <c r="L2104" s="6">
        <v>0</v>
      </c>
      <c r="M2104" s="6">
        <v>100</v>
      </c>
      <c r="N2104">
        <v>0</v>
      </c>
      <c r="O2104" s="6">
        <v>0</v>
      </c>
      <c r="P2104">
        <v>0</v>
      </c>
      <c r="Q2104" s="8">
        <v>149.88999999999999</v>
      </c>
      <c r="R2104" s="8">
        <v>149.88999999999999</v>
      </c>
      <c r="S2104" s="9" t="s">
        <v>537</v>
      </c>
    </row>
    <row r="2105" spans="1:19" hidden="1" x14ac:dyDescent="0.25">
      <c r="A2105" t="s">
        <v>134</v>
      </c>
      <c r="B2105" t="s">
        <v>76</v>
      </c>
      <c r="C2105" t="s">
        <v>126</v>
      </c>
      <c r="D2105" t="s">
        <v>578</v>
      </c>
      <c r="E2105" t="s">
        <v>94</v>
      </c>
      <c r="F2105" t="s">
        <v>94</v>
      </c>
      <c r="G2105">
        <v>0</v>
      </c>
      <c r="H2105">
        <v>1</v>
      </c>
      <c r="I2105">
        <v>1</v>
      </c>
      <c r="J2105">
        <v>1</v>
      </c>
      <c r="K2105" s="6">
        <v>100</v>
      </c>
      <c r="L2105" s="6">
        <v>0</v>
      </c>
      <c r="M2105" s="6">
        <v>100</v>
      </c>
      <c r="N2105">
        <v>0</v>
      </c>
      <c r="O2105" s="6">
        <v>0</v>
      </c>
      <c r="P2105">
        <v>0</v>
      </c>
      <c r="Q2105" s="8">
        <v>149</v>
      </c>
      <c r="R2105" s="8">
        <v>149</v>
      </c>
      <c r="S2105" s="9" t="s">
        <v>540</v>
      </c>
    </row>
    <row r="2106" spans="1:19" hidden="1" x14ac:dyDescent="0.25">
      <c r="A2106" t="s">
        <v>134</v>
      </c>
      <c r="B2106" t="s">
        <v>76</v>
      </c>
      <c r="C2106" t="s">
        <v>126</v>
      </c>
      <c r="D2106" t="s">
        <v>578</v>
      </c>
      <c r="E2106" t="s">
        <v>94</v>
      </c>
      <c r="F2106" t="s">
        <v>96</v>
      </c>
      <c r="G2106">
        <v>4</v>
      </c>
      <c r="H2106">
        <v>1</v>
      </c>
      <c r="I2106">
        <v>1</v>
      </c>
      <c r="J2106">
        <v>1</v>
      </c>
      <c r="K2106" s="6">
        <v>100</v>
      </c>
      <c r="L2106" s="6">
        <v>0</v>
      </c>
      <c r="M2106" s="6">
        <v>100</v>
      </c>
      <c r="N2106">
        <v>0</v>
      </c>
      <c r="O2106" s="6">
        <v>0</v>
      </c>
      <c r="P2106">
        <v>0</v>
      </c>
      <c r="Q2106" s="8">
        <v>149</v>
      </c>
      <c r="R2106" s="8">
        <v>149</v>
      </c>
      <c r="S2106" s="9" t="s">
        <v>541</v>
      </c>
    </row>
    <row r="2107" spans="1:19" hidden="1" x14ac:dyDescent="0.25">
      <c r="A2107" t="s">
        <v>134</v>
      </c>
      <c r="B2107" t="s">
        <v>76</v>
      </c>
      <c r="C2107" t="s">
        <v>126</v>
      </c>
      <c r="D2107" t="s">
        <v>578</v>
      </c>
      <c r="E2107" t="s">
        <v>94</v>
      </c>
      <c r="F2107" t="s">
        <v>6</v>
      </c>
      <c r="G2107">
        <v>11</v>
      </c>
      <c r="H2107">
        <v>1</v>
      </c>
      <c r="I2107">
        <v>1</v>
      </c>
      <c r="J2107">
        <v>1</v>
      </c>
      <c r="K2107" s="6">
        <v>100</v>
      </c>
      <c r="L2107" s="6">
        <v>0</v>
      </c>
      <c r="M2107" s="6">
        <v>100</v>
      </c>
      <c r="N2107">
        <v>0</v>
      </c>
      <c r="O2107" s="6">
        <v>0</v>
      </c>
      <c r="P2107">
        <v>0</v>
      </c>
      <c r="Q2107" s="8">
        <v>149</v>
      </c>
      <c r="R2107" s="8">
        <v>149</v>
      </c>
      <c r="S2107" s="9" t="s">
        <v>541</v>
      </c>
    </row>
    <row r="2108" spans="1:19" hidden="1" x14ac:dyDescent="0.25">
      <c r="A2108" t="s">
        <v>134</v>
      </c>
      <c r="B2108" t="s">
        <v>76</v>
      </c>
      <c r="C2108" t="s">
        <v>126</v>
      </c>
      <c r="D2108" t="s">
        <v>580</v>
      </c>
      <c r="E2108" t="s">
        <v>94</v>
      </c>
      <c r="F2108" t="s">
        <v>94</v>
      </c>
      <c r="G2108">
        <v>0</v>
      </c>
      <c r="H2108">
        <v>6</v>
      </c>
      <c r="I2108">
        <v>6</v>
      </c>
      <c r="J2108">
        <v>6</v>
      </c>
      <c r="K2108" s="6">
        <v>100</v>
      </c>
      <c r="L2108" s="6">
        <v>0</v>
      </c>
      <c r="M2108" s="6">
        <v>100</v>
      </c>
      <c r="N2108">
        <v>0</v>
      </c>
      <c r="O2108" s="6">
        <v>0</v>
      </c>
      <c r="P2108">
        <v>0</v>
      </c>
      <c r="Q2108" s="8">
        <v>184.08</v>
      </c>
      <c r="R2108" s="8">
        <v>184.08</v>
      </c>
      <c r="S2108" s="9" t="s">
        <v>534</v>
      </c>
    </row>
    <row r="2109" spans="1:19" hidden="1" x14ac:dyDescent="0.25">
      <c r="A2109" t="s">
        <v>134</v>
      </c>
      <c r="B2109" t="s">
        <v>76</v>
      </c>
      <c r="C2109" t="s">
        <v>126</v>
      </c>
      <c r="D2109" t="s">
        <v>580</v>
      </c>
      <c r="E2109" t="s">
        <v>94</v>
      </c>
      <c r="F2109" t="s">
        <v>96</v>
      </c>
      <c r="G2109">
        <v>4</v>
      </c>
      <c r="H2109">
        <v>6</v>
      </c>
      <c r="I2109">
        <v>6</v>
      </c>
      <c r="J2109">
        <v>6</v>
      </c>
      <c r="K2109" s="6">
        <v>100</v>
      </c>
      <c r="L2109" s="6">
        <v>0</v>
      </c>
      <c r="M2109" s="6">
        <v>100</v>
      </c>
      <c r="N2109">
        <v>0</v>
      </c>
      <c r="O2109" s="6">
        <v>0</v>
      </c>
      <c r="P2109">
        <v>0</v>
      </c>
      <c r="Q2109" s="8">
        <v>184.08</v>
      </c>
      <c r="R2109" s="8">
        <v>184.08</v>
      </c>
      <c r="S2109" s="9" t="s">
        <v>535</v>
      </c>
    </row>
    <row r="2110" spans="1:19" hidden="1" x14ac:dyDescent="0.25">
      <c r="A2110" t="s">
        <v>134</v>
      </c>
      <c r="B2110" t="s">
        <v>76</v>
      </c>
      <c r="C2110" t="s">
        <v>126</v>
      </c>
      <c r="D2110" t="s">
        <v>580</v>
      </c>
      <c r="E2110" t="s">
        <v>94</v>
      </c>
      <c r="F2110" t="s">
        <v>6</v>
      </c>
      <c r="G2110">
        <v>11</v>
      </c>
      <c r="H2110">
        <v>6</v>
      </c>
      <c r="I2110">
        <v>6</v>
      </c>
      <c r="J2110">
        <v>6</v>
      </c>
      <c r="K2110" s="6">
        <v>100</v>
      </c>
      <c r="L2110" s="6">
        <v>0</v>
      </c>
      <c r="M2110" s="6">
        <v>100</v>
      </c>
      <c r="N2110">
        <v>0</v>
      </c>
      <c r="O2110" s="6">
        <v>0</v>
      </c>
      <c r="P2110">
        <v>0</v>
      </c>
      <c r="Q2110" s="8">
        <v>184.08</v>
      </c>
      <c r="R2110" s="8">
        <v>184.08</v>
      </c>
      <c r="S2110" s="9" t="s">
        <v>535</v>
      </c>
    </row>
    <row r="2111" spans="1:19" hidden="1" x14ac:dyDescent="0.25">
      <c r="A2111" t="s">
        <v>134</v>
      </c>
      <c r="B2111" t="s">
        <v>76</v>
      </c>
      <c r="C2111" t="s">
        <v>126</v>
      </c>
      <c r="D2111" t="s">
        <v>582</v>
      </c>
      <c r="E2111" t="s">
        <v>94</v>
      </c>
      <c r="F2111" t="s">
        <v>94</v>
      </c>
      <c r="G2111">
        <v>0</v>
      </c>
      <c r="H2111">
        <v>13</v>
      </c>
      <c r="I2111">
        <v>13</v>
      </c>
      <c r="J2111">
        <v>13</v>
      </c>
      <c r="K2111" s="6">
        <v>100</v>
      </c>
      <c r="L2111" s="6">
        <v>0</v>
      </c>
      <c r="M2111" s="6">
        <v>100</v>
      </c>
      <c r="N2111">
        <v>0</v>
      </c>
      <c r="O2111" s="6">
        <v>0</v>
      </c>
      <c r="P2111">
        <v>0</v>
      </c>
      <c r="Q2111" s="8">
        <v>198.3</v>
      </c>
      <c r="R2111" s="8">
        <v>198.3</v>
      </c>
      <c r="S2111" s="9" t="s">
        <v>619</v>
      </c>
    </row>
    <row r="2112" spans="1:19" hidden="1" x14ac:dyDescent="0.25">
      <c r="A2112" t="s">
        <v>134</v>
      </c>
      <c r="B2112" t="s">
        <v>76</v>
      </c>
      <c r="C2112" t="s">
        <v>126</v>
      </c>
      <c r="D2112" t="s">
        <v>582</v>
      </c>
      <c r="E2112" t="s">
        <v>94</v>
      </c>
      <c r="F2112" t="s">
        <v>96</v>
      </c>
      <c r="G2112">
        <v>4</v>
      </c>
      <c r="H2112">
        <v>13</v>
      </c>
      <c r="I2112">
        <v>13</v>
      </c>
      <c r="J2112">
        <v>13</v>
      </c>
      <c r="K2112" s="6">
        <v>100</v>
      </c>
      <c r="L2112" s="6">
        <v>0</v>
      </c>
      <c r="M2112" s="6">
        <v>100</v>
      </c>
      <c r="N2112">
        <v>0</v>
      </c>
      <c r="O2112" s="6">
        <v>0</v>
      </c>
      <c r="P2112">
        <v>0</v>
      </c>
      <c r="Q2112" s="8">
        <v>198.3</v>
      </c>
      <c r="R2112" s="8">
        <v>198.3</v>
      </c>
      <c r="S2112" s="10" t="s">
        <v>612</v>
      </c>
    </row>
    <row r="2113" spans="1:19" hidden="1" x14ac:dyDescent="0.25">
      <c r="A2113" t="s">
        <v>134</v>
      </c>
      <c r="B2113" t="s">
        <v>76</v>
      </c>
      <c r="C2113" t="s">
        <v>126</v>
      </c>
      <c r="D2113" t="s">
        <v>582</v>
      </c>
      <c r="E2113" t="s">
        <v>94</v>
      </c>
      <c r="F2113" t="s">
        <v>6</v>
      </c>
      <c r="G2113">
        <v>11</v>
      </c>
      <c r="H2113">
        <v>13</v>
      </c>
      <c r="I2113">
        <v>13</v>
      </c>
      <c r="J2113">
        <v>13</v>
      </c>
      <c r="K2113" s="6">
        <v>100</v>
      </c>
      <c r="L2113" s="6">
        <v>0</v>
      </c>
      <c r="M2113" s="6">
        <v>100</v>
      </c>
      <c r="N2113">
        <v>0</v>
      </c>
      <c r="O2113" s="6">
        <v>0</v>
      </c>
      <c r="P2113">
        <v>0</v>
      </c>
      <c r="Q2113" s="8">
        <v>198.3</v>
      </c>
      <c r="R2113" s="8">
        <v>198.3</v>
      </c>
      <c r="S2113" s="10" t="s">
        <v>612</v>
      </c>
    </row>
    <row r="2114" spans="1:19" hidden="1" x14ac:dyDescent="0.25">
      <c r="A2114" t="s">
        <v>134</v>
      </c>
      <c r="B2114" t="s">
        <v>76</v>
      </c>
      <c r="C2114" t="s">
        <v>126</v>
      </c>
      <c r="D2114" t="s">
        <v>583</v>
      </c>
      <c r="E2114" t="s">
        <v>94</v>
      </c>
      <c r="F2114" t="s">
        <v>94</v>
      </c>
      <c r="G2114">
        <v>0</v>
      </c>
      <c r="H2114">
        <v>13</v>
      </c>
      <c r="I2114">
        <v>13</v>
      </c>
      <c r="J2114">
        <v>13</v>
      </c>
      <c r="K2114" s="6">
        <v>100</v>
      </c>
      <c r="L2114" s="6">
        <v>0</v>
      </c>
      <c r="M2114" s="6">
        <v>100</v>
      </c>
      <c r="N2114">
        <v>0</v>
      </c>
      <c r="O2114" s="6">
        <v>0</v>
      </c>
      <c r="P2114">
        <v>0</v>
      </c>
      <c r="Q2114" s="8">
        <v>217.07</v>
      </c>
      <c r="R2114" s="8">
        <v>217.07</v>
      </c>
      <c r="S2114" s="9" t="s">
        <v>619</v>
      </c>
    </row>
    <row r="2115" spans="1:19" hidden="1" x14ac:dyDescent="0.25">
      <c r="A2115" t="s">
        <v>134</v>
      </c>
      <c r="B2115" t="s">
        <v>76</v>
      </c>
      <c r="C2115" t="s">
        <v>126</v>
      </c>
      <c r="D2115" t="s">
        <v>583</v>
      </c>
      <c r="E2115" t="s">
        <v>94</v>
      </c>
      <c r="F2115" t="s">
        <v>96</v>
      </c>
      <c r="G2115">
        <v>4</v>
      </c>
      <c r="H2115">
        <v>13</v>
      </c>
      <c r="I2115">
        <v>13</v>
      </c>
      <c r="J2115">
        <v>13</v>
      </c>
      <c r="K2115" s="6">
        <v>100</v>
      </c>
      <c r="L2115" s="6">
        <v>0</v>
      </c>
      <c r="M2115" s="6">
        <v>100</v>
      </c>
      <c r="N2115">
        <v>0</v>
      </c>
      <c r="O2115" s="6">
        <v>0</v>
      </c>
      <c r="P2115">
        <v>0</v>
      </c>
      <c r="Q2115" s="8">
        <v>217.07</v>
      </c>
      <c r="R2115" s="8">
        <v>217.07</v>
      </c>
      <c r="S2115" s="10" t="s">
        <v>612</v>
      </c>
    </row>
    <row r="2116" spans="1:19" hidden="1" x14ac:dyDescent="0.25">
      <c r="A2116" t="s">
        <v>134</v>
      </c>
      <c r="B2116" t="s">
        <v>76</v>
      </c>
      <c r="C2116" t="s">
        <v>126</v>
      </c>
      <c r="D2116" t="s">
        <v>583</v>
      </c>
      <c r="E2116" t="s">
        <v>94</v>
      </c>
      <c r="F2116" t="s">
        <v>6</v>
      </c>
      <c r="G2116">
        <v>11</v>
      </c>
      <c r="H2116">
        <v>13</v>
      </c>
      <c r="I2116">
        <v>13</v>
      </c>
      <c r="J2116">
        <v>13</v>
      </c>
      <c r="K2116" s="6">
        <v>100</v>
      </c>
      <c r="L2116" s="6">
        <v>0</v>
      </c>
      <c r="M2116" s="6">
        <v>100</v>
      </c>
      <c r="N2116">
        <v>0</v>
      </c>
      <c r="O2116" s="6">
        <v>0</v>
      </c>
      <c r="P2116">
        <v>0</v>
      </c>
      <c r="Q2116" s="8">
        <v>217.07</v>
      </c>
      <c r="R2116" s="8">
        <v>217.07</v>
      </c>
      <c r="S2116" s="10" t="s">
        <v>612</v>
      </c>
    </row>
    <row r="2117" spans="1:19" hidden="1" x14ac:dyDescent="0.25">
      <c r="A2117" t="s">
        <v>134</v>
      </c>
      <c r="B2117" t="s">
        <v>76</v>
      </c>
      <c r="C2117" t="s">
        <v>126</v>
      </c>
      <c r="D2117" t="s">
        <v>585</v>
      </c>
      <c r="E2117" t="s">
        <v>94</v>
      </c>
      <c r="F2117" t="s">
        <v>94</v>
      </c>
      <c r="G2117">
        <v>0</v>
      </c>
      <c r="H2117">
        <v>14</v>
      </c>
      <c r="I2117">
        <v>14</v>
      </c>
      <c r="J2117">
        <v>14</v>
      </c>
      <c r="K2117" s="6">
        <v>100</v>
      </c>
      <c r="L2117" s="6">
        <v>0</v>
      </c>
      <c r="M2117" s="6">
        <v>100</v>
      </c>
      <c r="N2117">
        <v>0</v>
      </c>
      <c r="O2117" s="6">
        <v>0</v>
      </c>
      <c r="P2117">
        <v>0</v>
      </c>
      <c r="Q2117" s="8">
        <v>211.95</v>
      </c>
      <c r="R2117" s="8">
        <v>211.95</v>
      </c>
      <c r="S2117" s="9" t="s">
        <v>617</v>
      </c>
    </row>
    <row r="2118" spans="1:19" hidden="1" x14ac:dyDescent="0.25">
      <c r="A2118" t="s">
        <v>134</v>
      </c>
      <c r="B2118" t="s">
        <v>76</v>
      </c>
      <c r="C2118" t="s">
        <v>126</v>
      </c>
      <c r="D2118" t="s">
        <v>585</v>
      </c>
      <c r="E2118" t="s">
        <v>94</v>
      </c>
      <c r="F2118" t="s">
        <v>96</v>
      </c>
      <c r="G2118">
        <v>4</v>
      </c>
      <c r="H2118">
        <v>14</v>
      </c>
      <c r="I2118">
        <v>14</v>
      </c>
      <c r="J2118">
        <v>14</v>
      </c>
      <c r="K2118" s="6">
        <v>100</v>
      </c>
      <c r="L2118" s="6">
        <v>0</v>
      </c>
      <c r="M2118" s="6">
        <v>100</v>
      </c>
      <c r="N2118">
        <v>0</v>
      </c>
      <c r="O2118" s="6">
        <v>0</v>
      </c>
      <c r="P2118">
        <v>0</v>
      </c>
      <c r="Q2118" s="8">
        <v>211.95</v>
      </c>
      <c r="R2118" s="8">
        <v>211.95</v>
      </c>
      <c r="S2118" s="10" t="s">
        <v>607</v>
      </c>
    </row>
    <row r="2119" spans="1:19" hidden="1" x14ac:dyDescent="0.25">
      <c r="A2119" t="s">
        <v>134</v>
      </c>
      <c r="B2119" t="s">
        <v>76</v>
      </c>
      <c r="C2119" t="s">
        <v>126</v>
      </c>
      <c r="D2119" t="s">
        <v>585</v>
      </c>
      <c r="E2119" t="s">
        <v>94</v>
      </c>
      <c r="F2119" t="s">
        <v>6</v>
      </c>
      <c r="G2119">
        <v>11</v>
      </c>
      <c r="H2119">
        <v>14</v>
      </c>
      <c r="I2119">
        <v>14</v>
      </c>
      <c r="J2119">
        <v>14</v>
      </c>
      <c r="K2119" s="6">
        <v>100</v>
      </c>
      <c r="L2119" s="6">
        <v>0</v>
      </c>
      <c r="M2119" s="6">
        <v>100</v>
      </c>
      <c r="N2119">
        <v>0</v>
      </c>
      <c r="O2119" s="6">
        <v>0</v>
      </c>
      <c r="P2119">
        <v>0</v>
      </c>
      <c r="Q2119" s="8">
        <v>211.95</v>
      </c>
      <c r="R2119" s="8">
        <v>211.95</v>
      </c>
      <c r="S2119" s="10" t="s">
        <v>607</v>
      </c>
    </row>
    <row r="2120" spans="1:19" hidden="1" x14ac:dyDescent="0.25">
      <c r="A2120" t="s">
        <v>134</v>
      </c>
      <c r="B2120" t="s">
        <v>76</v>
      </c>
      <c r="C2120" t="s">
        <v>126</v>
      </c>
      <c r="D2120" t="s">
        <v>588</v>
      </c>
      <c r="E2120" t="s">
        <v>94</v>
      </c>
      <c r="F2120" t="s">
        <v>94</v>
      </c>
      <c r="G2120">
        <v>0</v>
      </c>
      <c r="H2120">
        <v>12</v>
      </c>
      <c r="I2120">
        <v>12</v>
      </c>
      <c r="J2120">
        <v>12</v>
      </c>
      <c r="K2120" s="6">
        <v>100</v>
      </c>
      <c r="L2120" s="6">
        <v>0</v>
      </c>
      <c r="M2120" s="6">
        <v>100</v>
      </c>
      <c r="N2120">
        <v>0</v>
      </c>
      <c r="O2120" s="6">
        <v>0</v>
      </c>
      <c r="P2120">
        <v>0</v>
      </c>
      <c r="Q2120" s="8">
        <v>210.69</v>
      </c>
      <c r="R2120" s="8">
        <v>210.69</v>
      </c>
      <c r="S2120" s="9" t="s">
        <v>586</v>
      </c>
    </row>
    <row r="2121" spans="1:19" hidden="1" x14ac:dyDescent="0.25">
      <c r="A2121" t="s">
        <v>134</v>
      </c>
      <c r="B2121" t="s">
        <v>76</v>
      </c>
      <c r="C2121" t="s">
        <v>126</v>
      </c>
      <c r="D2121" t="s">
        <v>588</v>
      </c>
      <c r="E2121" t="s">
        <v>94</v>
      </c>
      <c r="F2121" t="s">
        <v>96</v>
      </c>
      <c r="G2121">
        <v>4</v>
      </c>
      <c r="H2121">
        <v>12</v>
      </c>
      <c r="I2121">
        <v>12</v>
      </c>
      <c r="J2121">
        <v>12</v>
      </c>
      <c r="K2121" s="6">
        <v>100</v>
      </c>
      <c r="L2121" s="6">
        <v>0</v>
      </c>
      <c r="M2121" s="6">
        <v>100</v>
      </c>
      <c r="N2121">
        <v>0</v>
      </c>
      <c r="O2121" s="6">
        <v>0</v>
      </c>
      <c r="P2121">
        <v>0</v>
      </c>
      <c r="Q2121" s="8">
        <v>210.69</v>
      </c>
      <c r="R2121" s="8">
        <v>210.69</v>
      </c>
      <c r="S2121" s="10" t="s">
        <v>587</v>
      </c>
    </row>
    <row r="2122" spans="1:19" hidden="1" x14ac:dyDescent="0.25">
      <c r="A2122" t="s">
        <v>134</v>
      </c>
      <c r="B2122" t="s">
        <v>76</v>
      </c>
      <c r="C2122" t="s">
        <v>126</v>
      </c>
      <c r="D2122" t="s">
        <v>588</v>
      </c>
      <c r="E2122" t="s">
        <v>94</v>
      </c>
      <c r="F2122" t="s">
        <v>6</v>
      </c>
      <c r="G2122">
        <v>11</v>
      </c>
      <c r="H2122">
        <v>12</v>
      </c>
      <c r="I2122">
        <v>12</v>
      </c>
      <c r="J2122">
        <v>12</v>
      </c>
      <c r="K2122" s="6">
        <v>100</v>
      </c>
      <c r="L2122" s="6">
        <v>0</v>
      </c>
      <c r="M2122" s="6">
        <v>100</v>
      </c>
      <c r="N2122">
        <v>0</v>
      </c>
      <c r="O2122" s="6">
        <v>0</v>
      </c>
      <c r="P2122">
        <v>0</v>
      </c>
      <c r="Q2122" s="8">
        <v>210.69</v>
      </c>
      <c r="R2122" s="8">
        <v>210.69</v>
      </c>
      <c r="S2122" s="10" t="s">
        <v>587</v>
      </c>
    </row>
    <row r="2123" spans="1:19" hidden="1" x14ac:dyDescent="0.25">
      <c r="A2123" t="s">
        <v>134</v>
      </c>
      <c r="B2123" t="s">
        <v>76</v>
      </c>
      <c r="C2123" t="s">
        <v>126</v>
      </c>
      <c r="D2123" t="s">
        <v>589</v>
      </c>
      <c r="E2123" t="s">
        <v>94</v>
      </c>
      <c r="F2123" t="s">
        <v>94</v>
      </c>
      <c r="G2123">
        <v>0</v>
      </c>
      <c r="H2123">
        <v>10</v>
      </c>
      <c r="I2123">
        <v>10</v>
      </c>
      <c r="J2123">
        <v>10</v>
      </c>
      <c r="K2123" s="6">
        <v>100</v>
      </c>
      <c r="L2123" s="6">
        <v>0</v>
      </c>
      <c r="M2123" s="6">
        <v>100</v>
      </c>
      <c r="N2123">
        <v>0</v>
      </c>
      <c r="O2123" s="6">
        <v>0</v>
      </c>
      <c r="P2123">
        <v>0</v>
      </c>
      <c r="Q2123" s="8">
        <v>217.27</v>
      </c>
      <c r="R2123" s="8">
        <v>217.27</v>
      </c>
      <c r="S2123" s="9" t="s">
        <v>584</v>
      </c>
    </row>
    <row r="2124" spans="1:19" hidden="1" x14ac:dyDescent="0.25">
      <c r="A2124" t="s">
        <v>134</v>
      </c>
      <c r="B2124" t="s">
        <v>76</v>
      </c>
      <c r="C2124" t="s">
        <v>126</v>
      </c>
      <c r="D2124" t="s">
        <v>589</v>
      </c>
      <c r="E2124" t="s">
        <v>94</v>
      </c>
      <c r="F2124" t="s">
        <v>96</v>
      </c>
      <c r="G2124">
        <v>4</v>
      </c>
      <c r="H2124">
        <v>10</v>
      </c>
      <c r="I2124">
        <v>10</v>
      </c>
      <c r="J2124">
        <v>10</v>
      </c>
      <c r="K2124" s="6">
        <v>100</v>
      </c>
      <c r="L2124" s="6">
        <v>0</v>
      </c>
      <c r="M2124" s="6">
        <v>100</v>
      </c>
      <c r="N2124">
        <v>0</v>
      </c>
      <c r="O2124" s="6">
        <v>0</v>
      </c>
      <c r="P2124">
        <v>0</v>
      </c>
      <c r="Q2124" s="8">
        <v>217.27</v>
      </c>
      <c r="R2124" s="8">
        <v>217.27</v>
      </c>
      <c r="S2124" s="10" t="s">
        <v>131</v>
      </c>
    </row>
    <row r="2125" spans="1:19" hidden="1" x14ac:dyDescent="0.25">
      <c r="A2125" t="s">
        <v>134</v>
      </c>
      <c r="B2125" t="s">
        <v>76</v>
      </c>
      <c r="C2125" t="s">
        <v>126</v>
      </c>
      <c r="D2125" t="s">
        <v>589</v>
      </c>
      <c r="E2125" t="s">
        <v>94</v>
      </c>
      <c r="F2125" t="s">
        <v>6</v>
      </c>
      <c r="G2125">
        <v>11</v>
      </c>
      <c r="H2125">
        <v>10</v>
      </c>
      <c r="I2125">
        <v>10</v>
      </c>
      <c r="J2125">
        <v>10</v>
      </c>
      <c r="K2125" s="6">
        <v>100</v>
      </c>
      <c r="L2125" s="6">
        <v>0</v>
      </c>
      <c r="M2125" s="6">
        <v>100</v>
      </c>
      <c r="N2125">
        <v>0</v>
      </c>
      <c r="O2125" s="6">
        <v>0</v>
      </c>
      <c r="P2125">
        <v>0</v>
      </c>
      <c r="Q2125" s="8">
        <v>217.27</v>
      </c>
      <c r="R2125" s="8">
        <v>217.27</v>
      </c>
      <c r="S2125" s="10" t="s">
        <v>131</v>
      </c>
    </row>
    <row r="2126" spans="1:19" hidden="1" x14ac:dyDescent="0.25">
      <c r="A2126" t="s">
        <v>134</v>
      </c>
      <c r="B2126" t="s">
        <v>76</v>
      </c>
      <c r="C2126" t="s">
        <v>126</v>
      </c>
      <c r="D2126" t="s">
        <v>590</v>
      </c>
      <c r="E2126" t="s">
        <v>94</v>
      </c>
      <c r="F2126" t="s">
        <v>94</v>
      </c>
      <c r="G2126">
        <v>0</v>
      </c>
      <c r="H2126">
        <v>9</v>
      </c>
      <c r="I2126">
        <v>9</v>
      </c>
      <c r="J2126">
        <v>9</v>
      </c>
      <c r="K2126" s="6">
        <v>100</v>
      </c>
      <c r="L2126" s="6">
        <v>0</v>
      </c>
      <c r="M2126" s="6">
        <v>100</v>
      </c>
      <c r="N2126">
        <v>0</v>
      </c>
      <c r="O2126" s="6">
        <v>0</v>
      </c>
      <c r="P2126">
        <v>0</v>
      </c>
      <c r="Q2126" s="8">
        <v>214.43</v>
      </c>
      <c r="R2126" s="8">
        <v>214.43</v>
      </c>
      <c r="S2126" s="9" t="s">
        <v>546</v>
      </c>
    </row>
    <row r="2127" spans="1:19" hidden="1" x14ac:dyDescent="0.25">
      <c r="A2127" t="s">
        <v>134</v>
      </c>
      <c r="B2127" t="s">
        <v>76</v>
      </c>
      <c r="C2127" t="s">
        <v>126</v>
      </c>
      <c r="D2127" t="s">
        <v>590</v>
      </c>
      <c r="E2127" t="s">
        <v>94</v>
      </c>
      <c r="F2127" t="s">
        <v>96</v>
      </c>
      <c r="G2127">
        <v>4</v>
      </c>
      <c r="H2127">
        <v>9</v>
      </c>
      <c r="I2127">
        <v>9</v>
      </c>
      <c r="J2127">
        <v>9</v>
      </c>
      <c r="K2127" s="6">
        <v>100</v>
      </c>
      <c r="L2127" s="6">
        <v>0</v>
      </c>
      <c r="M2127" s="6">
        <v>100</v>
      </c>
      <c r="N2127">
        <v>0</v>
      </c>
      <c r="O2127" s="6">
        <v>0</v>
      </c>
      <c r="P2127">
        <v>0</v>
      </c>
      <c r="Q2127" s="8">
        <v>214.43</v>
      </c>
      <c r="R2127" s="8">
        <v>214.43</v>
      </c>
      <c r="S2127" s="9" t="s">
        <v>547</v>
      </c>
    </row>
    <row r="2128" spans="1:19" hidden="1" x14ac:dyDescent="0.25">
      <c r="A2128" t="s">
        <v>134</v>
      </c>
      <c r="B2128" t="s">
        <v>76</v>
      </c>
      <c r="C2128" t="s">
        <v>126</v>
      </c>
      <c r="D2128" t="s">
        <v>590</v>
      </c>
      <c r="E2128" t="s">
        <v>94</v>
      </c>
      <c r="F2128" t="s">
        <v>6</v>
      </c>
      <c r="G2128">
        <v>11</v>
      </c>
      <c r="H2128">
        <v>9</v>
      </c>
      <c r="I2128">
        <v>9</v>
      </c>
      <c r="J2128">
        <v>9</v>
      </c>
      <c r="K2128" s="6">
        <v>100</v>
      </c>
      <c r="L2128" s="6">
        <v>0</v>
      </c>
      <c r="M2128" s="6">
        <v>100</v>
      </c>
      <c r="N2128">
        <v>0</v>
      </c>
      <c r="O2128" s="6">
        <v>0</v>
      </c>
      <c r="P2128">
        <v>0</v>
      </c>
      <c r="Q2128" s="8">
        <v>214.43</v>
      </c>
      <c r="R2128" s="8">
        <v>214.43</v>
      </c>
      <c r="S2128" s="9" t="s">
        <v>547</v>
      </c>
    </row>
    <row r="2129" spans="1:19" hidden="1" x14ac:dyDescent="0.25">
      <c r="A2129" t="s">
        <v>134</v>
      </c>
      <c r="B2129" t="s">
        <v>76</v>
      </c>
      <c r="C2129" t="s">
        <v>127</v>
      </c>
      <c r="D2129" t="s">
        <v>539</v>
      </c>
      <c r="E2129" t="s">
        <v>91</v>
      </c>
      <c r="F2129" t="s">
        <v>91</v>
      </c>
      <c r="G2129">
        <v>0</v>
      </c>
      <c r="H2129">
        <v>12</v>
      </c>
      <c r="I2129">
        <v>12</v>
      </c>
      <c r="J2129">
        <v>12</v>
      </c>
      <c r="K2129" s="6">
        <v>100</v>
      </c>
      <c r="L2129" s="6">
        <v>0</v>
      </c>
      <c r="M2129" s="6">
        <v>100</v>
      </c>
      <c r="N2129">
        <v>0</v>
      </c>
      <c r="O2129" s="6">
        <v>0</v>
      </c>
      <c r="P2129">
        <v>0</v>
      </c>
      <c r="Q2129" s="8">
        <v>182.12</v>
      </c>
      <c r="R2129" s="8">
        <v>182.12</v>
      </c>
      <c r="S2129" s="9" t="s">
        <v>586</v>
      </c>
    </row>
    <row r="2130" spans="1:19" hidden="1" x14ac:dyDescent="0.25">
      <c r="A2130" t="s">
        <v>134</v>
      </c>
      <c r="B2130" t="s">
        <v>76</v>
      </c>
      <c r="C2130" t="s">
        <v>127</v>
      </c>
      <c r="D2130" t="s">
        <v>539</v>
      </c>
      <c r="E2130" t="s">
        <v>91</v>
      </c>
      <c r="F2130" t="s">
        <v>94</v>
      </c>
      <c r="G2130">
        <v>1</v>
      </c>
      <c r="H2130">
        <v>12</v>
      </c>
      <c r="I2130">
        <v>9</v>
      </c>
      <c r="J2130">
        <v>9</v>
      </c>
      <c r="K2130" s="6">
        <v>98.49</v>
      </c>
      <c r="L2130" s="6">
        <v>0</v>
      </c>
      <c r="M2130" s="6">
        <v>99.98</v>
      </c>
      <c r="N2130">
        <v>1.49</v>
      </c>
      <c r="O2130" s="6">
        <v>25</v>
      </c>
      <c r="P2130">
        <v>0</v>
      </c>
      <c r="Q2130" s="8">
        <v>184.87</v>
      </c>
      <c r="R2130" s="8">
        <v>182.09</v>
      </c>
      <c r="S2130" s="9" t="s">
        <v>547</v>
      </c>
    </row>
    <row r="2131" spans="1:19" hidden="1" x14ac:dyDescent="0.25">
      <c r="A2131" t="s">
        <v>134</v>
      </c>
      <c r="B2131" t="s">
        <v>76</v>
      </c>
      <c r="C2131" t="s">
        <v>127</v>
      </c>
      <c r="D2131" t="s">
        <v>539</v>
      </c>
      <c r="E2131" t="s">
        <v>91</v>
      </c>
      <c r="F2131" t="s">
        <v>96</v>
      </c>
      <c r="G2131">
        <v>5</v>
      </c>
      <c r="H2131">
        <v>12</v>
      </c>
      <c r="I2131">
        <v>11</v>
      </c>
      <c r="J2131">
        <v>10</v>
      </c>
      <c r="K2131" s="6">
        <v>97.49</v>
      </c>
      <c r="L2131" s="6">
        <v>-3.19</v>
      </c>
      <c r="M2131" s="6">
        <v>99.1</v>
      </c>
      <c r="N2131">
        <v>1.61</v>
      </c>
      <c r="O2131" s="6">
        <v>16.7</v>
      </c>
      <c r="P2131">
        <v>1</v>
      </c>
      <c r="Q2131" s="8">
        <v>186.66</v>
      </c>
      <c r="R2131" s="8">
        <v>181.97</v>
      </c>
      <c r="S2131" s="10" t="s">
        <v>131</v>
      </c>
    </row>
    <row r="2132" spans="1:19" hidden="1" x14ac:dyDescent="0.25">
      <c r="A2132" t="s">
        <v>134</v>
      </c>
      <c r="B2132" t="s">
        <v>76</v>
      </c>
      <c r="C2132" t="s">
        <v>127</v>
      </c>
      <c r="D2132" t="s">
        <v>539</v>
      </c>
      <c r="E2132" t="s">
        <v>91</v>
      </c>
      <c r="F2132" t="s">
        <v>6</v>
      </c>
      <c r="G2132">
        <v>12</v>
      </c>
      <c r="H2132">
        <v>12</v>
      </c>
      <c r="I2132">
        <v>7</v>
      </c>
      <c r="J2132">
        <v>6</v>
      </c>
      <c r="K2132" s="6">
        <v>94.05</v>
      </c>
      <c r="L2132" s="6">
        <v>-3.5</v>
      </c>
      <c r="M2132" s="6">
        <v>95.6</v>
      </c>
      <c r="N2132">
        <v>1.55</v>
      </c>
      <c r="O2132" s="6">
        <v>50</v>
      </c>
      <c r="P2132">
        <v>1</v>
      </c>
      <c r="Q2132" s="8">
        <v>185.36</v>
      </c>
      <c r="R2132" s="8">
        <v>174.34</v>
      </c>
      <c r="S2132" s="9" t="s">
        <v>535</v>
      </c>
    </row>
    <row r="2133" spans="1:19" hidden="1" x14ac:dyDescent="0.25">
      <c r="A2133" t="s">
        <v>134</v>
      </c>
      <c r="B2133" t="s">
        <v>76</v>
      </c>
      <c r="C2133" t="s">
        <v>127</v>
      </c>
      <c r="D2133" t="s">
        <v>552</v>
      </c>
      <c r="E2133" t="s">
        <v>91</v>
      </c>
      <c r="F2133" t="s">
        <v>91</v>
      </c>
      <c r="G2133">
        <v>0</v>
      </c>
      <c r="H2133">
        <v>2</v>
      </c>
      <c r="I2133">
        <v>2</v>
      </c>
      <c r="J2133">
        <v>2</v>
      </c>
      <c r="K2133" s="6">
        <v>100</v>
      </c>
      <c r="L2133" s="6">
        <v>0</v>
      </c>
      <c r="M2133" s="6">
        <v>100</v>
      </c>
      <c r="N2133">
        <v>0</v>
      </c>
      <c r="O2133" s="6">
        <v>0</v>
      </c>
      <c r="P2133">
        <v>0</v>
      </c>
      <c r="Q2133" s="8">
        <v>92.84</v>
      </c>
      <c r="R2133" s="8">
        <v>92.84</v>
      </c>
      <c r="S2133" s="9" t="s">
        <v>536</v>
      </c>
    </row>
    <row r="2134" spans="1:19" hidden="1" x14ac:dyDescent="0.25">
      <c r="A2134" t="s">
        <v>134</v>
      </c>
      <c r="B2134" t="s">
        <v>76</v>
      </c>
      <c r="C2134" t="s">
        <v>127</v>
      </c>
      <c r="D2134" t="s">
        <v>552</v>
      </c>
      <c r="E2134" t="s">
        <v>91</v>
      </c>
      <c r="F2134" t="s">
        <v>94</v>
      </c>
      <c r="G2134">
        <v>1</v>
      </c>
      <c r="H2134">
        <v>2</v>
      </c>
      <c r="I2134">
        <v>2</v>
      </c>
      <c r="J2134">
        <v>2</v>
      </c>
      <c r="K2134" s="6">
        <v>100</v>
      </c>
      <c r="L2134" s="6">
        <v>0</v>
      </c>
      <c r="M2134" s="6">
        <v>100</v>
      </c>
      <c r="N2134">
        <v>0</v>
      </c>
      <c r="O2134" s="6">
        <v>0</v>
      </c>
      <c r="P2134">
        <v>0</v>
      </c>
      <c r="Q2134" s="8">
        <v>92.84</v>
      </c>
      <c r="R2134" s="8">
        <v>92.84</v>
      </c>
      <c r="S2134" s="9" t="s">
        <v>537</v>
      </c>
    </row>
    <row r="2135" spans="1:19" hidden="1" x14ac:dyDescent="0.25">
      <c r="A2135" t="s">
        <v>134</v>
      </c>
      <c r="B2135" t="s">
        <v>76</v>
      </c>
      <c r="C2135" t="s">
        <v>127</v>
      </c>
      <c r="D2135" t="s">
        <v>552</v>
      </c>
      <c r="E2135" t="s">
        <v>91</v>
      </c>
      <c r="F2135" t="s">
        <v>96</v>
      </c>
      <c r="G2135">
        <v>5</v>
      </c>
      <c r="H2135">
        <v>2</v>
      </c>
      <c r="I2135">
        <v>2</v>
      </c>
      <c r="J2135">
        <v>2</v>
      </c>
      <c r="K2135" s="6">
        <v>100</v>
      </c>
      <c r="L2135" s="6">
        <v>0</v>
      </c>
      <c r="M2135" s="6">
        <v>100</v>
      </c>
      <c r="N2135">
        <v>0</v>
      </c>
      <c r="O2135" s="6">
        <v>0</v>
      </c>
      <c r="P2135">
        <v>0</v>
      </c>
      <c r="Q2135" s="8">
        <v>92.84</v>
      </c>
      <c r="R2135" s="8">
        <v>92.84</v>
      </c>
      <c r="S2135" s="9" t="s">
        <v>537</v>
      </c>
    </row>
    <row r="2136" spans="1:19" hidden="1" x14ac:dyDescent="0.25">
      <c r="A2136" t="s">
        <v>134</v>
      </c>
      <c r="B2136" t="s">
        <v>76</v>
      </c>
      <c r="C2136" t="s">
        <v>127</v>
      </c>
      <c r="D2136" t="s">
        <v>552</v>
      </c>
      <c r="E2136" t="s">
        <v>91</v>
      </c>
      <c r="F2136" t="s">
        <v>6</v>
      </c>
      <c r="G2136">
        <v>12</v>
      </c>
      <c r="H2136">
        <v>2</v>
      </c>
      <c r="I2136">
        <v>2</v>
      </c>
      <c r="J2136">
        <v>2</v>
      </c>
      <c r="K2136" s="6">
        <v>97.55</v>
      </c>
      <c r="L2136" s="6">
        <v>-2.12</v>
      </c>
      <c r="M2136" s="6">
        <v>97.55</v>
      </c>
      <c r="N2136">
        <v>0</v>
      </c>
      <c r="O2136" s="6">
        <v>0</v>
      </c>
      <c r="P2136">
        <v>0</v>
      </c>
      <c r="Q2136" s="8">
        <v>92.84</v>
      </c>
      <c r="R2136" s="8">
        <v>90.57</v>
      </c>
      <c r="S2136" s="9" t="s">
        <v>537</v>
      </c>
    </row>
    <row r="2137" spans="1:19" hidden="1" x14ac:dyDescent="0.25">
      <c r="A2137" t="s">
        <v>134</v>
      </c>
      <c r="B2137" t="s">
        <v>76</v>
      </c>
      <c r="C2137" t="s">
        <v>127</v>
      </c>
      <c r="D2137" t="s">
        <v>560</v>
      </c>
      <c r="E2137" t="s">
        <v>90</v>
      </c>
      <c r="F2137" t="s">
        <v>90</v>
      </c>
      <c r="G2137">
        <v>0</v>
      </c>
      <c r="H2137">
        <v>1</v>
      </c>
      <c r="I2137">
        <v>1</v>
      </c>
      <c r="J2137">
        <v>1</v>
      </c>
      <c r="K2137" s="6">
        <v>100</v>
      </c>
      <c r="L2137" s="6">
        <v>0</v>
      </c>
      <c r="M2137" s="6">
        <v>100</v>
      </c>
      <c r="N2137">
        <v>0</v>
      </c>
      <c r="O2137" s="6">
        <v>0</v>
      </c>
      <c r="P2137">
        <v>0</v>
      </c>
      <c r="Q2137" s="8">
        <v>153.9</v>
      </c>
      <c r="R2137" s="8">
        <v>153.9</v>
      </c>
      <c r="S2137" s="9" t="s">
        <v>540</v>
      </c>
    </row>
    <row r="2138" spans="1:19" hidden="1" x14ac:dyDescent="0.25">
      <c r="A2138" t="s">
        <v>134</v>
      </c>
      <c r="B2138" t="s">
        <v>76</v>
      </c>
      <c r="C2138" t="s">
        <v>127</v>
      </c>
      <c r="D2138" t="s">
        <v>560</v>
      </c>
      <c r="E2138" t="s">
        <v>90</v>
      </c>
      <c r="F2138" t="s">
        <v>91</v>
      </c>
      <c r="G2138">
        <v>1</v>
      </c>
      <c r="H2138">
        <v>1</v>
      </c>
      <c r="I2138">
        <v>1</v>
      </c>
      <c r="J2138">
        <v>1</v>
      </c>
      <c r="K2138" s="6">
        <v>100</v>
      </c>
      <c r="L2138" s="6">
        <v>0</v>
      </c>
      <c r="M2138" s="6">
        <v>100</v>
      </c>
      <c r="N2138">
        <v>0</v>
      </c>
      <c r="O2138" s="6">
        <v>0</v>
      </c>
      <c r="P2138">
        <v>0</v>
      </c>
      <c r="Q2138" s="8">
        <v>153.9</v>
      </c>
      <c r="R2138" s="8">
        <v>153.9</v>
      </c>
      <c r="S2138" s="9" t="s">
        <v>541</v>
      </c>
    </row>
    <row r="2139" spans="1:19" hidden="1" x14ac:dyDescent="0.25">
      <c r="A2139" t="s">
        <v>134</v>
      </c>
      <c r="B2139" t="s">
        <v>76</v>
      </c>
      <c r="C2139" t="s">
        <v>127</v>
      </c>
      <c r="D2139" t="s">
        <v>560</v>
      </c>
      <c r="E2139" t="s">
        <v>90</v>
      </c>
      <c r="F2139" t="s">
        <v>94</v>
      </c>
      <c r="G2139">
        <v>2</v>
      </c>
      <c r="H2139">
        <v>1</v>
      </c>
      <c r="I2139">
        <v>1</v>
      </c>
      <c r="J2139">
        <v>1</v>
      </c>
      <c r="K2139" s="6">
        <v>100</v>
      </c>
      <c r="L2139" s="6">
        <v>0</v>
      </c>
      <c r="M2139" s="6">
        <v>100</v>
      </c>
      <c r="N2139">
        <v>0</v>
      </c>
      <c r="O2139" s="6">
        <v>0</v>
      </c>
      <c r="P2139">
        <v>0</v>
      </c>
      <c r="Q2139" s="8">
        <v>153.9</v>
      </c>
      <c r="R2139" s="8">
        <v>153.9</v>
      </c>
      <c r="S2139" s="9" t="s">
        <v>541</v>
      </c>
    </row>
    <row r="2140" spans="1:19" hidden="1" x14ac:dyDescent="0.25">
      <c r="A2140" t="s">
        <v>134</v>
      </c>
      <c r="B2140" t="s">
        <v>76</v>
      </c>
      <c r="C2140" t="s">
        <v>127</v>
      </c>
      <c r="D2140" t="s">
        <v>560</v>
      </c>
      <c r="E2140" t="s">
        <v>90</v>
      </c>
      <c r="F2140" t="s">
        <v>96</v>
      </c>
      <c r="G2140">
        <v>6</v>
      </c>
      <c r="H2140">
        <v>1</v>
      </c>
      <c r="I2140">
        <v>1</v>
      </c>
      <c r="J2140">
        <v>1</v>
      </c>
      <c r="K2140" s="6">
        <v>100</v>
      </c>
      <c r="L2140" s="6">
        <v>0</v>
      </c>
      <c r="M2140" s="6">
        <v>100</v>
      </c>
      <c r="N2140">
        <v>0</v>
      </c>
      <c r="O2140" s="6">
        <v>0</v>
      </c>
      <c r="P2140">
        <v>0</v>
      </c>
      <c r="Q2140" s="8">
        <v>153.9</v>
      </c>
      <c r="R2140" s="8">
        <v>153.9</v>
      </c>
      <c r="S2140" s="9" t="s">
        <v>541</v>
      </c>
    </row>
    <row r="2141" spans="1:19" hidden="1" x14ac:dyDescent="0.25">
      <c r="A2141" t="s">
        <v>134</v>
      </c>
      <c r="B2141" t="s">
        <v>76</v>
      </c>
      <c r="C2141" t="s">
        <v>127</v>
      </c>
      <c r="D2141" t="s">
        <v>560</v>
      </c>
      <c r="E2141" t="s">
        <v>90</v>
      </c>
      <c r="F2141" t="s">
        <v>6</v>
      </c>
      <c r="G2141">
        <v>13</v>
      </c>
      <c r="H2141">
        <v>1</v>
      </c>
      <c r="I2141">
        <v>1</v>
      </c>
      <c r="J2141">
        <v>1</v>
      </c>
      <c r="K2141" s="6">
        <v>100</v>
      </c>
      <c r="L2141" s="6">
        <v>0</v>
      </c>
      <c r="M2141" s="6">
        <v>100</v>
      </c>
      <c r="N2141">
        <v>0</v>
      </c>
      <c r="O2141" s="6">
        <v>0</v>
      </c>
      <c r="P2141">
        <v>0</v>
      </c>
      <c r="Q2141" s="8">
        <v>153.9</v>
      </c>
      <c r="R2141" s="8">
        <v>153.9</v>
      </c>
      <c r="S2141" s="9" t="s">
        <v>541</v>
      </c>
    </row>
    <row r="2142" spans="1:19" hidden="1" x14ac:dyDescent="0.25">
      <c r="A2142" t="s">
        <v>134</v>
      </c>
      <c r="B2142" t="s">
        <v>76</v>
      </c>
      <c r="C2142" t="s">
        <v>127</v>
      </c>
      <c r="D2142" t="s">
        <v>524</v>
      </c>
      <c r="E2142" t="s">
        <v>90</v>
      </c>
      <c r="F2142" t="s">
        <v>90</v>
      </c>
      <c r="G2142">
        <v>0</v>
      </c>
      <c r="H2142">
        <v>3</v>
      </c>
      <c r="I2142">
        <v>3</v>
      </c>
      <c r="J2142">
        <v>3</v>
      </c>
      <c r="K2142" s="6">
        <v>100</v>
      </c>
      <c r="L2142" s="6">
        <v>0</v>
      </c>
      <c r="M2142" s="6">
        <v>100</v>
      </c>
      <c r="N2142">
        <v>0</v>
      </c>
      <c r="O2142" s="6">
        <v>0</v>
      </c>
      <c r="P2142">
        <v>0</v>
      </c>
      <c r="Q2142" s="8">
        <v>158.33000000000001</v>
      </c>
      <c r="R2142" s="8">
        <v>158.33000000000001</v>
      </c>
      <c r="S2142" s="9" t="s">
        <v>525</v>
      </c>
    </row>
    <row r="2143" spans="1:19" hidden="1" x14ac:dyDescent="0.25">
      <c r="A2143" t="s">
        <v>134</v>
      </c>
      <c r="B2143" t="s">
        <v>76</v>
      </c>
      <c r="C2143" t="s">
        <v>127</v>
      </c>
      <c r="D2143" t="s">
        <v>524</v>
      </c>
      <c r="E2143" t="s">
        <v>90</v>
      </c>
      <c r="F2143" t="s">
        <v>91</v>
      </c>
      <c r="G2143">
        <v>1</v>
      </c>
      <c r="H2143">
        <v>3</v>
      </c>
      <c r="I2143">
        <v>3</v>
      </c>
      <c r="J2143">
        <v>3</v>
      </c>
      <c r="K2143" s="6">
        <v>100</v>
      </c>
      <c r="L2143" s="6">
        <v>0</v>
      </c>
      <c r="M2143" s="6">
        <v>100</v>
      </c>
      <c r="N2143">
        <v>0</v>
      </c>
      <c r="O2143" s="6">
        <v>0</v>
      </c>
      <c r="P2143">
        <v>0</v>
      </c>
      <c r="Q2143" s="8">
        <v>158.33000000000001</v>
      </c>
      <c r="R2143" s="8">
        <v>158.33000000000001</v>
      </c>
      <c r="S2143" s="9" t="s">
        <v>526</v>
      </c>
    </row>
    <row r="2144" spans="1:19" hidden="1" x14ac:dyDescent="0.25">
      <c r="A2144" t="s">
        <v>134</v>
      </c>
      <c r="B2144" t="s">
        <v>76</v>
      </c>
      <c r="C2144" t="s">
        <v>127</v>
      </c>
      <c r="D2144" t="s">
        <v>524</v>
      </c>
      <c r="E2144" t="s">
        <v>90</v>
      </c>
      <c r="F2144" t="s">
        <v>94</v>
      </c>
      <c r="G2144">
        <v>2</v>
      </c>
      <c r="H2144">
        <v>3</v>
      </c>
      <c r="I2144">
        <v>3</v>
      </c>
      <c r="J2144">
        <v>3</v>
      </c>
      <c r="K2144" s="6">
        <v>99.58</v>
      </c>
      <c r="L2144" s="6">
        <v>0</v>
      </c>
      <c r="M2144" s="6">
        <v>99.58</v>
      </c>
      <c r="N2144">
        <v>0</v>
      </c>
      <c r="O2144" s="6">
        <v>0</v>
      </c>
      <c r="P2144">
        <v>0</v>
      </c>
      <c r="Q2144" s="8">
        <v>158.33000000000001</v>
      </c>
      <c r="R2144" s="8">
        <v>157.66</v>
      </c>
      <c r="S2144" s="9" t="s">
        <v>526</v>
      </c>
    </row>
    <row r="2145" spans="1:19" hidden="1" x14ac:dyDescent="0.25">
      <c r="A2145" t="s">
        <v>134</v>
      </c>
      <c r="B2145" t="s">
        <v>76</v>
      </c>
      <c r="C2145" t="s">
        <v>127</v>
      </c>
      <c r="D2145" t="s">
        <v>524</v>
      </c>
      <c r="E2145" t="s">
        <v>90</v>
      </c>
      <c r="F2145" t="s">
        <v>96</v>
      </c>
      <c r="G2145">
        <v>6</v>
      </c>
      <c r="H2145">
        <v>3</v>
      </c>
      <c r="I2145">
        <v>3</v>
      </c>
      <c r="J2145">
        <v>3</v>
      </c>
      <c r="K2145" s="6">
        <v>99.58</v>
      </c>
      <c r="L2145" s="6">
        <v>0</v>
      </c>
      <c r="M2145" s="6">
        <v>99.58</v>
      </c>
      <c r="N2145">
        <v>0</v>
      </c>
      <c r="O2145" s="6">
        <v>0</v>
      </c>
      <c r="P2145">
        <v>0</v>
      </c>
      <c r="Q2145" s="8">
        <v>158.33000000000001</v>
      </c>
      <c r="R2145" s="8">
        <v>157.66</v>
      </c>
      <c r="S2145" s="9" t="s">
        <v>526</v>
      </c>
    </row>
    <row r="2146" spans="1:19" hidden="1" x14ac:dyDescent="0.25">
      <c r="A2146" t="s">
        <v>134</v>
      </c>
      <c r="B2146" t="s">
        <v>76</v>
      </c>
      <c r="C2146" t="s">
        <v>127</v>
      </c>
      <c r="D2146" t="s">
        <v>524</v>
      </c>
      <c r="E2146" t="s">
        <v>90</v>
      </c>
      <c r="F2146" t="s">
        <v>6</v>
      </c>
      <c r="G2146">
        <v>13</v>
      </c>
      <c r="H2146">
        <v>3</v>
      </c>
      <c r="I2146">
        <v>3</v>
      </c>
      <c r="J2146">
        <v>3</v>
      </c>
      <c r="K2146" s="6">
        <v>99.58</v>
      </c>
      <c r="L2146" s="6">
        <v>0</v>
      </c>
      <c r="M2146" s="6">
        <v>99.58</v>
      </c>
      <c r="N2146">
        <v>0</v>
      </c>
      <c r="O2146" s="6">
        <v>0</v>
      </c>
      <c r="P2146">
        <v>0</v>
      </c>
      <c r="Q2146" s="8">
        <v>158.33000000000001</v>
      </c>
      <c r="R2146" s="8">
        <v>157.66</v>
      </c>
      <c r="S2146" s="9" t="s">
        <v>526</v>
      </c>
    </row>
    <row r="2147" spans="1:19" hidden="1" x14ac:dyDescent="0.25">
      <c r="A2147" t="s">
        <v>134</v>
      </c>
      <c r="B2147" t="s">
        <v>76</v>
      </c>
      <c r="C2147" t="s">
        <v>127</v>
      </c>
      <c r="D2147" t="s">
        <v>527</v>
      </c>
      <c r="E2147" t="s">
        <v>90</v>
      </c>
      <c r="F2147" t="s">
        <v>90</v>
      </c>
      <c r="G2147">
        <v>0</v>
      </c>
      <c r="H2147">
        <v>13</v>
      </c>
      <c r="I2147">
        <v>13</v>
      </c>
      <c r="J2147">
        <v>13</v>
      </c>
      <c r="K2147" s="6">
        <v>100</v>
      </c>
      <c r="L2147" s="6">
        <v>0</v>
      </c>
      <c r="M2147" s="6">
        <v>100</v>
      </c>
      <c r="N2147">
        <v>0</v>
      </c>
      <c r="O2147" s="6">
        <v>0</v>
      </c>
      <c r="P2147">
        <v>0</v>
      </c>
      <c r="Q2147" s="8">
        <v>244.85</v>
      </c>
      <c r="R2147" s="8">
        <v>244.85</v>
      </c>
      <c r="S2147" s="9" t="s">
        <v>619</v>
      </c>
    </row>
    <row r="2148" spans="1:19" hidden="1" x14ac:dyDescent="0.25">
      <c r="A2148" t="s">
        <v>134</v>
      </c>
      <c r="B2148" t="s">
        <v>76</v>
      </c>
      <c r="C2148" t="s">
        <v>127</v>
      </c>
      <c r="D2148" t="s">
        <v>527</v>
      </c>
      <c r="E2148" t="s">
        <v>90</v>
      </c>
      <c r="F2148" t="s">
        <v>91</v>
      </c>
      <c r="G2148">
        <v>1</v>
      </c>
      <c r="H2148">
        <v>13</v>
      </c>
      <c r="I2148">
        <v>12</v>
      </c>
      <c r="J2148">
        <v>12</v>
      </c>
      <c r="K2148" s="6">
        <v>100</v>
      </c>
      <c r="L2148" s="6">
        <v>0</v>
      </c>
      <c r="M2148" s="6">
        <v>99.49</v>
      </c>
      <c r="N2148">
        <v>-0.51</v>
      </c>
      <c r="O2148" s="6">
        <v>7.7</v>
      </c>
      <c r="P2148">
        <v>0</v>
      </c>
      <c r="Q2148" s="8">
        <v>243.6</v>
      </c>
      <c r="R2148" s="8">
        <v>243.6</v>
      </c>
      <c r="S2148" s="10" t="s">
        <v>587</v>
      </c>
    </row>
    <row r="2149" spans="1:19" hidden="1" x14ac:dyDescent="0.25">
      <c r="A2149" t="s">
        <v>134</v>
      </c>
      <c r="B2149" t="s">
        <v>76</v>
      </c>
      <c r="C2149" t="s">
        <v>127</v>
      </c>
      <c r="D2149" t="s">
        <v>527</v>
      </c>
      <c r="E2149" t="s">
        <v>90</v>
      </c>
      <c r="F2149" t="s">
        <v>94</v>
      </c>
      <c r="G2149">
        <v>2</v>
      </c>
      <c r="H2149">
        <v>13</v>
      </c>
      <c r="I2149">
        <v>12</v>
      </c>
      <c r="J2149">
        <v>12</v>
      </c>
      <c r="K2149" s="6">
        <v>100</v>
      </c>
      <c r="L2149" s="6">
        <v>0</v>
      </c>
      <c r="M2149" s="6">
        <v>99.49</v>
      </c>
      <c r="N2149">
        <v>-0.51</v>
      </c>
      <c r="O2149" s="6">
        <v>7.7</v>
      </c>
      <c r="P2149">
        <v>0</v>
      </c>
      <c r="Q2149" s="8">
        <v>243.6</v>
      </c>
      <c r="R2149" s="8">
        <v>243.6</v>
      </c>
      <c r="S2149" s="10" t="s">
        <v>587</v>
      </c>
    </row>
    <row r="2150" spans="1:19" hidden="1" x14ac:dyDescent="0.25">
      <c r="A2150" t="s">
        <v>134</v>
      </c>
      <c r="B2150" t="s">
        <v>76</v>
      </c>
      <c r="C2150" t="s">
        <v>127</v>
      </c>
      <c r="D2150" t="s">
        <v>527</v>
      </c>
      <c r="E2150" t="s">
        <v>90</v>
      </c>
      <c r="F2150" t="s">
        <v>96</v>
      </c>
      <c r="G2150">
        <v>6</v>
      </c>
      <c r="H2150">
        <v>13</v>
      </c>
      <c r="I2150">
        <v>13</v>
      </c>
      <c r="J2150">
        <v>12</v>
      </c>
      <c r="K2150" s="6">
        <v>100</v>
      </c>
      <c r="L2150" s="6">
        <v>0</v>
      </c>
      <c r="M2150" s="6">
        <v>97.22</v>
      </c>
      <c r="N2150">
        <v>-2.78</v>
      </c>
      <c r="O2150" s="6">
        <v>7.7</v>
      </c>
      <c r="P2150">
        <v>1</v>
      </c>
      <c r="Q2150" s="8">
        <v>243.6</v>
      </c>
      <c r="R2150" s="8">
        <v>243.6</v>
      </c>
      <c r="S2150" s="10" t="s">
        <v>587</v>
      </c>
    </row>
    <row r="2151" spans="1:19" hidden="1" x14ac:dyDescent="0.25">
      <c r="A2151" t="s">
        <v>134</v>
      </c>
      <c r="B2151" t="s">
        <v>76</v>
      </c>
      <c r="C2151" t="s">
        <v>127</v>
      </c>
      <c r="D2151" t="s">
        <v>527</v>
      </c>
      <c r="E2151" t="s">
        <v>90</v>
      </c>
      <c r="F2151" t="s">
        <v>6</v>
      </c>
      <c r="G2151">
        <v>13</v>
      </c>
      <c r="H2151">
        <v>13</v>
      </c>
      <c r="I2151">
        <v>12</v>
      </c>
      <c r="J2151">
        <v>11</v>
      </c>
      <c r="K2151" s="6">
        <v>97.02</v>
      </c>
      <c r="L2151" s="6">
        <v>0</v>
      </c>
      <c r="M2151" s="6">
        <v>95.57</v>
      </c>
      <c r="N2151">
        <v>-1.45</v>
      </c>
      <c r="O2151" s="6">
        <v>15.4</v>
      </c>
      <c r="P2151">
        <v>1</v>
      </c>
      <c r="Q2151" s="8">
        <v>247.06</v>
      </c>
      <c r="R2151" s="8">
        <v>239.69</v>
      </c>
      <c r="S2151" s="10" t="s">
        <v>529</v>
      </c>
    </row>
    <row r="2152" spans="1:19" hidden="1" x14ac:dyDescent="0.25">
      <c r="A2152" t="s">
        <v>134</v>
      </c>
      <c r="B2152" t="s">
        <v>76</v>
      </c>
      <c r="C2152" t="s">
        <v>127</v>
      </c>
      <c r="D2152" t="s">
        <v>530</v>
      </c>
      <c r="E2152" t="s">
        <v>90</v>
      </c>
      <c r="F2152" t="s">
        <v>90</v>
      </c>
      <c r="G2152">
        <v>0</v>
      </c>
      <c r="H2152">
        <v>6</v>
      </c>
      <c r="I2152">
        <v>6</v>
      </c>
      <c r="J2152">
        <v>6</v>
      </c>
      <c r="K2152" s="6">
        <v>100</v>
      </c>
      <c r="L2152" s="6">
        <v>0</v>
      </c>
      <c r="M2152" s="6">
        <v>100</v>
      </c>
      <c r="N2152">
        <v>0</v>
      </c>
      <c r="O2152" s="6">
        <v>0</v>
      </c>
      <c r="P2152">
        <v>0</v>
      </c>
      <c r="Q2152" s="8">
        <v>237.48</v>
      </c>
      <c r="R2152" s="8">
        <v>237.48</v>
      </c>
      <c r="S2152" s="9" t="s">
        <v>534</v>
      </c>
    </row>
    <row r="2153" spans="1:19" hidden="1" x14ac:dyDescent="0.25">
      <c r="A2153" t="s">
        <v>134</v>
      </c>
      <c r="B2153" t="s">
        <v>76</v>
      </c>
      <c r="C2153" t="s">
        <v>127</v>
      </c>
      <c r="D2153" t="s">
        <v>530</v>
      </c>
      <c r="E2153" t="s">
        <v>90</v>
      </c>
      <c r="F2153" t="s">
        <v>91</v>
      </c>
      <c r="G2153">
        <v>1</v>
      </c>
      <c r="H2153">
        <v>6</v>
      </c>
      <c r="I2153">
        <v>6</v>
      </c>
      <c r="J2153">
        <v>6</v>
      </c>
      <c r="K2153" s="6">
        <v>100</v>
      </c>
      <c r="L2153" s="6">
        <v>0</v>
      </c>
      <c r="M2153" s="6">
        <v>100</v>
      </c>
      <c r="N2153">
        <v>0</v>
      </c>
      <c r="O2153" s="6">
        <v>0</v>
      </c>
      <c r="P2153">
        <v>0</v>
      </c>
      <c r="Q2153" s="8">
        <v>237.48</v>
      </c>
      <c r="R2153" s="8">
        <v>237.48</v>
      </c>
      <c r="S2153" s="9" t="s">
        <v>535</v>
      </c>
    </row>
    <row r="2154" spans="1:19" hidden="1" x14ac:dyDescent="0.25">
      <c r="A2154" t="s">
        <v>134</v>
      </c>
      <c r="B2154" t="s">
        <v>76</v>
      </c>
      <c r="C2154" t="s">
        <v>127</v>
      </c>
      <c r="D2154" t="s">
        <v>530</v>
      </c>
      <c r="E2154" t="s">
        <v>90</v>
      </c>
      <c r="F2154" t="s">
        <v>94</v>
      </c>
      <c r="G2154">
        <v>2</v>
      </c>
      <c r="H2154">
        <v>6</v>
      </c>
      <c r="I2154">
        <v>6</v>
      </c>
      <c r="J2154">
        <v>6</v>
      </c>
      <c r="K2154" s="6">
        <v>100</v>
      </c>
      <c r="L2154" s="6">
        <v>0</v>
      </c>
      <c r="M2154" s="6">
        <v>100</v>
      </c>
      <c r="N2154">
        <v>0</v>
      </c>
      <c r="O2154" s="6">
        <v>0</v>
      </c>
      <c r="P2154">
        <v>0</v>
      </c>
      <c r="Q2154" s="8">
        <v>237.48</v>
      </c>
      <c r="R2154" s="8">
        <v>237.48</v>
      </c>
      <c r="S2154" s="9" t="s">
        <v>535</v>
      </c>
    </row>
    <row r="2155" spans="1:19" hidden="1" x14ac:dyDescent="0.25">
      <c r="A2155" t="s">
        <v>134</v>
      </c>
      <c r="B2155" t="s">
        <v>76</v>
      </c>
      <c r="C2155" t="s">
        <v>127</v>
      </c>
      <c r="D2155" t="s">
        <v>530</v>
      </c>
      <c r="E2155" t="s">
        <v>90</v>
      </c>
      <c r="F2155" t="s">
        <v>96</v>
      </c>
      <c r="G2155">
        <v>6</v>
      </c>
      <c r="H2155">
        <v>6</v>
      </c>
      <c r="I2155">
        <v>6</v>
      </c>
      <c r="J2155">
        <v>6</v>
      </c>
      <c r="K2155" s="6">
        <v>100</v>
      </c>
      <c r="L2155" s="6">
        <v>0</v>
      </c>
      <c r="M2155" s="6">
        <v>100</v>
      </c>
      <c r="N2155">
        <v>0</v>
      </c>
      <c r="O2155" s="6">
        <v>0</v>
      </c>
      <c r="P2155">
        <v>0</v>
      </c>
      <c r="Q2155" s="8">
        <v>237.48</v>
      </c>
      <c r="R2155" s="8">
        <v>237.48</v>
      </c>
      <c r="S2155" s="9" t="s">
        <v>535</v>
      </c>
    </row>
    <row r="2156" spans="1:19" hidden="1" x14ac:dyDescent="0.25">
      <c r="A2156" t="s">
        <v>134</v>
      </c>
      <c r="B2156" t="s">
        <v>76</v>
      </c>
      <c r="C2156" t="s">
        <v>127</v>
      </c>
      <c r="D2156" t="s">
        <v>530</v>
      </c>
      <c r="E2156" t="s">
        <v>90</v>
      </c>
      <c r="F2156" t="s">
        <v>6</v>
      </c>
      <c r="G2156">
        <v>13</v>
      </c>
      <c r="H2156">
        <v>6</v>
      </c>
      <c r="I2156">
        <v>6</v>
      </c>
      <c r="J2156">
        <v>5</v>
      </c>
      <c r="K2156" s="6">
        <v>99.28</v>
      </c>
      <c r="L2156" s="6">
        <v>0</v>
      </c>
      <c r="M2156" s="6">
        <v>103.69</v>
      </c>
      <c r="N2156">
        <v>4.41</v>
      </c>
      <c r="O2156" s="6">
        <v>16.7</v>
      </c>
      <c r="P2156">
        <v>1</v>
      </c>
      <c r="Q2156" s="8">
        <v>247.28</v>
      </c>
      <c r="R2156" s="8">
        <v>245.51</v>
      </c>
      <c r="S2156" s="9" t="s">
        <v>133</v>
      </c>
    </row>
    <row r="2157" spans="1:19" hidden="1" x14ac:dyDescent="0.25">
      <c r="A2157" t="s">
        <v>134</v>
      </c>
      <c r="B2157" t="s">
        <v>76</v>
      </c>
      <c r="C2157" t="s">
        <v>127</v>
      </c>
      <c r="D2157" t="s">
        <v>531</v>
      </c>
      <c r="E2157" t="s">
        <v>90</v>
      </c>
      <c r="F2157" t="s">
        <v>90</v>
      </c>
      <c r="G2157">
        <v>0</v>
      </c>
      <c r="H2157">
        <v>5</v>
      </c>
      <c r="I2157">
        <v>5</v>
      </c>
      <c r="J2157">
        <v>5</v>
      </c>
      <c r="K2157" s="6">
        <v>100</v>
      </c>
      <c r="L2157" s="6">
        <v>0</v>
      </c>
      <c r="M2157" s="6">
        <v>100</v>
      </c>
      <c r="N2157">
        <v>0</v>
      </c>
      <c r="O2157" s="6">
        <v>0</v>
      </c>
      <c r="P2157">
        <v>0</v>
      </c>
      <c r="Q2157" s="8">
        <v>265.70999999999998</v>
      </c>
      <c r="R2157" s="8">
        <v>265.70999999999998</v>
      </c>
      <c r="S2157" s="9" t="s">
        <v>538</v>
      </c>
    </row>
    <row r="2158" spans="1:19" hidden="1" x14ac:dyDescent="0.25">
      <c r="A2158" t="s">
        <v>134</v>
      </c>
      <c r="B2158" t="s">
        <v>76</v>
      </c>
      <c r="C2158" t="s">
        <v>127</v>
      </c>
      <c r="D2158" t="s">
        <v>531</v>
      </c>
      <c r="E2158" t="s">
        <v>90</v>
      </c>
      <c r="F2158" t="s">
        <v>91</v>
      </c>
      <c r="G2158">
        <v>1</v>
      </c>
      <c r="H2158">
        <v>5</v>
      </c>
      <c r="I2158">
        <v>5</v>
      </c>
      <c r="J2158">
        <v>5</v>
      </c>
      <c r="K2158" s="6">
        <v>100</v>
      </c>
      <c r="L2158" s="6">
        <v>0</v>
      </c>
      <c r="M2158" s="6">
        <v>100</v>
      </c>
      <c r="N2158">
        <v>0</v>
      </c>
      <c r="O2158" s="6">
        <v>0</v>
      </c>
      <c r="P2158">
        <v>0</v>
      </c>
      <c r="Q2158" s="8">
        <v>265.70999999999998</v>
      </c>
      <c r="R2158" s="8">
        <v>265.70999999999998</v>
      </c>
      <c r="S2158" s="9" t="s">
        <v>133</v>
      </c>
    </row>
    <row r="2159" spans="1:19" hidden="1" x14ac:dyDescent="0.25">
      <c r="A2159" t="s">
        <v>134</v>
      </c>
      <c r="B2159" t="s">
        <v>76</v>
      </c>
      <c r="C2159" t="s">
        <v>127</v>
      </c>
      <c r="D2159" t="s">
        <v>531</v>
      </c>
      <c r="E2159" t="s">
        <v>90</v>
      </c>
      <c r="F2159" t="s">
        <v>94</v>
      </c>
      <c r="G2159">
        <v>2</v>
      </c>
      <c r="H2159">
        <v>5</v>
      </c>
      <c r="I2159">
        <v>5</v>
      </c>
      <c r="J2159">
        <v>5</v>
      </c>
      <c r="K2159" s="6">
        <v>99.25</v>
      </c>
      <c r="L2159" s="6">
        <v>0</v>
      </c>
      <c r="M2159" s="6">
        <v>99.25</v>
      </c>
      <c r="N2159">
        <v>0</v>
      </c>
      <c r="O2159" s="6">
        <v>0</v>
      </c>
      <c r="P2159">
        <v>0</v>
      </c>
      <c r="Q2159" s="8">
        <v>265.70999999999998</v>
      </c>
      <c r="R2159" s="8">
        <v>263.70999999999998</v>
      </c>
      <c r="S2159" s="9" t="s">
        <v>133</v>
      </c>
    </row>
    <row r="2160" spans="1:19" hidden="1" x14ac:dyDescent="0.25">
      <c r="A2160" t="s">
        <v>134</v>
      </c>
      <c r="B2160" t="s">
        <v>76</v>
      </c>
      <c r="C2160" t="s">
        <v>127</v>
      </c>
      <c r="D2160" t="s">
        <v>531</v>
      </c>
      <c r="E2160" t="s">
        <v>90</v>
      </c>
      <c r="F2160" t="s">
        <v>96</v>
      </c>
      <c r="G2160">
        <v>6</v>
      </c>
      <c r="H2160">
        <v>5</v>
      </c>
      <c r="I2160">
        <v>5</v>
      </c>
      <c r="J2160">
        <v>5</v>
      </c>
      <c r="K2160" s="6">
        <v>99.25</v>
      </c>
      <c r="L2160" s="6">
        <v>0</v>
      </c>
      <c r="M2160" s="6">
        <v>99.25</v>
      </c>
      <c r="N2160">
        <v>0</v>
      </c>
      <c r="O2160" s="6">
        <v>0</v>
      </c>
      <c r="P2160">
        <v>0</v>
      </c>
      <c r="Q2160" s="8">
        <v>265.70999999999998</v>
      </c>
      <c r="R2160" s="8">
        <v>263.70999999999998</v>
      </c>
      <c r="S2160" s="9" t="s">
        <v>133</v>
      </c>
    </row>
    <row r="2161" spans="1:19" hidden="1" x14ac:dyDescent="0.25">
      <c r="A2161" t="s">
        <v>134</v>
      </c>
      <c r="B2161" t="s">
        <v>76</v>
      </c>
      <c r="C2161" t="s">
        <v>127</v>
      </c>
      <c r="D2161" t="s">
        <v>531</v>
      </c>
      <c r="E2161" t="s">
        <v>90</v>
      </c>
      <c r="F2161" t="s">
        <v>6</v>
      </c>
      <c r="G2161">
        <v>13</v>
      </c>
      <c r="H2161">
        <v>5</v>
      </c>
      <c r="I2161">
        <v>5</v>
      </c>
      <c r="J2161">
        <v>5</v>
      </c>
      <c r="K2161" s="6">
        <v>97.96</v>
      </c>
      <c r="L2161" s="6">
        <v>-2.08</v>
      </c>
      <c r="M2161" s="6">
        <v>97.96</v>
      </c>
      <c r="N2161">
        <v>0</v>
      </c>
      <c r="O2161" s="6">
        <v>0</v>
      </c>
      <c r="P2161">
        <v>0</v>
      </c>
      <c r="Q2161" s="8">
        <v>265.70999999999998</v>
      </c>
      <c r="R2161" s="8">
        <v>260.27999999999997</v>
      </c>
      <c r="S2161" s="9" t="s">
        <v>133</v>
      </c>
    </row>
    <row r="2162" spans="1:19" hidden="1" x14ac:dyDescent="0.25">
      <c r="A2162" t="s">
        <v>134</v>
      </c>
      <c r="B2162" t="s">
        <v>76</v>
      </c>
      <c r="C2162" t="s">
        <v>127</v>
      </c>
      <c r="D2162" t="s">
        <v>532</v>
      </c>
      <c r="E2162" t="s">
        <v>90</v>
      </c>
      <c r="F2162" t="s">
        <v>90</v>
      </c>
      <c r="G2162">
        <v>0</v>
      </c>
      <c r="H2162">
        <v>9</v>
      </c>
      <c r="I2162">
        <v>9</v>
      </c>
      <c r="J2162">
        <v>9</v>
      </c>
      <c r="K2162" s="6">
        <v>100</v>
      </c>
      <c r="L2162" s="6">
        <v>0</v>
      </c>
      <c r="M2162" s="6">
        <v>100</v>
      </c>
      <c r="N2162">
        <v>0</v>
      </c>
      <c r="O2162" s="6">
        <v>0</v>
      </c>
      <c r="P2162">
        <v>0</v>
      </c>
      <c r="Q2162" s="8">
        <v>230.41</v>
      </c>
      <c r="R2162" s="8">
        <v>230.41</v>
      </c>
      <c r="S2162" s="9" t="s">
        <v>546</v>
      </c>
    </row>
    <row r="2163" spans="1:19" hidden="1" x14ac:dyDescent="0.25">
      <c r="A2163" t="s">
        <v>134</v>
      </c>
      <c r="B2163" t="s">
        <v>76</v>
      </c>
      <c r="C2163" t="s">
        <v>127</v>
      </c>
      <c r="D2163" t="s">
        <v>532</v>
      </c>
      <c r="E2163" t="s">
        <v>90</v>
      </c>
      <c r="F2163" t="s">
        <v>91</v>
      </c>
      <c r="G2163">
        <v>1</v>
      </c>
      <c r="H2163">
        <v>9</v>
      </c>
      <c r="I2163">
        <v>10</v>
      </c>
      <c r="J2163">
        <v>9</v>
      </c>
      <c r="K2163" s="6">
        <v>100</v>
      </c>
      <c r="L2163" s="6">
        <v>0</v>
      </c>
      <c r="M2163" s="6">
        <v>100.04</v>
      </c>
      <c r="N2163">
        <v>0.04</v>
      </c>
      <c r="O2163" s="6">
        <v>0</v>
      </c>
      <c r="P2163">
        <v>1</v>
      </c>
      <c r="Q2163" s="8">
        <v>230.41</v>
      </c>
      <c r="R2163" s="8">
        <v>230.41</v>
      </c>
      <c r="S2163" s="9" t="s">
        <v>547</v>
      </c>
    </row>
    <row r="2164" spans="1:19" hidden="1" x14ac:dyDescent="0.25">
      <c r="A2164" t="s">
        <v>134</v>
      </c>
      <c r="B2164" t="s">
        <v>76</v>
      </c>
      <c r="C2164" t="s">
        <v>127</v>
      </c>
      <c r="D2164" t="s">
        <v>532</v>
      </c>
      <c r="E2164" t="s">
        <v>90</v>
      </c>
      <c r="F2164" t="s">
        <v>94</v>
      </c>
      <c r="G2164">
        <v>2</v>
      </c>
      <c r="H2164">
        <v>9</v>
      </c>
      <c r="I2164">
        <v>9</v>
      </c>
      <c r="J2164">
        <v>9</v>
      </c>
      <c r="K2164" s="6">
        <v>99.86</v>
      </c>
      <c r="L2164" s="6">
        <v>0</v>
      </c>
      <c r="M2164" s="6">
        <v>99.86</v>
      </c>
      <c r="N2164">
        <v>0</v>
      </c>
      <c r="O2164" s="6">
        <v>0</v>
      </c>
      <c r="P2164">
        <v>0</v>
      </c>
      <c r="Q2164" s="8">
        <v>230.41</v>
      </c>
      <c r="R2164" s="8">
        <v>230.09</v>
      </c>
      <c r="S2164" s="9" t="s">
        <v>547</v>
      </c>
    </row>
    <row r="2165" spans="1:19" hidden="1" x14ac:dyDescent="0.25">
      <c r="A2165" t="s">
        <v>134</v>
      </c>
      <c r="B2165" t="s">
        <v>76</v>
      </c>
      <c r="C2165" t="s">
        <v>127</v>
      </c>
      <c r="D2165" t="s">
        <v>532</v>
      </c>
      <c r="E2165" t="s">
        <v>90</v>
      </c>
      <c r="F2165" t="s">
        <v>96</v>
      </c>
      <c r="G2165">
        <v>6</v>
      </c>
      <c r="H2165">
        <v>9</v>
      </c>
      <c r="I2165">
        <v>9</v>
      </c>
      <c r="J2165">
        <v>9</v>
      </c>
      <c r="K2165" s="6">
        <v>99.86</v>
      </c>
      <c r="L2165" s="6">
        <v>0</v>
      </c>
      <c r="M2165" s="6">
        <v>99.86</v>
      </c>
      <c r="N2165">
        <v>0</v>
      </c>
      <c r="O2165" s="6">
        <v>0</v>
      </c>
      <c r="P2165">
        <v>0</v>
      </c>
      <c r="Q2165" s="8">
        <v>230.41</v>
      </c>
      <c r="R2165" s="8">
        <v>230.09</v>
      </c>
      <c r="S2165" s="9" t="s">
        <v>547</v>
      </c>
    </row>
    <row r="2166" spans="1:19" hidden="1" x14ac:dyDescent="0.25">
      <c r="A2166" t="s">
        <v>134</v>
      </c>
      <c r="B2166" t="s">
        <v>76</v>
      </c>
      <c r="C2166" t="s">
        <v>127</v>
      </c>
      <c r="D2166" t="s">
        <v>532</v>
      </c>
      <c r="E2166" t="s">
        <v>90</v>
      </c>
      <c r="F2166" t="s">
        <v>6</v>
      </c>
      <c r="G2166">
        <v>13</v>
      </c>
      <c r="H2166">
        <v>9</v>
      </c>
      <c r="I2166">
        <v>8</v>
      </c>
      <c r="J2166">
        <v>8</v>
      </c>
      <c r="K2166" s="6">
        <v>98.39</v>
      </c>
      <c r="L2166" s="6">
        <v>-1.19</v>
      </c>
      <c r="M2166" s="6">
        <v>100.33</v>
      </c>
      <c r="N2166">
        <v>1.94</v>
      </c>
      <c r="O2166" s="6">
        <v>11.1</v>
      </c>
      <c r="P2166">
        <v>0</v>
      </c>
      <c r="Q2166" s="8">
        <v>234.94</v>
      </c>
      <c r="R2166" s="8">
        <v>231.16</v>
      </c>
      <c r="S2166" s="9" t="s">
        <v>544</v>
      </c>
    </row>
    <row r="2167" spans="1:19" hidden="1" x14ac:dyDescent="0.25">
      <c r="A2167" t="s">
        <v>134</v>
      </c>
      <c r="B2167" t="s">
        <v>76</v>
      </c>
      <c r="C2167" t="s">
        <v>127</v>
      </c>
      <c r="D2167" t="s">
        <v>533</v>
      </c>
      <c r="E2167" t="s">
        <v>94</v>
      </c>
      <c r="F2167" t="s">
        <v>94</v>
      </c>
      <c r="G2167">
        <v>0</v>
      </c>
      <c r="H2167">
        <v>5</v>
      </c>
      <c r="I2167">
        <v>5</v>
      </c>
      <c r="J2167">
        <v>5</v>
      </c>
      <c r="K2167" s="6">
        <v>100</v>
      </c>
      <c r="L2167" s="6">
        <v>0</v>
      </c>
      <c r="M2167" s="6">
        <v>100</v>
      </c>
      <c r="N2167">
        <v>0</v>
      </c>
      <c r="O2167" s="6">
        <v>0</v>
      </c>
      <c r="P2167">
        <v>0</v>
      </c>
      <c r="Q2167" s="8">
        <v>290.19</v>
      </c>
      <c r="R2167" s="8">
        <v>290.19</v>
      </c>
      <c r="S2167" s="9" t="s">
        <v>538</v>
      </c>
    </row>
    <row r="2168" spans="1:19" hidden="1" x14ac:dyDescent="0.25">
      <c r="A2168" t="s">
        <v>134</v>
      </c>
      <c r="B2168" t="s">
        <v>76</v>
      </c>
      <c r="C2168" t="s">
        <v>127</v>
      </c>
      <c r="D2168" t="s">
        <v>533</v>
      </c>
      <c r="E2168" t="s">
        <v>94</v>
      </c>
      <c r="F2168" t="s">
        <v>96</v>
      </c>
      <c r="G2168">
        <v>4</v>
      </c>
      <c r="H2168">
        <v>5</v>
      </c>
      <c r="I2168">
        <v>6</v>
      </c>
      <c r="J2168">
        <v>5</v>
      </c>
      <c r="K2168" s="6">
        <v>100</v>
      </c>
      <c r="L2168" s="6">
        <v>0</v>
      </c>
      <c r="M2168" s="6">
        <v>97.93</v>
      </c>
      <c r="N2168">
        <v>-2.0699999999999998</v>
      </c>
      <c r="O2168" s="6">
        <v>0</v>
      </c>
      <c r="P2168">
        <v>1</v>
      </c>
      <c r="Q2168" s="8">
        <v>290.19</v>
      </c>
      <c r="R2168" s="8">
        <v>290.19</v>
      </c>
      <c r="S2168" s="9" t="s">
        <v>133</v>
      </c>
    </row>
    <row r="2169" spans="1:19" hidden="1" x14ac:dyDescent="0.25">
      <c r="A2169" t="s">
        <v>134</v>
      </c>
      <c r="B2169" t="s">
        <v>76</v>
      </c>
      <c r="C2169" t="s">
        <v>127</v>
      </c>
      <c r="D2169" t="s">
        <v>533</v>
      </c>
      <c r="E2169" t="s">
        <v>94</v>
      </c>
      <c r="F2169" t="s">
        <v>6</v>
      </c>
      <c r="G2169">
        <v>11</v>
      </c>
      <c r="H2169">
        <v>5</v>
      </c>
      <c r="I2169">
        <v>5</v>
      </c>
      <c r="J2169">
        <v>4</v>
      </c>
      <c r="K2169" s="6">
        <v>99.78</v>
      </c>
      <c r="L2169" s="6">
        <v>0</v>
      </c>
      <c r="M2169" s="6">
        <v>102.18</v>
      </c>
      <c r="N2169">
        <v>2.4</v>
      </c>
      <c r="O2169" s="6">
        <v>20</v>
      </c>
      <c r="P2169">
        <v>1</v>
      </c>
      <c r="Q2169" s="8">
        <v>306.35000000000002</v>
      </c>
      <c r="R2169" s="8">
        <v>305.66000000000003</v>
      </c>
      <c r="S2169" s="9" t="s">
        <v>548</v>
      </c>
    </row>
    <row r="2170" spans="1:19" hidden="1" x14ac:dyDescent="0.25">
      <c r="A2170" t="s">
        <v>134</v>
      </c>
      <c r="B2170" t="s">
        <v>76</v>
      </c>
      <c r="C2170" t="s">
        <v>127</v>
      </c>
      <c r="D2170" t="s">
        <v>545</v>
      </c>
      <c r="E2170" t="s">
        <v>94</v>
      </c>
      <c r="F2170" t="s">
        <v>94</v>
      </c>
      <c r="G2170">
        <v>0</v>
      </c>
      <c r="H2170">
        <v>6</v>
      </c>
      <c r="I2170">
        <v>6</v>
      </c>
      <c r="J2170">
        <v>6</v>
      </c>
      <c r="K2170" s="6">
        <v>100</v>
      </c>
      <c r="L2170" s="6">
        <v>0</v>
      </c>
      <c r="M2170" s="6">
        <v>100</v>
      </c>
      <c r="N2170">
        <v>0</v>
      </c>
      <c r="O2170" s="6">
        <v>0</v>
      </c>
      <c r="P2170">
        <v>0</v>
      </c>
      <c r="Q2170" s="8">
        <v>236.16</v>
      </c>
      <c r="R2170" s="8">
        <v>236.16</v>
      </c>
      <c r="S2170" s="9" t="s">
        <v>534</v>
      </c>
    </row>
    <row r="2171" spans="1:19" hidden="1" x14ac:dyDescent="0.25">
      <c r="A2171" t="s">
        <v>134</v>
      </c>
      <c r="B2171" t="s">
        <v>76</v>
      </c>
      <c r="C2171" t="s">
        <v>127</v>
      </c>
      <c r="D2171" t="s">
        <v>545</v>
      </c>
      <c r="E2171" t="s">
        <v>94</v>
      </c>
      <c r="F2171" t="s">
        <v>96</v>
      </c>
      <c r="G2171">
        <v>4</v>
      </c>
      <c r="H2171">
        <v>6</v>
      </c>
      <c r="I2171">
        <v>6</v>
      </c>
      <c r="J2171">
        <v>6</v>
      </c>
      <c r="K2171" s="6">
        <v>100</v>
      </c>
      <c r="L2171" s="6">
        <v>0</v>
      </c>
      <c r="M2171" s="6">
        <v>100</v>
      </c>
      <c r="N2171">
        <v>0</v>
      </c>
      <c r="O2171" s="6">
        <v>0</v>
      </c>
      <c r="P2171">
        <v>0</v>
      </c>
      <c r="Q2171" s="8">
        <v>236.16</v>
      </c>
      <c r="R2171" s="8">
        <v>236.16</v>
      </c>
      <c r="S2171" s="9" t="s">
        <v>535</v>
      </c>
    </row>
    <row r="2172" spans="1:19" hidden="1" x14ac:dyDescent="0.25">
      <c r="A2172" t="s">
        <v>134</v>
      </c>
      <c r="B2172" t="s">
        <v>76</v>
      </c>
      <c r="C2172" t="s">
        <v>127</v>
      </c>
      <c r="D2172" t="s">
        <v>545</v>
      </c>
      <c r="E2172" t="s">
        <v>94</v>
      </c>
      <c r="F2172" t="s">
        <v>6</v>
      </c>
      <c r="G2172">
        <v>11</v>
      </c>
      <c r="H2172">
        <v>6</v>
      </c>
      <c r="I2172">
        <v>6</v>
      </c>
      <c r="J2172">
        <v>6</v>
      </c>
      <c r="K2172" s="6">
        <v>100</v>
      </c>
      <c r="L2172" s="6">
        <v>0</v>
      </c>
      <c r="M2172" s="6">
        <v>100</v>
      </c>
      <c r="N2172">
        <v>0</v>
      </c>
      <c r="O2172" s="6">
        <v>0</v>
      </c>
      <c r="P2172">
        <v>0</v>
      </c>
      <c r="Q2172" s="8">
        <v>236.16</v>
      </c>
      <c r="R2172" s="8">
        <v>236.16</v>
      </c>
      <c r="S2172" s="9" t="s">
        <v>535</v>
      </c>
    </row>
    <row r="2173" spans="1:19" hidden="1" x14ac:dyDescent="0.25">
      <c r="A2173" t="s">
        <v>134</v>
      </c>
      <c r="B2173" t="s">
        <v>76</v>
      </c>
      <c r="C2173" t="s">
        <v>127</v>
      </c>
      <c r="D2173" t="s">
        <v>570</v>
      </c>
      <c r="E2173" t="s">
        <v>94</v>
      </c>
      <c r="F2173" t="s">
        <v>94</v>
      </c>
      <c r="G2173">
        <v>0</v>
      </c>
      <c r="H2173">
        <v>2</v>
      </c>
      <c r="I2173">
        <v>2</v>
      </c>
      <c r="J2173">
        <v>2</v>
      </c>
      <c r="K2173" s="6">
        <v>100</v>
      </c>
      <c r="L2173" s="6">
        <v>0</v>
      </c>
      <c r="M2173" s="6">
        <v>100</v>
      </c>
      <c r="N2173">
        <v>0</v>
      </c>
      <c r="O2173" s="6">
        <v>0</v>
      </c>
      <c r="P2173">
        <v>0</v>
      </c>
      <c r="Q2173" s="8">
        <v>162.94999999999999</v>
      </c>
      <c r="R2173" s="8">
        <v>162.94999999999999</v>
      </c>
      <c r="S2173" s="9" t="s">
        <v>536</v>
      </c>
    </row>
    <row r="2174" spans="1:19" hidden="1" x14ac:dyDescent="0.25">
      <c r="A2174" t="s">
        <v>134</v>
      </c>
      <c r="B2174" t="s">
        <v>76</v>
      </c>
      <c r="C2174" t="s">
        <v>127</v>
      </c>
      <c r="D2174" t="s">
        <v>570</v>
      </c>
      <c r="E2174" t="s">
        <v>94</v>
      </c>
      <c r="F2174" t="s">
        <v>96</v>
      </c>
      <c r="G2174">
        <v>4</v>
      </c>
      <c r="H2174">
        <v>2</v>
      </c>
      <c r="I2174">
        <v>2</v>
      </c>
      <c r="J2174">
        <v>2</v>
      </c>
      <c r="K2174" s="6">
        <v>100</v>
      </c>
      <c r="L2174" s="6">
        <v>0</v>
      </c>
      <c r="M2174" s="6">
        <v>100</v>
      </c>
      <c r="N2174">
        <v>0</v>
      </c>
      <c r="O2174" s="6">
        <v>0</v>
      </c>
      <c r="P2174">
        <v>0</v>
      </c>
      <c r="Q2174" s="8">
        <v>162.94999999999999</v>
      </c>
      <c r="R2174" s="8">
        <v>162.94999999999999</v>
      </c>
      <c r="S2174" s="9" t="s">
        <v>537</v>
      </c>
    </row>
    <row r="2175" spans="1:19" hidden="1" x14ac:dyDescent="0.25">
      <c r="A2175" t="s">
        <v>134</v>
      </c>
      <c r="B2175" t="s">
        <v>76</v>
      </c>
      <c r="C2175" t="s">
        <v>127</v>
      </c>
      <c r="D2175" t="s">
        <v>570</v>
      </c>
      <c r="E2175" t="s">
        <v>94</v>
      </c>
      <c r="F2175" t="s">
        <v>6</v>
      </c>
      <c r="G2175">
        <v>11</v>
      </c>
      <c r="H2175">
        <v>2</v>
      </c>
      <c r="I2175">
        <v>2</v>
      </c>
      <c r="J2175">
        <v>2</v>
      </c>
      <c r="K2175" s="6">
        <v>100</v>
      </c>
      <c r="L2175" s="6">
        <v>0</v>
      </c>
      <c r="M2175" s="6">
        <v>100</v>
      </c>
      <c r="N2175">
        <v>0</v>
      </c>
      <c r="O2175" s="6">
        <v>0</v>
      </c>
      <c r="P2175">
        <v>0</v>
      </c>
      <c r="Q2175" s="8">
        <v>162.94999999999999</v>
      </c>
      <c r="R2175" s="8">
        <v>162.94999999999999</v>
      </c>
      <c r="S2175" s="9" t="s">
        <v>537</v>
      </c>
    </row>
    <row r="2176" spans="1:19" hidden="1" x14ac:dyDescent="0.25">
      <c r="A2176" t="s">
        <v>134</v>
      </c>
      <c r="B2176" t="s">
        <v>76</v>
      </c>
      <c r="C2176" t="s">
        <v>127</v>
      </c>
      <c r="D2176" t="s">
        <v>578</v>
      </c>
      <c r="E2176" t="s">
        <v>94</v>
      </c>
      <c r="F2176" t="s">
        <v>94</v>
      </c>
      <c r="G2176">
        <v>0</v>
      </c>
      <c r="H2176">
        <v>1</v>
      </c>
      <c r="I2176">
        <v>1</v>
      </c>
      <c r="J2176">
        <v>1</v>
      </c>
      <c r="K2176" s="6">
        <v>100</v>
      </c>
      <c r="L2176" s="6">
        <v>0</v>
      </c>
      <c r="M2176" s="6">
        <v>100</v>
      </c>
      <c r="N2176">
        <v>0</v>
      </c>
      <c r="O2176" s="6">
        <v>0</v>
      </c>
      <c r="P2176">
        <v>0</v>
      </c>
      <c r="Q2176" s="8">
        <v>164.45</v>
      </c>
      <c r="R2176" s="8">
        <v>164.45</v>
      </c>
      <c r="S2176" s="9" t="s">
        <v>540</v>
      </c>
    </row>
    <row r="2177" spans="1:19" hidden="1" x14ac:dyDescent="0.25">
      <c r="A2177" t="s">
        <v>134</v>
      </c>
      <c r="B2177" t="s">
        <v>76</v>
      </c>
      <c r="C2177" t="s">
        <v>127</v>
      </c>
      <c r="D2177" t="s">
        <v>578</v>
      </c>
      <c r="E2177" t="s">
        <v>94</v>
      </c>
      <c r="F2177" t="s">
        <v>96</v>
      </c>
      <c r="G2177">
        <v>4</v>
      </c>
      <c r="H2177">
        <v>1</v>
      </c>
      <c r="I2177">
        <v>1</v>
      </c>
      <c r="J2177">
        <v>1</v>
      </c>
      <c r="K2177" s="6">
        <v>100</v>
      </c>
      <c r="L2177" s="6">
        <v>0</v>
      </c>
      <c r="M2177" s="6">
        <v>100</v>
      </c>
      <c r="N2177">
        <v>0</v>
      </c>
      <c r="O2177" s="6">
        <v>0</v>
      </c>
      <c r="P2177">
        <v>0</v>
      </c>
      <c r="Q2177" s="8">
        <v>164.45</v>
      </c>
      <c r="R2177" s="8">
        <v>164.45</v>
      </c>
      <c r="S2177" s="9" t="s">
        <v>541</v>
      </c>
    </row>
    <row r="2178" spans="1:19" hidden="1" x14ac:dyDescent="0.25">
      <c r="A2178" t="s">
        <v>134</v>
      </c>
      <c r="B2178" t="s">
        <v>76</v>
      </c>
      <c r="C2178" t="s">
        <v>127</v>
      </c>
      <c r="D2178" t="s">
        <v>578</v>
      </c>
      <c r="E2178" t="s">
        <v>94</v>
      </c>
      <c r="F2178" t="s">
        <v>6</v>
      </c>
      <c r="G2178">
        <v>11</v>
      </c>
      <c r="H2178">
        <v>1</v>
      </c>
      <c r="I2178">
        <v>1</v>
      </c>
      <c r="J2178">
        <v>1</v>
      </c>
      <c r="K2178" s="6">
        <v>100</v>
      </c>
      <c r="L2178" s="6">
        <v>0</v>
      </c>
      <c r="M2178" s="6">
        <v>100</v>
      </c>
      <c r="N2178">
        <v>0</v>
      </c>
      <c r="O2178" s="6">
        <v>0</v>
      </c>
      <c r="P2178">
        <v>0</v>
      </c>
      <c r="Q2178" s="8">
        <v>164.45</v>
      </c>
      <c r="R2178" s="8">
        <v>164.45</v>
      </c>
      <c r="S2178" s="9" t="s">
        <v>541</v>
      </c>
    </row>
    <row r="2179" spans="1:19" hidden="1" x14ac:dyDescent="0.25">
      <c r="A2179" t="s">
        <v>134</v>
      </c>
      <c r="B2179" t="s">
        <v>76</v>
      </c>
      <c r="C2179" t="s">
        <v>127</v>
      </c>
      <c r="D2179" t="s">
        <v>580</v>
      </c>
      <c r="E2179" t="s">
        <v>94</v>
      </c>
      <c r="F2179" t="s">
        <v>94</v>
      </c>
      <c r="G2179">
        <v>0</v>
      </c>
      <c r="H2179">
        <v>6</v>
      </c>
      <c r="I2179">
        <v>6</v>
      </c>
      <c r="J2179">
        <v>6</v>
      </c>
      <c r="K2179" s="6">
        <v>100</v>
      </c>
      <c r="L2179" s="6">
        <v>0</v>
      </c>
      <c r="M2179" s="6">
        <v>100</v>
      </c>
      <c r="N2179">
        <v>0</v>
      </c>
      <c r="O2179" s="6">
        <v>0</v>
      </c>
      <c r="P2179">
        <v>0</v>
      </c>
      <c r="Q2179" s="8">
        <v>229.37</v>
      </c>
      <c r="R2179" s="8">
        <v>229.37</v>
      </c>
      <c r="S2179" s="9" t="s">
        <v>534</v>
      </c>
    </row>
    <row r="2180" spans="1:19" hidden="1" x14ac:dyDescent="0.25">
      <c r="A2180" t="s">
        <v>134</v>
      </c>
      <c r="B2180" t="s">
        <v>76</v>
      </c>
      <c r="C2180" t="s">
        <v>127</v>
      </c>
      <c r="D2180" t="s">
        <v>580</v>
      </c>
      <c r="E2180" t="s">
        <v>94</v>
      </c>
      <c r="F2180" t="s">
        <v>96</v>
      </c>
      <c r="G2180">
        <v>4</v>
      </c>
      <c r="H2180">
        <v>6</v>
      </c>
      <c r="I2180">
        <v>6</v>
      </c>
      <c r="J2180">
        <v>6</v>
      </c>
      <c r="K2180" s="6">
        <v>100</v>
      </c>
      <c r="L2180" s="6">
        <v>0</v>
      </c>
      <c r="M2180" s="6">
        <v>100</v>
      </c>
      <c r="N2180">
        <v>0</v>
      </c>
      <c r="O2180" s="6">
        <v>0</v>
      </c>
      <c r="P2180">
        <v>0</v>
      </c>
      <c r="Q2180" s="8">
        <v>229.37</v>
      </c>
      <c r="R2180" s="8">
        <v>229.37</v>
      </c>
      <c r="S2180" s="9" t="s">
        <v>535</v>
      </c>
    </row>
    <row r="2181" spans="1:19" hidden="1" x14ac:dyDescent="0.25">
      <c r="A2181" t="s">
        <v>134</v>
      </c>
      <c r="B2181" t="s">
        <v>76</v>
      </c>
      <c r="C2181" t="s">
        <v>127</v>
      </c>
      <c r="D2181" t="s">
        <v>580</v>
      </c>
      <c r="E2181" t="s">
        <v>94</v>
      </c>
      <c r="F2181" t="s">
        <v>6</v>
      </c>
      <c r="G2181">
        <v>11</v>
      </c>
      <c r="H2181">
        <v>6</v>
      </c>
      <c r="I2181">
        <v>6</v>
      </c>
      <c r="J2181">
        <v>6</v>
      </c>
      <c r="K2181" s="6">
        <v>100</v>
      </c>
      <c r="L2181" s="6">
        <v>0</v>
      </c>
      <c r="M2181" s="6">
        <v>100</v>
      </c>
      <c r="N2181">
        <v>0</v>
      </c>
      <c r="O2181" s="6">
        <v>0</v>
      </c>
      <c r="P2181">
        <v>0</v>
      </c>
      <c r="Q2181" s="8">
        <v>229.37</v>
      </c>
      <c r="R2181" s="8">
        <v>229.37</v>
      </c>
      <c r="S2181" s="9" t="s">
        <v>535</v>
      </c>
    </row>
    <row r="2182" spans="1:19" hidden="1" x14ac:dyDescent="0.25">
      <c r="A2182" t="s">
        <v>134</v>
      </c>
      <c r="B2182" t="s">
        <v>76</v>
      </c>
      <c r="C2182" t="s">
        <v>127</v>
      </c>
      <c r="D2182" t="s">
        <v>582</v>
      </c>
      <c r="E2182" t="s">
        <v>94</v>
      </c>
      <c r="F2182" t="s">
        <v>94</v>
      </c>
      <c r="G2182">
        <v>0</v>
      </c>
      <c r="H2182">
        <v>13</v>
      </c>
      <c r="I2182">
        <v>13</v>
      </c>
      <c r="J2182">
        <v>13</v>
      </c>
      <c r="K2182" s="6">
        <v>100</v>
      </c>
      <c r="L2182" s="6">
        <v>0</v>
      </c>
      <c r="M2182" s="6">
        <v>100</v>
      </c>
      <c r="N2182">
        <v>0</v>
      </c>
      <c r="O2182" s="6">
        <v>0</v>
      </c>
      <c r="P2182">
        <v>0</v>
      </c>
      <c r="Q2182" s="8">
        <v>238.88</v>
      </c>
      <c r="R2182" s="8">
        <v>238.88</v>
      </c>
      <c r="S2182" s="9" t="s">
        <v>619</v>
      </c>
    </row>
    <row r="2183" spans="1:19" hidden="1" x14ac:dyDescent="0.25">
      <c r="A2183" t="s">
        <v>134</v>
      </c>
      <c r="B2183" t="s">
        <v>76</v>
      </c>
      <c r="C2183" t="s">
        <v>127</v>
      </c>
      <c r="D2183" t="s">
        <v>582</v>
      </c>
      <c r="E2183" t="s">
        <v>94</v>
      </c>
      <c r="F2183" t="s">
        <v>96</v>
      </c>
      <c r="G2183">
        <v>4</v>
      </c>
      <c r="H2183">
        <v>13</v>
      </c>
      <c r="I2183">
        <v>13</v>
      </c>
      <c r="J2183">
        <v>13</v>
      </c>
      <c r="K2183" s="6">
        <v>100</v>
      </c>
      <c r="L2183" s="6">
        <v>0</v>
      </c>
      <c r="M2183" s="6">
        <v>100</v>
      </c>
      <c r="N2183">
        <v>0</v>
      </c>
      <c r="O2183" s="6">
        <v>0</v>
      </c>
      <c r="P2183">
        <v>0</v>
      </c>
      <c r="Q2183" s="8">
        <v>238.88</v>
      </c>
      <c r="R2183" s="8">
        <v>238.88</v>
      </c>
      <c r="S2183" s="10" t="s">
        <v>612</v>
      </c>
    </row>
    <row r="2184" spans="1:19" hidden="1" x14ac:dyDescent="0.25">
      <c r="A2184" t="s">
        <v>134</v>
      </c>
      <c r="B2184" t="s">
        <v>76</v>
      </c>
      <c r="C2184" t="s">
        <v>127</v>
      </c>
      <c r="D2184" t="s">
        <v>582</v>
      </c>
      <c r="E2184" t="s">
        <v>94</v>
      </c>
      <c r="F2184" t="s">
        <v>6</v>
      </c>
      <c r="G2184">
        <v>11</v>
      </c>
      <c r="H2184">
        <v>13</v>
      </c>
      <c r="I2184">
        <v>13</v>
      </c>
      <c r="J2184">
        <v>13</v>
      </c>
      <c r="K2184" s="6">
        <v>100</v>
      </c>
      <c r="L2184" s="6">
        <v>0</v>
      </c>
      <c r="M2184" s="6">
        <v>100</v>
      </c>
      <c r="N2184">
        <v>0</v>
      </c>
      <c r="O2184" s="6">
        <v>0</v>
      </c>
      <c r="P2184">
        <v>0</v>
      </c>
      <c r="Q2184" s="8">
        <v>238.88</v>
      </c>
      <c r="R2184" s="8">
        <v>238.88</v>
      </c>
      <c r="S2184" s="10" t="s">
        <v>612</v>
      </c>
    </row>
    <row r="2185" spans="1:19" hidden="1" x14ac:dyDescent="0.25">
      <c r="A2185" t="s">
        <v>134</v>
      </c>
      <c r="B2185" t="s">
        <v>76</v>
      </c>
      <c r="C2185" t="s">
        <v>127</v>
      </c>
      <c r="D2185" t="s">
        <v>583</v>
      </c>
      <c r="E2185" t="s">
        <v>94</v>
      </c>
      <c r="F2185" t="s">
        <v>94</v>
      </c>
      <c r="G2185">
        <v>0</v>
      </c>
      <c r="H2185">
        <v>13</v>
      </c>
      <c r="I2185">
        <v>13</v>
      </c>
      <c r="J2185">
        <v>13</v>
      </c>
      <c r="K2185" s="6">
        <v>100</v>
      </c>
      <c r="L2185" s="6">
        <v>0</v>
      </c>
      <c r="M2185" s="6">
        <v>100</v>
      </c>
      <c r="N2185">
        <v>0</v>
      </c>
      <c r="O2185" s="6">
        <v>0</v>
      </c>
      <c r="P2185">
        <v>0</v>
      </c>
      <c r="Q2185" s="8">
        <v>267.88</v>
      </c>
      <c r="R2185" s="8">
        <v>267.88</v>
      </c>
      <c r="S2185" s="9" t="s">
        <v>619</v>
      </c>
    </row>
    <row r="2186" spans="1:19" hidden="1" x14ac:dyDescent="0.25">
      <c r="A2186" t="s">
        <v>134</v>
      </c>
      <c r="B2186" t="s">
        <v>76</v>
      </c>
      <c r="C2186" t="s">
        <v>127</v>
      </c>
      <c r="D2186" t="s">
        <v>583</v>
      </c>
      <c r="E2186" t="s">
        <v>94</v>
      </c>
      <c r="F2186" t="s">
        <v>96</v>
      </c>
      <c r="G2186">
        <v>4</v>
      </c>
      <c r="H2186">
        <v>13</v>
      </c>
      <c r="I2186">
        <v>13</v>
      </c>
      <c r="J2186">
        <v>13</v>
      </c>
      <c r="K2186" s="6">
        <v>100</v>
      </c>
      <c r="L2186" s="6">
        <v>0</v>
      </c>
      <c r="M2186" s="6">
        <v>100</v>
      </c>
      <c r="N2186">
        <v>0</v>
      </c>
      <c r="O2186" s="6">
        <v>0</v>
      </c>
      <c r="P2186">
        <v>0</v>
      </c>
      <c r="Q2186" s="8">
        <v>267.88</v>
      </c>
      <c r="R2186" s="8">
        <v>267.88</v>
      </c>
      <c r="S2186" s="10" t="s">
        <v>612</v>
      </c>
    </row>
    <row r="2187" spans="1:19" hidden="1" x14ac:dyDescent="0.25">
      <c r="A2187" t="s">
        <v>134</v>
      </c>
      <c r="B2187" t="s">
        <v>76</v>
      </c>
      <c r="C2187" t="s">
        <v>127</v>
      </c>
      <c r="D2187" t="s">
        <v>583</v>
      </c>
      <c r="E2187" t="s">
        <v>94</v>
      </c>
      <c r="F2187" t="s">
        <v>6</v>
      </c>
      <c r="G2187">
        <v>11</v>
      </c>
      <c r="H2187">
        <v>13</v>
      </c>
      <c r="I2187">
        <v>13</v>
      </c>
      <c r="J2187">
        <v>13</v>
      </c>
      <c r="K2187" s="6">
        <v>100</v>
      </c>
      <c r="L2187" s="6">
        <v>0</v>
      </c>
      <c r="M2187" s="6">
        <v>100</v>
      </c>
      <c r="N2187">
        <v>0</v>
      </c>
      <c r="O2187" s="6">
        <v>0</v>
      </c>
      <c r="P2187">
        <v>0</v>
      </c>
      <c r="Q2187" s="8">
        <v>267.88</v>
      </c>
      <c r="R2187" s="8">
        <v>267.88</v>
      </c>
      <c r="S2187" s="10" t="s">
        <v>612</v>
      </c>
    </row>
    <row r="2188" spans="1:19" hidden="1" x14ac:dyDescent="0.25">
      <c r="A2188" t="s">
        <v>134</v>
      </c>
      <c r="B2188" t="s">
        <v>76</v>
      </c>
      <c r="C2188" t="s">
        <v>127</v>
      </c>
      <c r="D2188" t="s">
        <v>585</v>
      </c>
      <c r="E2188" t="s">
        <v>94</v>
      </c>
      <c r="F2188" t="s">
        <v>94</v>
      </c>
      <c r="G2188">
        <v>0</v>
      </c>
      <c r="H2188">
        <v>14</v>
      </c>
      <c r="I2188">
        <v>14</v>
      </c>
      <c r="J2188">
        <v>14</v>
      </c>
      <c r="K2188" s="6">
        <v>100</v>
      </c>
      <c r="L2188" s="6">
        <v>0</v>
      </c>
      <c r="M2188" s="6">
        <v>100</v>
      </c>
      <c r="N2188">
        <v>0</v>
      </c>
      <c r="O2188" s="6">
        <v>0</v>
      </c>
      <c r="P2188">
        <v>0</v>
      </c>
      <c r="Q2188" s="8">
        <v>256.51</v>
      </c>
      <c r="R2188" s="8">
        <v>256.51</v>
      </c>
      <c r="S2188" s="9" t="s">
        <v>617</v>
      </c>
    </row>
    <row r="2189" spans="1:19" hidden="1" x14ac:dyDescent="0.25">
      <c r="A2189" t="s">
        <v>134</v>
      </c>
      <c r="B2189" t="s">
        <v>76</v>
      </c>
      <c r="C2189" t="s">
        <v>127</v>
      </c>
      <c r="D2189" t="s">
        <v>585</v>
      </c>
      <c r="E2189" t="s">
        <v>94</v>
      </c>
      <c r="F2189" t="s">
        <v>96</v>
      </c>
      <c r="G2189">
        <v>4</v>
      </c>
      <c r="H2189">
        <v>14</v>
      </c>
      <c r="I2189">
        <v>14</v>
      </c>
      <c r="J2189">
        <v>14</v>
      </c>
      <c r="K2189" s="6">
        <v>100</v>
      </c>
      <c r="L2189" s="6">
        <v>0</v>
      </c>
      <c r="M2189" s="6">
        <v>100</v>
      </c>
      <c r="N2189">
        <v>0</v>
      </c>
      <c r="O2189" s="6">
        <v>0</v>
      </c>
      <c r="P2189">
        <v>0</v>
      </c>
      <c r="Q2189" s="8">
        <v>256.51</v>
      </c>
      <c r="R2189" s="8">
        <v>256.51</v>
      </c>
      <c r="S2189" s="10" t="s">
        <v>607</v>
      </c>
    </row>
    <row r="2190" spans="1:19" hidden="1" x14ac:dyDescent="0.25">
      <c r="A2190" t="s">
        <v>134</v>
      </c>
      <c r="B2190" t="s">
        <v>76</v>
      </c>
      <c r="C2190" t="s">
        <v>127</v>
      </c>
      <c r="D2190" t="s">
        <v>585</v>
      </c>
      <c r="E2190" t="s">
        <v>94</v>
      </c>
      <c r="F2190" t="s">
        <v>6</v>
      </c>
      <c r="G2190">
        <v>11</v>
      </c>
      <c r="H2190">
        <v>14</v>
      </c>
      <c r="I2190">
        <v>14</v>
      </c>
      <c r="J2190">
        <v>14</v>
      </c>
      <c r="K2190" s="6">
        <v>100</v>
      </c>
      <c r="L2190" s="6">
        <v>0</v>
      </c>
      <c r="M2190" s="6">
        <v>100</v>
      </c>
      <c r="N2190">
        <v>0</v>
      </c>
      <c r="O2190" s="6">
        <v>0</v>
      </c>
      <c r="P2190">
        <v>0</v>
      </c>
      <c r="Q2190" s="8">
        <v>256.51</v>
      </c>
      <c r="R2190" s="8">
        <v>256.51</v>
      </c>
      <c r="S2190" s="10" t="s">
        <v>607</v>
      </c>
    </row>
    <row r="2191" spans="1:19" hidden="1" x14ac:dyDescent="0.25">
      <c r="A2191" t="s">
        <v>134</v>
      </c>
      <c r="B2191" t="s">
        <v>76</v>
      </c>
      <c r="C2191" t="s">
        <v>127</v>
      </c>
      <c r="D2191" t="s">
        <v>588</v>
      </c>
      <c r="E2191" t="s">
        <v>94</v>
      </c>
      <c r="F2191" t="s">
        <v>94</v>
      </c>
      <c r="G2191">
        <v>0</v>
      </c>
      <c r="H2191">
        <v>12</v>
      </c>
      <c r="I2191">
        <v>12</v>
      </c>
      <c r="J2191">
        <v>12</v>
      </c>
      <c r="K2191" s="6">
        <v>100</v>
      </c>
      <c r="L2191" s="6">
        <v>0</v>
      </c>
      <c r="M2191" s="6">
        <v>100</v>
      </c>
      <c r="N2191">
        <v>0</v>
      </c>
      <c r="O2191" s="6">
        <v>0</v>
      </c>
      <c r="P2191">
        <v>0</v>
      </c>
      <c r="Q2191" s="8">
        <v>259.79000000000002</v>
      </c>
      <c r="R2191" s="8">
        <v>259.79000000000002</v>
      </c>
      <c r="S2191" s="9" t="s">
        <v>586</v>
      </c>
    </row>
    <row r="2192" spans="1:19" hidden="1" x14ac:dyDescent="0.25">
      <c r="A2192" t="s">
        <v>134</v>
      </c>
      <c r="B2192" t="s">
        <v>76</v>
      </c>
      <c r="C2192" t="s">
        <v>127</v>
      </c>
      <c r="D2192" t="s">
        <v>588</v>
      </c>
      <c r="E2192" t="s">
        <v>94</v>
      </c>
      <c r="F2192" t="s">
        <v>96</v>
      </c>
      <c r="G2192">
        <v>4</v>
      </c>
      <c r="H2192">
        <v>12</v>
      </c>
      <c r="I2192">
        <v>12</v>
      </c>
      <c r="J2192">
        <v>12</v>
      </c>
      <c r="K2192" s="6">
        <v>100</v>
      </c>
      <c r="L2192" s="6">
        <v>0</v>
      </c>
      <c r="M2192" s="6">
        <v>100</v>
      </c>
      <c r="N2192">
        <v>0</v>
      </c>
      <c r="O2192" s="6">
        <v>0</v>
      </c>
      <c r="P2192">
        <v>0</v>
      </c>
      <c r="Q2192" s="8">
        <v>259.79000000000002</v>
      </c>
      <c r="R2192" s="8">
        <v>259.79000000000002</v>
      </c>
      <c r="S2192" s="10" t="s">
        <v>587</v>
      </c>
    </row>
    <row r="2193" spans="1:19" hidden="1" x14ac:dyDescent="0.25">
      <c r="A2193" t="s">
        <v>134</v>
      </c>
      <c r="B2193" t="s">
        <v>76</v>
      </c>
      <c r="C2193" t="s">
        <v>127</v>
      </c>
      <c r="D2193" t="s">
        <v>588</v>
      </c>
      <c r="E2193" t="s">
        <v>94</v>
      </c>
      <c r="F2193" t="s">
        <v>6</v>
      </c>
      <c r="G2193">
        <v>11</v>
      </c>
      <c r="H2193">
        <v>12</v>
      </c>
      <c r="I2193">
        <v>12</v>
      </c>
      <c r="J2193">
        <v>12</v>
      </c>
      <c r="K2193" s="6">
        <v>100</v>
      </c>
      <c r="L2193" s="6">
        <v>0</v>
      </c>
      <c r="M2193" s="6">
        <v>100</v>
      </c>
      <c r="N2193">
        <v>0</v>
      </c>
      <c r="O2193" s="6">
        <v>0</v>
      </c>
      <c r="P2193">
        <v>0</v>
      </c>
      <c r="Q2193" s="8">
        <v>259.79000000000002</v>
      </c>
      <c r="R2193" s="8">
        <v>259.79000000000002</v>
      </c>
      <c r="S2193" s="10" t="s">
        <v>587</v>
      </c>
    </row>
    <row r="2194" spans="1:19" hidden="1" x14ac:dyDescent="0.25">
      <c r="A2194" t="s">
        <v>134</v>
      </c>
      <c r="B2194" t="s">
        <v>76</v>
      </c>
      <c r="C2194" t="s">
        <v>127</v>
      </c>
      <c r="D2194" t="s">
        <v>589</v>
      </c>
      <c r="E2194" t="s">
        <v>94</v>
      </c>
      <c r="F2194" t="s">
        <v>94</v>
      </c>
      <c r="G2194">
        <v>0</v>
      </c>
      <c r="H2194">
        <v>10</v>
      </c>
      <c r="I2194">
        <v>10</v>
      </c>
      <c r="J2194">
        <v>10</v>
      </c>
      <c r="K2194" s="6">
        <v>100</v>
      </c>
      <c r="L2194" s="6">
        <v>0</v>
      </c>
      <c r="M2194" s="6">
        <v>100</v>
      </c>
      <c r="N2194">
        <v>0</v>
      </c>
      <c r="O2194" s="6">
        <v>0</v>
      </c>
      <c r="P2194">
        <v>0</v>
      </c>
      <c r="Q2194" s="8">
        <v>273.95</v>
      </c>
      <c r="R2194" s="8">
        <v>273.95</v>
      </c>
      <c r="S2194" s="9" t="s">
        <v>584</v>
      </c>
    </row>
    <row r="2195" spans="1:19" hidden="1" x14ac:dyDescent="0.25">
      <c r="A2195" t="s">
        <v>134</v>
      </c>
      <c r="B2195" t="s">
        <v>76</v>
      </c>
      <c r="C2195" t="s">
        <v>127</v>
      </c>
      <c r="D2195" t="s">
        <v>589</v>
      </c>
      <c r="E2195" t="s">
        <v>94</v>
      </c>
      <c r="F2195" t="s">
        <v>96</v>
      </c>
      <c r="G2195">
        <v>4</v>
      </c>
      <c r="H2195">
        <v>10</v>
      </c>
      <c r="I2195">
        <v>10</v>
      </c>
      <c r="J2195">
        <v>10</v>
      </c>
      <c r="K2195" s="6">
        <v>100</v>
      </c>
      <c r="L2195" s="6">
        <v>0</v>
      </c>
      <c r="M2195" s="6">
        <v>100</v>
      </c>
      <c r="N2195">
        <v>0</v>
      </c>
      <c r="O2195" s="6">
        <v>0</v>
      </c>
      <c r="P2195">
        <v>0</v>
      </c>
      <c r="Q2195" s="8">
        <v>273.95</v>
      </c>
      <c r="R2195" s="8">
        <v>273.95</v>
      </c>
      <c r="S2195" s="10" t="s">
        <v>131</v>
      </c>
    </row>
    <row r="2196" spans="1:19" hidden="1" x14ac:dyDescent="0.25">
      <c r="A2196" t="s">
        <v>134</v>
      </c>
      <c r="B2196" t="s">
        <v>76</v>
      </c>
      <c r="C2196" t="s">
        <v>127</v>
      </c>
      <c r="D2196" t="s">
        <v>589</v>
      </c>
      <c r="E2196" t="s">
        <v>94</v>
      </c>
      <c r="F2196" t="s">
        <v>6</v>
      </c>
      <c r="G2196">
        <v>11</v>
      </c>
      <c r="H2196">
        <v>10</v>
      </c>
      <c r="I2196">
        <v>10</v>
      </c>
      <c r="J2196">
        <v>10</v>
      </c>
      <c r="K2196" s="6">
        <v>100</v>
      </c>
      <c r="L2196" s="6">
        <v>0</v>
      </c>
      <c r="M2196" s="6">
        <v>100</v>
      </c>
      <c r="N2196">
        <v>0</v>
      </c>
      <c r="O2196" s="6">
        <v>0</v>
      </c>
      <c r="P2196">
        <v>0</v>
      </c>
      <c r="Q2196" s="8">
        <v>273.95</v>
      </c>
      <c r="R2196" s="8">
        <v>273.95</v>
      </c>
      <c r="S2196" s="10" t="s">
        <v>131</v>
      </c>
    </row>
    <row r="2197" spans="1:19" hidden="1" x14ac:dyDescent="0.25">
      <c r="A2197" t="s">
        <v>134</v>
      </c>
      <c r="B2197" t="s">
        <v>76</v>
      </c>
      <c r="C2197" t="s">
        <v>127</v>
      </c>
      <c r="D2197" t="s">
        <v>590</v>
      </c>
      <c r="E2197" t="s">
        <v>94</v>
      </c>
      <c r="F2197" t="s">
        <v>94</v>
      </c>
      <c r="G2197">
        <v>0</v>
      </c>
      <c r="H2197">
        <v>9</v>
      </c>
      <c r="I2197">
        <v>9</v>
      </c>
      <c r="J2197">
        <v>9</v>
      </c>
      <c r="K2197" s="6">
        <v>100</v>
      </c>
      <c r="L2197" s="6">
        <v>0</v>
      </c>
      <c r="M2197" s="6">
        <v>100</v>
      </c>
      <c r="N2197">
        <v>0</v>
      </c>
      <c r="O2197" s="6">
        <v>0</v>
      </c>
      <c r="P2197">
        <v>0</v>
      </c>
      <c r="Q2197" s="8">
        <v>264.45</v>
      </c>
      <c r="R2197" s="8">
        <v>264.45</v>
      </c>
      <c r="S2197" s="9" t="s">
        <v>546</v>
      </c>
    </row>
    <row r="2198" spans="1:19" hidden="1" x14ac:dyDescent="0.25">
      <c r="A2198" t="s">
        <v>134</v>
      </c>
      <c r="B2198" t="s">
        <v>76</v>
      </c>
      <c r="C2198" t="s">
        <v>127</v>
      </c>
      <c r="D2198" t="s">
        <v>590</v>
      </c>
      <c r="E2198" t="s">
        <v>94</v>
      </c>
      <c r="F2198" t="s">
        <v>96</v>
      </c>
      <c r="G2198">
        <v>4</v>
      </c>
      <c r="H2198">
        <v>9</v>
      </c>
      <c r="I2198">
        <v>9</v>
      </c>
      <c r="J2198">
        <v>9</v>
      </c>
      <c r="K2198" s="6">
        <v>100</v>
      </c>
      <c r="L2198" s="6">
        <v>0</v>
      </c>
      <c r="M2198" s="6">
        <v>100</v>
      </c>
      <c r="N2198">
        <v>0</v>
      </c>
      <c r="O2198" s="6">
        <v>0</v>
      </c>
      <c r="P2198">
        <v>0</v>
      </c>
      <c r="Q2198" s="8">
        <v>264.45</v>
      </c>
      <c r="R2198" s="8">
        <v>264.45</v>
      </c>
      <c r="S2198" s="9" t="s">
        <v>547</v>
      </c>
    </row>
    <row r="2199" spans="1:19" hidden="1" x14ac:dyDescent="0.25">
      <c r="A2199" t="s">
        <v>134</v>
      </c>
      <c r="B2199" t="s">
        <v>76</v>
      </c>
      <c r="C2199" t="s">
        <v>127</v>
      </c>
      <c r="D2199" t="s">
        <v>590</v>
      </c>
      <c r="E2199" t="s">
        <v>94</v>
      </c>
      <c r="F2199" t="s">
        <v>6</v>
      </c>
      <c r="G2199">
        <v>11</v>
      </c>
      <c r="H2199">
        <v>9</v>
      </c>
      <c r="I2199">
        <v>9</v>
      </c>
      <c r="J2199">
        <v>9</v>
      </c>
      <c r="K2199" s="6">
        <v>100</v>
      </c>
      <c r="L2199" s="6">
        <v>0</v>
      </c>
      <c r="M2199" s="6">
        <v>100</v>
      </c>
      <c r="N2199">
        <v>0</v>
      </c>
      <c r="O2199" s="6">
        <v>0</v>
      </c>
      <c r="P2199">
        <v>0</v>
      </c>
      <c r="Q2199" s="8">
        <v>264.45</v>
      </c>
      <c r="R2199" s="8">
        <v>264.45</v>
      </c>
      <c r="S2199" s="9" t="s">
        <v>547</v>
      </c>
    </row>
    <row r="2200" spans="1:19" hidden="1" x14ac:dyDescent="0.25">
      <c r="A2200" t="s">
        <v>134</v>
      </c>
      <c r="B2200" t="s">
        <v>76</v>
      </c>
      <c r="C2200" t="s">
        <v>128</v>
      </c>
      <c r="D2200" t="s">
        <v>539</v>
      </c>
      <c r="E2200" t="s">
        <v>91</v>
      </c>
      <c r="F2200" t="s">
        <v>91</v>
      </c>
      <c r="G2200">
        <v>0</v>
      </c>
      <c r="H2200">
        <v>26</v>
      </c>
      <c r="I2200">
        <v>26</v>
      </c>
      <c r="J2200">
        <v>26</v>
      </c>
      <c r="K2200" s="6">
        <v>100</v>
      </c>
      <c r="L2200" s="6">
        <v>0</v>
      </c>
      <c r="M2200" s="6">
        <v>100</v>
      </c>
      <c r="N2200">
        <v>0</v>
      </c>
      <c r="O2200" s="6">
        <v>0</v>
      </c>
      <c r="P2200">
        <v>0</v>
      </c>
      <c r="Q2200" s="8">
        <v>641.82000000000005</v>
      </c>
      <c r="R2200" s="8">
        <v>641.82000000000005</v>
      </c>
      <c r="S2200" s="9" t="s">
        <v>618</v>
      </c>
    </row>
    <row r="2201" spans="1:19" hidden="1" x14ac:dyDescent="0.25">
      <c r="A2201" t="s">
        <v>134</v>
      </c>
      <c r="B2201" t="s">
        <v>76</v>
      </c>
      <c r="C2201" t="s">
        <v>128</v>
      </c>
      <c r="D2201" t="s">
        <v>539</v>
      </c>
      <c r="E2201" t="s">
        <v>91</v>
      </c>
      <c r="F2201" t="s">
        <v>94</v>
      </c>
      <c r="G2201">
        <v>1</v>
      </c>
      <c r="H2201">
        <v>26</v>
      </c>
      <c r="I2201">
        <v>23</v>
      </c>
      <c r="J2201">
        <v>23</v>
      </c>
      <c r="K2201" s="6">
        <v>101.27</v>
      </c>
      <c r="L2201" s="6">
        <v>0</v>
      </c>
      <c r="M2201" s="6">
        <v>90.57</v>
      </c>
      <c r="N2201">
        <v>-10.7</v>
      </c>
      <c r="O2201" s="6">
        <v>11.5</v>
      </c>
      <c r="P2201">
        <v>0</v>
      </c>
      <c r="Q2201" s="8">
        <v>574.01</v>
      </c>
      <c r="R2201" s="8">
        <v>581.29999999999995</v>
      </c>
      <c r="S2201" s="10" t="s">
        <v>132</v>
      </c>
    </row>
    <row r="2202" spans="1:19" hidden="1" x14ac:dyDescent="0.25">
      <c r="A2202" t="s">
        <v>134</v>
      </c>
      <c r="B2202" t="s">
        <v>76</v>
      </c>
      <c r="C2202" t="s">
        <v>128</v>
      </c>
      <c r="D2202" t="s">
        <v>539</v>
      </c>
      <c r="E2202" t="s">
        <v>91</v>
      </c>
      <c r="F2202" t="s">
        <v>96</v>
      </c>
      <c r="G2202">
        <v>5</v>
      </c>
      <c r="H2202">
        <v>26</v>
      </c>
      <c r="I2202">
        <v>26</v>
      </c>
      <c r="J2202">
        <v>24</v>
      </c>
      <c r="K2202" s="6">
        <v>99.86</v>
      </c>
      <c r="L2202" s="6">
        <v>0</v>
      </c>
      <c r="M2202" s="6">
        <v>101.91</v>
      </c>
      <c r="N2202">
        <v>2.0499999999999998</v>
      </c>
      <c r="O2202" s="6">
        <v>7.7</v>
      </c>
      <c r="P2202">
        <v>2</v>
      </c>
      <c r="Q2202" s="8">
        <v>657.35</v>
      </c>
      <c r="R2202" s="8">
        <v>656.43</v>
      </c>
      <c r="S2202" s="10" t="s">
        <v>602</v>
      </c>
    </row>
    <row r="2203" spans="1:19" hidden="1" x14ac:dyDescent="0.25">
      <c r="A2203" t="s">
        <v>134</v>
      </c>
      <c r="B2203" t="s">
        <v>76</v>
      </c>
      <c r="C2203" t="s">
        <v>128</v>
      </c>
      <c r="D2203" t="s">
        <v>539</v>
      </c>
      <c r="E2203" t="s">
        <v>91</v>
      </c>
      <c r="F2203" t="s">
        <v>6</v>
      </c>
      <c r="G2203">
        <v>12</v>
      </c>
      <c r="H2203">
        <v>26</v>
      </c>
      <c r="I2203">
        <v>16</v>
      </c>
      <c r="J2203">
        <v>14</v>
      </c>
      <c r="K2203" s="6">
        <v>99.46</v>
      </c>
      <c r="L2203" s="6">
        <v>-0.94</v>
      </c>
      <c r="M2203" s="6">
        <v>78.44</v>
      </c>
      <c r="N2203">
        <v>-21.02</v>
      </c>
      <c r="O2203" s="6">
        <v>46.2</v>
      </c>
      <c r="P2203">
        <v>2</v>
      </c>
      <c r="Q2203" s="8">
        <v>488.55</v>
      </c>
      <c r="R2203" s="8">
        <v>485.89</v>
      </c>
      <c r="S2203" s="10" t="s">
        <v>607</v>
      </c>
    </row>
    <row r="2204" spans="1:19" hidden="1" x14ac:dyDescent="0.25">
      <c r="A2204" t="s">
        <v>134</v>
      </c>
      <c r="B2204" t="s">
        <v>76</v>
      </c>
      <c r="C2204" t="s">
        <v>128</v>
      </c>
      <c r="D2204" t="s">
        <v>552</v>
      </c>
      <c r="E2204" t="s">
        <v>91</v>
      </c>
      <c r="F2204" t="s">
        <v>91</v>
      </c>
      <c r="G2204">
        <v>0</v>
      </c>
      <c r="H2204">
        <v>2</v>
      </c>
      <c r="I2204">
        <v>2</v>
      </c>
      <c r="J2204">
        <v>2</v>
      </c>
      <c r="K2204" s="6">
        <v>100</v>
      </c>
      <c r="L2204" s="6">
        <v>0</v>
      </c>
      <c r="M2204" s="6">
        <v>100</v>
      </c>
      <c r="N2204">
        <v>0</v>
      </c>
      <c r="O2204" s="6">
        <v>0</v>
      </c>
      <c r="P2204">
        <v>0</v>
      </c>
      <c r="Q2204" s="8">
        <v>187.55</v>
      </c>
      <c r="R2204" s="8">
        <v>187.55</v>
      </c>
      <c r="S2204" s="9" t="s">
        <v>536</v>
      </c>
    </row>
    <row r="2205" spans="1:19" hidden="1" x14ac:dyDescent="0.25">
      <c r="A2205" t="s">
        <v>134</v>
      </c>
      <c r="B2205" t="s">
        <v>76</v>
      </c>
      <c r="C2205" t="s">
        <v>128</v>
      </c>
      <c r="D2205" t="s">
        <v>552</v>
      </c>
      <c r="E2205" t="s">
        <v>91</v>
      </c>
      <c r="F2205" t="s">
        <v>94</v>
      </c>
      <c r="G2205">
        <v>1</v>
      </c>
      <c r="H2205">
        <v>2</v>
      </c>
      <c r="I2205">
        <v>2</v>
      </c>
      <c r="J2205">
        <v>2</v>
      </c>
      <c r="K2205" s="6">
        <v>100</v>
      </c>
      <c r="L2205" s="6">
        <v>0</v>
      </c>
      <c r="M2205" s="6">
        <v>100</v>
      </c>
      <c r="N2205">
        <v>0</v>
      </c>
      <c r="O2205" s="6">
        <v>0</v>
      </c>
      <c r="P2205">
        <v>0</v>
      </c>
      <c r="Q2205" s="8">
        <v>187.55</v>
      </c>
      <c r="R2205" s="8">
        <v>187.55</v>
      </c>
      <c r="S2205" s="9" t="s">
        <v>537</v>
      </c>
    </row>
    <row r="2206" spans="1:19" hidden="1" x14ac:dyDescent="0.25">
      <c r="A2206" t="s">
        <v>134</v>
      </c>
      <c r="B2206" t="s">
        <v>76</v>
      </c>
      <c r="C2206" t="s">
        <v>128</v>
      </c>
      <c r="D2206" t="s">
        <v>552</v>
      </c>
      <c r="E2206" t="s">
        <v>91</v>
      </c>
      <c r="F2206" t="s">
        <v>96</v>
      </c>
      <c r="G2206">
        <v>5</v>
      </c>
      <c r="H2206">
        <v>2</v>
      </c>
      <c r="I2206">
        <v>2</v>
      </c>
      <c r="J2206">
        <v>2</v>
      </c>
      <c r="K2206" s="6">
        <v>100</v>
      </c>
      <c r="L2206" s="6">
        <v>0</v>
      </c>
      <c r="M2206" s="6">
        <v>100</v>
      </c>
      <c r="N2206">
        <v>0</v>
      </c>
      <c r="O2206" s="6">
        <v>0</v>
      </c>
      <c r="P2206">
        <v>0</v>
      </c>
      <c r="Q2206" s="8">
        <v>187.55</v>
      </c>
      <c r="R2206" s="8">
        <v>187.55</v>
      </c>
      <c r="S2206" s="9" t="s">
        <v>537</v>
      </c>
    </row>
    <row r="2207" spans="1:19" hidden="1" x14ac:dyDescent="0.25">
      <c r="A2207" t="s">
        <v>134</v>
      </c>
      <c r="B2207" t="s">
        <v>76</v>
      </c>
      <c r="C2207" t="s">
        <v>128</v>
      </c>
      <c r="D2207" t="s">
        <v>552</v>
      </c>
      <c r="E2207" t="s">
        <v>91</v>
      </c>
      <c r="F2207" t="s">
        <v>6</v>
      </c>
      <c r="G2207">
        <v>12</v>
      </c>
      <c r="H2207">
        <v>2</v>
      </c>
      <c r="I2207">
        <v>2</v>
      </c>
      <c r="J2207">
        <v>2</v>
      </c>
      <c r="K2207" s="6">
        <v>95.78</v>
      </c>
      <c r="L2207" s="6">
        <v>-4.22</v>
      </c>
      <c r="M2207" s="6">
        <v>95.78</v>
      </c>
      <c r="N2207">
        <v>0</v>
      </c>
      <c r="O2207" s="6">
        <v>0</v>
      </c>
      <c r="P2207">
        <v>0</v>
      </c>
      <c r="Q2207" s="8">
        <v>187.55</v>
      </c>
      <c r="R2207" s="8">
        <v>179.63</v>
      </c>
      <c r="S2207" s="9" t="s">
        <v>537</v>
      </c>
    </row>
    <row r="2208" spans="1:19" hidden="1" x14ac:dyDescent="0.25">
      <c r="A2208" t="s">
        <v>134</v>
      </c>
      <c r="B2208" t="s">
        <v>76</v>
      </c>
      <c r="C2208" t="s">
        <v>128</v>
      </c>
      <c r="D2208" t="s">
        <v>560</v>
      </c>
      <c r="E2208" t="s">
        <v>90</v>
      </c>
      <c r="F2208" t="s">
        <v>90</v>
      </c>
      <c r="G2208">
        <v>0</v>
      </c>
      <c r="H2208">
        <v>1</v>
      </c>
      <c r="I2208">
        <v>1</v>
      </c>
      <c r="J2208">
        <v>1</v>
      </c>
      <c r="K2208" s="6">
        <v>100</v>
      </c>
      <c r="L2208" s="6">
        <v>0</v>
      </c>
      <c r="M2208" s="6">
        <v>100</v>
      </c>
      <c r="N2208">
        <v>0</v>
      </c>
      <c r="O2208" s="6">
        <v>0</v>
      </c>
      <c r="P2208">
        <v>0</v>
      </c>
      <c r="Q2208" s="8">
        <v>300.89999999999998</v>
      </c>
      <c r="R2208" s="8">
        <v>300.89999999999998</v>
      </c>
      <c r="S2208" s="9" t="s">
        <v>540</v>
      </c>
    </row>
    <row r="2209" spans="1:19" hidden="1" x14ac:dyDescent="0.25">
      <c r="A2209" t="s">
        <v>134</v>
      </c>
      <c r="B2209" t="s">
        <v>76</v>
      </c>
      <c r="C2209" t="s">
        <v>128</v>
      </c>
      <c r="D2209" t="s">
        <v>560</v>
      </c>
      <c r="E2209" t="s">
        <v>90</v>
      </c>
      <c r="F2209" t="s">
        <v>91</v>
      </c>
      <c r="G2209">
        <v>1</v>
      </c>
      <c r="H2209">
        <v>1</v>
      </c>
      <c r="I2209">
        <v>1</v>
      </c>
      <c r="J2209">
        <v>1</v>
      </c>
      <c r="K2209" s="6">
        <v>100</v>
      </c>
      <c r="L2209" s="6">
        <v>0</v>
      </c>
      <c r="M2209" s="6">
        <v>100</v>
      </c>
      <c r="N2209">
        <v>0</v>
      </c>
      <c r="O2209" s="6">
        <v>0</v>
      </c>
      <c r="P2209">
        <v>0</v>
      </c>
      <c r="Q2209" s="8">
        <v>300.89999999999998</v>
      </c>
      <c r="R2209" s="8">
        <v>300.89999999999998</v>
      </c>
      <c r="S2209" s="9" t="s">
        <v>541</v>
      </c>
    </row>
    <row r="2210" spans="1:19" hidden="1" x14ac:dyDescent="0.25">
      <c r="A2210" t="s">
        <v>134</v>
      </c>
      <c r="B2210" t="s">
        <v>76</v>
      </c>
      <c r="C2210" t="s">
        <v>128</v>
      </c>
      <c r="D2210" t="s">
        <v>560</v>
      </c>
      <c r="E2210" t="s">
        <v>90</v>
      </c>
      <c r="F2210" t="s">
        <v>94</v>
      </c>
      <c r="G2210">
        <v>2</v>
      </c>
      <c r="H2210">
        <v>1</v>
      </c>
      <c r="I2210">
        <v>1</v>
      </c>
      <c r="J2210">
        <v>1</v>
      </c>
      <c r="K2210" s="6">
        <v>100</v>
      </c>
      <c r="L2210" s="6">
        <v>0</v>
      </c>
      <c r="M2210" s="6">
        <v>100</v>
      </c>
      <c r="N2210">
        <v>0</v>
      </c>
      <c r="O2210" s="6">
        <v>0</v>
      </c>
      <c r="P2210">
        <v>0</v>
      </c>
      <c r="Q2210" s="8">
        <v>300.89999999999998</v>
      </c>
      <c r="R2210" s="8">
        <v>300.89999999999998</v>
      </c>
      <c r="S2210" s="9" t="s">
        <v>541</v>
      </c>
    </row>
    <row r="2211" spans="1:19" hidden="1" x14ac:dyDescent="0.25">
      <c r="A2211" t="s">
        <v>134</v>
      </c>
      <c r="B2211" t="s">
        <v>76</v>
      </c>
      <c r="C2211" t="s">
        <v>128</v>
      </c>
      <c r="D2211" t="s">
        <v>560</v>
      </c>
      <c r="E2211" t="s">
        <v>90</v>
      </c>
      <c r="F2211" t="s">
        <v>96</v>
      </c>
      <c r="G2211">
        <v>6</v>
      </c>
      <c r="H2211">
        <v>1</v>
      </c>
      <c r="I2211">
        <v>1</v>
      </c>
      <c r="J2211">
        <v>1</v>
      </c>
      <c r="K2211" s="6">
        <v>100</v>
      </c>
      <c r="L2211" s="6">
        <v>0</v>
      </c>
      <c r="M2211" s="6">
        <v>100</v>
      </c>
      <c r="N2211">
        <v>0</v>
      </c>
      <c r="O2211" s="6">
        <v>0</v>
      </c>
      <c r="P2211">
        <v>0</v>
      </c>
      <c r="Q2211" s="8">
        <v>300.89999999999998</v>
      </c>
      <c r="R2211" s="8">
        <v>300.89999999999998</v>
      </c>
      <c r="S2211" s="9" t="s">
        <v>541</v>
      </c>
    </row>
    <row r="2212" spans="1:19" hidden="1" x14ac:dyDescent="0.25">
      <c r="A2212" t="s">
        <v>134</v>
      </c>
      <c r="B2212" t="s">
        <v>76</v>
      </c>
      <c r="C2212" t="s">
        <v>128</v>
      </c>
      <c r="D2212" t="s">
        <v>560</v>
      </c>
      <c r="E2212" t="s">
        <v>90</v>
      </c>
      <c r="F2212" t="s">
        <v>6</v>
      </c>
      <c r="G2212">
        <v>13</v>
      </c>
      <c r="H2212">
        <v>1</v>
      </c>
      <c r="I2212">
        <v>1</v>
      </c>
      <c r="J2212">
        <v>1</v>
      </c>
      <c r="K2212" s="6">
        <v>100</v>
      </c>
      <c r="L2212" s="6">
        <v>0</v>
      </c>
      <c r="M2212" s="6">
        <v>100</v>
      </c>
      <c r="N2212">
        <v>0</v>
      </c>
      <c r="O2212" s="6">
        <v>0</v>
      </c>
      <c r="P2212">
        <v>0</v>
      </c>
      <c r="Q2212" s="8">
        <v>300.89999999999998</v>
      </c>
      <c r="R2212" s="8">
        <v>300.89999999999998</v>
      </c>
      <c r="S2212" s="9" t="s">
        <v>541</v>
      </c>
    </row>
    <row r="2213" spans="1:19" hidden="1" x14ac:dyDescent="0.25">
      <c r="A2213" t="s">
        <v>134</v>
      </c>
      <c r="B2213" t="s">
        <v>76</v>
      </c>
      <c r="C2213" t="s">
        <v>128</v>
      </c>
      <c r="D2213" t="s">
        <v>524</v>
      </c>
      <c r="E2213" t="s">
        <v>90</v>
      </c>
      <c r="F2213" t="s">
        <v>90</v>
      </c>
      <c r="G2213">
        <v>0</v>
      </c>
      <c r="H2213">
        <v>3</v>
      </c>
      <c r="I2213">
        <v>3</v>
      </c>
      <c r="J2213">
        <v>3</v>
      </c>
      <c r="K2213" s="6">
        <v>100</v>
      </c>
      <c r="L2213" s="6">
        <v>0</v>
      </c>
      <c r="M2213" s="6">
        <v>100</v>
      </c>
      <c r="N2213">
        <v>0</v>
      </c>
      <c r="O2213" s="6">
        <v>0</v>
      </c>
      <c r="P2213">
        <v>0</v>
      </c>
      <c r="Q2213" s="8">
        <v>409.42</v>
      </c>
      <c r="R2213" s="8">
        <v>409.42</v>
      </c>
      <c r="S2213" s="9" t="s">
        <v>525</v>
      </c>
    </row>
    <row r="2214" spans="1:19" hidden="1" x14ac:dyDescent="0.25">
      <c r="A2214" t="s">
        <v>134</v>
      </c>
      <c r="B2214" t="s">
        <v>76</v>
      </c>
      <c r="C2214" t="s">
        <v>128</v>
      </c>
      <c r="D2214" t="s">
        <v>524</v>
      </c>
      <c r="E2214" t="s">
        <v>90</v>
      </c>
      <c r="F2214" t="s">
        <v>91</v>
      </c>
      <c r="G2214">
        <v>1</v>
      </c>
      <c r="H2214">
        <v>3</v>
      </c>
      <c r="I2214">
        <v>3</v>
      </c>
      <c r="J2214">
        <v>3</v>
      </c>
      <c r="K2214" s="6">
        <v>100</v>
      </c>
      <c r="L2214" s="6">
        <v>0</v>
      </c>
      <c r="M2214" s="6">
        <v>100</v>
      </c>
      <c r="N2214">
        <v>0</v>
      </c>
      <c r="O2214" s="6">
        <v>0</v>
      </c>
      <c r="P2214">
        <v>0</v>
      </c>
      <c r="Q2214" s="8">
        <v>409.42</v>
      </c>
      <c r="R2214" s="8">
        <v>409.42</v>
      </c>
      <c r="S2214" s="9" t="s">
        <v>526</v>
      </c>
    </row>
    <row r="2215" spans="1:19" hidden="1" x14ac:dyDescent="0.25">
      <c r="A2215" t="s">
        <v>134</v>
      </c>
      <c r="B2215" t="s">
        <v>76</v>
      </c>
      <c r="C2215" t="s">
        <v>128</v>
      </c>
      <c r="D2215" t="s">
        <v>524</v>
      </c>
      <c r="E2215" t="s">
        <v>90</v>
      </c>
      <c r="F2215" t="s">
        <v>94</v>
      </c>
      <c r="G2215">
        <v>2</v>
      </c>
      <c r="H2215">
        <v>3</v>
      </c>
      <c r="I2215">
        <v>3</v>
      </c>
      <c r="J2215">
        <v>3</v>
      </c>
      <c r="K2215" s="6">
        <v>100</v>
      </c>
      <c r="L2215" s="6">
        <v>0</v>
      </c>
      <c r="M2215" s="6">
        <v>100</v>
      </c>
      <c r="N2215">
        <v>0</v>
      </c>
      <c r="O2215" s="6">
        <v>0</v>
      </c>
      <c r="P2215">
        <v>0</v>
      </c>
      <c r="Q2215" s="8">
        <v>409.42</v>
      </c>
      <c r="R2215" s="8">
        <v>409.42</v>
      </c>
      <c r="S2215" s="9" t="s">
        <v>526</v>
      </c>
    </row>
    <row r="2216" spans="1:19" hidden="1" x14ac:dyDescent="0.25">
      <c r="A2216" t="s">
        <v>134</v>
      </c>
      <c r="B2216" t="s">
        <v>76</v>
      </c>
      <c r="C2216" t="s">
        <v>128</v>
      </c>
      <c r="D2216" t="s">
        <v>524</v>
      </c>
      <c r="E2216" t="s">
        <v>90</v>
      </c>
      <c r="F2216" t="s">
        <v>96</v>
      </c>
      <c r="G2216">
        <v>6</v>
      </c>
      <c r="H2216">
        <v>3</v>
      </c>
      <c r="I2216">
        <v>3</v>
      </c>
      <c r="J2216">
        <v>3</v>
      </c>
      <c r="K2216" s="6">
        <v>100</v>
      </c>
      <c r="L2216" s="6">
        <v>0</v>
      </c>
      <c r="M2216" s="6">
        <v>100</v>
      </c>
      <c r="N2216">
        <v>0</v>
      </c>
      <c r="O2216" s="6">
        <v>0</v>
      </c>
      <c r="P2216">
        <v>0</v>
      </c>
      <c r="Q2216" s="8">
        <v>409.42</v>
      </c>
      <c r="R2216" s="8">
        <v>409.42</v>
      </c>
      <c r="S2216" s="9" t="s">
        <v>526</v>
      </c>
    </row>
    <row r="2217" spans="1:19" hidden="1" x14ac:dyDescent="0.25">
      <c r="A2217" t="s">
        <v>134</v>
      </c>
      <c r="B2217" t="s">
        <v>76</v>
      </c>
      <c r="C2217" t="s">
        <v>128</v>
      </c>
      <c r="D2217" t="s">
        <v>524</v>
      </c>
      <c r="E2217" t="s">
        <v>90</v>
      </c>
      <c r="F2217" t="s">
        <v>6</v>
      </c>
      <c r="G2217">
        <v>13</v>
      </c>
      <c r="H2217">
        <v>3</v>
      </c>
      <c r="I2217">
        <v>3</v>
      </c>
      <c r="J2217">
        <v>3</v>
      </c>
      <c r="K2217" s="6">
        <v>100</v>
      </c>
      <c r="L2217" s="6">
        <v>0</v>
      </c>
      <c r="M2217" s="6">
        <v>100</v>
      </c>
      <c r="N2217">
        <v>0</v>
      </c>
      <c r="O2217" s="6">
        <v>0</v>
      </c>
      <c r="P2217">
        <v>0</v>
      </c>
      <c r="Q2217" s="8">
        <v>409.42</v>
      </c>
      <c r="R2217" s="8">
        <v>409.42</v>
      </c>
      <c r="S2217" s="9" t="s">
        <v>526</v>
      </c>
    </row>
    <row r="2218" spans="1:19" hidden="1" x14ac:dyDescent="0.25">
      <c r="A2218" t="s">
        <v>134</v>
      </c>
      <c r="B2218" t="s">
        <v>76</v>
      </c>
      <c r="C2218" t="s">
        <v>128</v>
      </c>
      <c r="D2218" t="s">
        <v>527</v>
      </c>
      <c r="E2218" t="s">
        <v>90</v>
      </c>
      <c r="F2218" t="s">
        <v>90</v>
      </c>
      <c r="G2218">
        <v>0</v>
      </c>
      <c r="H2218">
        <v>22</v>
      </c>
      <c r="I2218">
        <v>22</v>
      </c>
      <c r="J2218">
        <v>22</v>
      </c>
      <c r="K2218" s="6">
        <v>100</v>
      </c>
      <c r="L2218" s="6">
        <v>0</v>
      </c>
      <c r="M2218" s="6">
        <v>100</v>
      </c>
      <c r="N2218">
        <v>0</v>
      </c>
      <c r="O2218" s="6">
        <v>0</v>
      </c>
      <c r="P2218">
        <v>0</v>
      </c>
      <c r="Q2218" s="8">
        <v>758.06</v>
      </c>
      <c r="R2218" s="8">
        <v>758.06</v>
      </c>
      <c r="S2218" s="9" t="s">
        <v>614</v>
      </c>
    </row>
    <row r="2219" spans="1:19" hidden="1" x14ac:dyDescent="0.25">
      <c r="A2219" t="s">
        <v>134</v>
      </c>
      <c r="B2219" t="s">
        <v>76</v>
      </c>
      <c r="C2219" t="s">
        <v>128</v>
      </c>
      <c r="D2219" t="s">
        <v>527</v>
      </c>
      <c r="E2219" t="s">
        <v>90</v>
      </c>
      <c r="F2219" t="s">
        <v>91</v>
      </c>
      <c r="G2219">
        <v>1</v>
      </c>
      <c r="H2219">
        <v>22</v>
      </c>
      <c r="I2219">
        <v>19</v>
      </c>
      <c r="J2219">
        <v>19</v>
      </c>
      <c r="K2219" s="6">
        <v>100</v>
      </c>
      <c r="L2219" s="6">
        <v>0</v>
      </c>
      <c r="M2219" s="6">
        <v>97.23</v>
      </c>
      <c r="N2219">
        <v>-2.77</v>
      </c>
      <c r="O2219" s="6">
        <v>13.6</v>
      </c>
      <c r="P2219">
        <v>0</v>
      </c>
      <c r="Q2219" s="8">
        <v>737.05</v>
      </c>
      <c r="R2219" s="8">
        <v>737.05</v>
      </c>
      <c r="S2219" s="10" t="s">
        <v>647</v>
      </c>
    </row>
    <row r="2220" spans="1:19" hidden="1" x14ac:dyDescent="0.25">
      <c r="A2220" t="s">
        <v>134</v>
      </c>
      <c r="B2220" t="s">
        <v>76</v>
      </c>
      <c r="C2220" t="s">
        <v>128</v>
      </c>
      <c r="D2220" t="s">
        <v>527</v>
      </c>
      <c r="E2220" t="s">
        <v>90</v>
      </c>
      <c r="F2220" t="s">
        <v>94</v>
      </c>
      <c r="G2220">
        <v>2</v>
      </c>
      <c r="H2220">
        <v>22</v>
      </c>
      <c r="I2220">
        <v>19</v>
      </c>
      <c r="J2220">
        <v>19</v>
      </c>
      <c r="K2220" s="6">
        <v>100.17</v>
      </c>
      <c r="L2220" s="6">
        <v>0</v>
      </c>
      <c r="M2220" s="6">
        <v>97.4</v>
      </c>
      <c r="N2220">
        <v>-2.77</v>
      </c>
      <c r="O2220" s="6">
        <v>13.6</v>
      </c>
      <c r="P2220">
        <v>0</v>
      </c>
      <c r="Q2220" s="8">
        <v>737.05</v>
      </c>
      <c r="R2220" s="8">
        <v>738.33</v>
      </c>
      <c r="S2220" s="10" t="s">
        <v>647</v>
      </c>
    </row>
    <row r="2221" spans="1:19" hidden="1" x14ac:dyDescent="0.25">
      <c r="A2221" t="s">
        <v>134</v>
      </c>
      <c r="B2221" t="s">
        <v>76</v>
      </c>
      <c r="C2221" t="s">
        <v>128</v>
      </c>
      <c r="D2221" t="s">
        <v>527</v>
      </c>
      <c r="E2221" t="s">
        <v>90</v>
      </c>
      <c r="F2221" t="s">
        <v>96</v>
      </c>
      <c r="G2221">
        <v>6</v>
      </c>
      <c r="H2221">
        <v>22</v>
      </c>
      <c r="I2221">
        <v>20</v>
      </c>
      <c r="J2221">
        <v>19</v>
      </c>
      <c r="K2221" s="6">
        <v>100.17</v>
      </c>
      <c r="L2221" s="6">
        <v>0</v>
      </c>
      <c r="M2221" s="6">
        <v>95.4</v>
      </c>
      <c r="N2221">
        <v>-4.7699999999999996</v>
      </c>
      <c r="O2221" s="6">
        <v>13.6</v>
      </c>
      <c r="P2221">
        <v>1</v>
      </c>
      <c r="Q2221" s="8">
        <v>737.05</v>
      </c>
      <c r="R2221" s="8">
        <v>738.33</v>
      </c>
      <c r="S2221" s="10" t="s">
        <v>647</v>
      </c>
    </row>
    <row r="2222" spans="1:19" hidden="1" x14ac:dyDescent="0.25">
      <c r="A2222" t="s">
        <v>134</v>
      </c>
      <c r="B2222" t="s">
        <v>76</v>
      </c>
      <c r="C2222" t="s">
        <v>128</v>
      </c>
      <c r="D2222" t="s">
        <v>527</v>
      </c>
      <c r="E2222" t="s">
        <v>90</v>
      </c>
      <c r="F2222" t="s">
        <v>6</v>
      </c>
      <c r="G2222">
        <v>13</v>
      </c>
      <c r="H2222">
        <v>22</v>
      </c>
      <c r="I2222">
        <v>19</v>
      </c>
      <c r="J2222">
        <v>18</v>
      </c>
      <c r="K2222" s="6">
        <v>99.07</v>
      </c>
      <c r="L2222" s="6">
        <v>0</v>
      </c>
      <c r="M2222" s="6">
        <v>94.44</v>
      </c>
      <c r="N2222">
        <v>-4.63</v>
      </c>
      <c r="O2222" s="6">
        <v>18.2</v>
      </c>
      <c r="P2222">
        <v>1</v>
      </c>
      <c r="Q2222" s="8">
        <v>738.41</v>
      </c>
      <c r="R2222" s="8">
        <v>731.51</v>
      </c>
      <c r="S2222" s="10" t="s">
        <v>488</v>
      </c>
    </row>
    <row r="2223" spans="1:19" hidden="1" x14ac:dyDescent="0.25">
      <c r="A2223" t="s">
        <v>134</v>
      </c>
      <c r="B2223" t="s">
        <v>76</v>
      </c>
      <c r="C2223" t="s">
        <v>128</v>
      </c>
      <c r="D2223" t="s">
        <v>530</v>
      </c>
      <c r="E2223" t="s">
        <v>90</v>
      </c>
      <c r="F2223" t="s">
        <v>90</v>
      </c>
      <c r="G2223">
        <v>0</v>
      </c>
      <c r="H2223">
        <v>8</v>
      </c>
      <c r="I2223">
        <v>8</v>
      </c>
      <c r="J2223">
        <v>8</v>
      </c>
      <c r="K2223" s="6">
        <v>100</v>
      </c>
      <c r="L2223" s="6">
        <v>0</v>
      </c>
      <c r="M2223" s="6">
        <v>100</v>
      </c>
      <c r="N2223">
        <v>0</v>
      </c>
      <c r="O2223" s="6">
        <v>0</v>
      </c>
      <c r="P2223">
        <v>0</v>
      </c>
      <c r="Q2223" s="8">
        <v>697</v>
      </c>
      <c r="R2223" s="8">
        <v>697</v>
      </c>
      <c r="S2223" s="9" t="s">
        <v>543</v>
      </c>
    </row>
    <row r="2224" spans="1:19" hidden="1" x14ac:dyDescent="0.25">
      <c r="A2224" t="s">
        <v>134</v>
      </c>
      <c r="B2224" t="s">
        <v>76</v>
      </c>
      <c r="C2224" t="s">
        <v>128</v>
      </c>
      <c r="D2224" t="s">
        <v>530</v>
      </c>
      <c r="E2224" t="s">
        <v>90</v>
      </c>
      <c r="F2224" t="s">
        <v>91</v>
      </c>
      <c r="G2224">
        <v>1</v>
      </c>
      <c r="H2224">
        <v>8</v>
      </c>
      <c r="I2224">
        <v>8</v>
      </c>
      <c r="J2224">
        <v>8</v>
      </c>
      <c r="K2224" s="6">
        <v>100</v>
      </c>
      <c r="L2224" s="6">
        <v>0</v>
      </c>
      <c r="M2224" s="6">
        <v>100</v>
      </c>
      <c r="N2224">
        <v>0</v>
      </c>
      <c r="O2224" s="6">
        <v>0</v>
      </c>
      <c r="P2224">
        <v>0</v>
      </c>
      <c r="Q2224" s="8">
        <v>697</v>
      </c>
      <c r="R2224" s="8">
        <v>697</v>
      </c>
      <c r="S2224" s="9" t="s">
        <v>544</v>
      </c>
    </row>
    <row r="2225" spans="1:19" hidden="1" x14ac:dyDescent="0.25">
      <c r="A2225" t="s">
        <v>134</v>
      </c>
      <c r="B2225" t="s">
        <v>76</v>
      </c>
      <c r="C2225" t="s">
        <v>128</v>
      </c>
      <c r="D2225" t="s">
        <v>530</v>
      </c>
      <c r="E2225" t="s">
        <v>90</v>
      </c>
      <c r="F2225" t="s">
        <v>94</v>
      </c>
      <c r="G2225">
        <v>2</v>
      </c>
      <c r="H2225">
        <v>8</v>
      </c>
      <c r="I2225">
        <v>8</v>
      </c>
      <c r="J2225">
        <v>8</v>
      </c>
      <c r="K2225" s="6">
        <v>100</v>
      </c>
      <c r="L2225" s="6">
        <v>0</v>
      </c>
      <c r="M2225" s="6">
        <v>100</v>
      </c>
      <c r="N2225">
        <v>0</v>
      </c>
      <c r="O2225" s="6">
        <v>0</v>
      </c>
      <c r="P2225">
        <v>0</v>
      </c>
      <c r="Q2225" s="8">
        <v>697</v>
      </c>
      <c r="R2225" s="8">
        <v>697</v>
      </c>
      <c r="S2225" s="9" t="s">
        <v>544</v>
      </c>
    </row>
    <row r="2226" spans="1:19" hidden="1" x14ac:dyDescent="0.25">
      <c r="A2226" t="s">
        <v>134</v>
      </c>
      <c r="B2226" t="s">
        <v>76</v>
      </c>
      <c r="C2226" t="s">
        <v>128</v>
      </c>
      <c r="D2226" t="s">
        <v>530</v>
      </c>
      <c r="E2226" t="s">
        <v>90</v>
      </c>
      <c r="F2226" t="s">
        <v>96</v>
      </c>
      <c r="G2226">
        <v>6</v>
      </c>
      <c r="H2226">
        <v>8</v>
      </c>
      <c r="I2226">
        <v>8</v>
      </c>
      <c r="J2226">
        <v>8</v>
      </c>
      <c r="K2226" s="6">
        <v>100</v>
      </c>
      <c r="L2226" s="6">
        <v>0</v>
      </c>
      <c r="M2226" s="6">
        <v>100</v>
      </c>
      <c r="N2226">
        <v>0</v>
      </c>
      <c r="O2226" s="6">
        <v>0</v>
      </c>
      <c r="P2226">
        <v>0</v>
      </c>
      <c r="Q2226" s="8">
        <v>697</v>
      </c>
      <c r="R2226" s="8">
        <v>697</v>
      </c>
      <c r="S2226" s="9" t="s">
        <v>544</v>
      </c>
    </row>
    <row r="2227" spans="1:19" hidden="1" x14ac:dyDescent="0.25">
      <c r="A2227" t="s">
        <v>134</v>
      </c>
      <c r="B2227" t="s">
        <v>76</v>
      </c>
      <c r="C2227" t="s">
        <v>128</v>
      </c>
      <c r="D2227" t="s">
        <v>530</v>
      </c>
      <c r="E2227" t="s">
        <v>90</v>
      </c>
      <c r="F2227" t="s">
        <v>6</v>
      </c>
      <c r="G2227">
        <v>13</v>
      </c>
      <c r="H2227">
        <v>8</v>
      </c>
      <c r="I2227">
        <v>9</v>
      </c>
      <c r="J2227">
        <v>7</v>
      </c>
      <c r="K2227" s="6">
        <v>99.19</v>
      </c>
      <c r="L2227" s="6">
        <v>0</v>
      </c>
      <c r="M2227" s="6">
        <v>103.6</v>
      </c>
      <c r="N2227">
        <v>4.41</v>
      </c>
      <c r="O2227" s="6">
        <v>12.5</v>
      </c>
      <c r="P2227">
        <v>2</v>
      </c>
      <c r="Q2227" s="8">
        <v>709.66</v>
      </c>
      <c r="R2227" s="8">
        <v>703.94</v>
      </c>
      <c r="S2227" s="9" t="s">
        <v>550</v>
      </c>
    </row>
    <row r="2228" spans="1:19" hidden="1" x14ac:dyDescent="0.25">
      <c r="A2228" t="s">
        <v>134</v>
      </c>
      <c r="B2228" t="s">
        <v>76</v>
      </c>
      <c r="C2228" t="s">
        <v>128</v>
      </c>
      <c r="D2228" t="s">
        <v>531</v>
      </c>
      <c r="E2228" t="s">
        <v>90</v>
      </c>
      <c r="F2228" t="s">
        <v>90</v>
      </c>
      <c r="G2228">
        <v>0</v>
      </c>
      <c r="H2228">
        <v>8</v>
      </c>
      <c r="I2228">
        <v>8</v>
      </c>
      <c r="J2228">
        <v>8</v>
      </c>
      <c r="K2228" s="6">
        <v>100</v>
      </c>
      <c r="L2228" s="6">
        <v>0</v>
      </c>
      <c r="M2228" s="6">
        <v>100</v>
      </c>
      <c r="N2228">
        <v>0</v>
      </c>
      <c r="O2228" s="6">
        <v>0</v>
      </c>
      <c r="P2228">
        <v>0</v>
      </c>
      <c r="Q2228" s="8">
        <v>771.84</v>
      </c>
      <c r="R2228" s="8">
        <v>771.84</v>
      </c>
      <c r="S2228" s="9" t="s">
        <v>543</v>
      </c>
    </row>
    <row r="2229" spans="1:19" hidden="1" x14ac:dyDescent="0.25">
      <c r="A2229" t="s">
        <v>134</v>
      </c>
      <c r="B2229" t="s">
        <v>76</v>
      </c>
      <c r="C2229" t="s">
        <v>128</v>
      </c>
      <c r="D2229" t="s">
        <v>531</v>
      </c>
      <c r="E2229" t="s">
        <v>90</v>
      </c>
      <c r="F2229" t="s">
        <v>91</v>
      </c>
      <c r="G2229">
        <v>1</v>
      </c>
      <c r="H2229">
        <v>8</v>
      </c>
      <c r="I2229">
        <v>8</v>
      </c>
      <c r="J2229">
        <v>8</v>
      </c>
      <c r="K2229" s="6">
        <v>100</v>
      </c>
      <c r="L2229" s="6">
        <v>0</v>
      </c>
      <c r="M2229" s="6">
        <v>100</v>
      </c>
      <c r="N2229">
        <v>0</v>
      </c>
      <c r="O2229" s="6">
        <v>0</v>
      </c>
      <c r="P2229">
        <v>0</v>
      </c>
      <c r="Q2229" s="8">
        <v>771.84</v>
      </c>
      <c r="R2229" s="8">
        <v>771.84</v>
      </c>
      <c r="S2229" s="9" t="s">
        <v>544</v>
      </c>
    </row>
    <row r="2230" spans="1:19" hidden="1" x14ac:dyDescent="0.25">
      <c r="A2230" t="s">
        <v>134</v>
      </c>
      <c r="B2230" t="s">
        <v>76</v>
      </c>
      <c r="C2230" t="s">
        <v>128</v>
      </c>
      <c r="D2230" t="s">
        <v>531</v>
      </c>
      <c r="E2230" t="s">
        <v>90</v>
      </c>
      <c r="F2230" t="s">
        <v>94</v>
      </c>
      <c r="G2230">
        <v>2</v>
      </c>
      <c r="H2230">
        <v>8</v>
      </c>
      <c r="I2230">
        <v>8</v>
      </c>
      <c r="J2230">
        <v>8</v>
      </c>
      <c r="K2230" s="6">
        <v>100.06</v>
      </c>
      <c r="L2230" s="6">
        <v>0</v>
      </c>
      <c r="M2230" s="6">
        <v>100.06</v>
      </c>
      <c r="N2230">
        <v>0</v>
      </c>
      <c r="O2230" s="6">
        <v>0</v>
      </c>
      <c r="P2230">
        <v>0</v>
      </c>
      <c r="Q2230" s="8">
        <v>771.84</v>
      </c>
      <c r="R2230" s="8">
        <v>772.34</v>
      </c>
      <c r="S2230" s="9" t="s">
        <v>544</v>
      </c>
    </row>
    <row r="2231" spans="1:19" hidden="1" x14ac:dyDescent="0.25">
      <c r="A2231" t="s">
        <v>134</v>
      </c>
      <c r="B2231" t="s">
        <v>76</v>
      </c>
      <c r="C2231" t="s">
        <v>128</v>
      </c>
      <c r="D2231" t="s">
        <v>531</v>
      </c>
      <c r="E2231" t="s">
        <v>90</v>
      </c>
      <c r="F2231" t="s">
        <v>96</v>
      </c>
      <c r="G2231">
        <v>6</v>
      </c>
      <c r="H2231">
        <v>8</v>
      </c>
      <c r="I2231">
        <v>8</v>
      </c>
      <c r="J2231">
        <v>8</v>
      </c>
      <c r="K2231" s="6">
        <v>100.06</v>
      </c>
      <c r="L2231" s="6">
        <v>0</v>
      </c>
      <c r="M2231" s="6">
        <v>100.06</v>
      </c>
      <c r="N2231">
        <v>0</v>
      </c>
      <c r="O2231" s="6">
        <v>0</v>
      </c>
      <c r="P2231">
        <v>0</v>
      </c>
      <c r="Q2231" s="8">
        <v>771.84</v>
      </c>
      <c r="R2231" s="8">
        <v>772.34</v>
      </c>
      <c r="S2231" s="9" t="s">
        <v>544</v>
      </c>
    </row>
    <row r="2232" spans="1:19" hidden="1" x14ac:dyDescent="0.25">
      <c r="A2232" t="s">
        <v>134</v>
      </c>
      <c r="B2232" t="s">
        <v>76</v>
      </c>
      <c r="C2232" t="s">
        <v>128</v>
      </c>
      <c r="D2232" t="s">
        <v>531</v>
      </c>
      <c r="E2232" t="s">
        <v>90</v>
      </c>
      <c r="F2232" t="s">
        <v>6</v>
      </c>
      <c r="G2232">
        <v>13</v>
      </c>
      <c r="H2232">
        <v>8</v>
      </c>
      <c r="I2232">
        <v>8</v>
      </c>
      <c r="J2232">
        <v>8</v>
      </c>
      <c r="K2232" s="6">
        <v>98.77</v>
      </c>
      <c r="L2232" s="6">
        <v>-1.3</v>
      </c>
      <c r="M2232" s="6">
        <v>98.77</v>
      </c>
      <c r="N2232">
        <v>0</v>
      </c>
      <c r="O2232" s="6">
        <v>0</v>
      </c>
      <c r="P2232">
        <v>0</v>
      </c>
      <c r="Q2232" s="8">
        <v>771.84</v>
      </c>
      <c r="R2232" s="8">
        <v>762.38</v>
      </c>
      <c r="S2232" s="9" t="s">
        <v>544</v>
      </c>
    </row>
    <row r="2233" spans="1:19" hidden="1" x14ac:dyDescent="0.25">
      <c r="A2233" t="s">
        <v>134</v>
      </c>
      <c r="B2233" t="s">
        <v>76</v>
      </c>
      <c r="C2233" t="s">
        <v>128</v>
      </c>
      <c r="D2233" t="s">
        <v>532</v>
      </c>
      <c r="E2233" t="s">
        <v>90</v>
      </c>
      <c r="F2233" t="s">
        <v>90</v>
      </c>
      <c r="G2233">
        <v>0</v>
      </c>
      <c r="H2233">
        <v>13</v>
      </c>
      <c r="I2233">
        <v>13</v>
      </c>
      <c r="J2233">
        <v>13</v>
      </c>
      <c r="K2233" s="6">
        <v>100</v>
      </c>
      <c r="L2233" s="6">
        <v>0</v>
      </c>
      <c r="M2233" s="6">
        <v>100</v>
      </c>
      <c r="N2233">
        <v>0</v>
      </c>
      <c r="O2233" s="6">
        <v>0</v>
      </c>
      <c r="P2233">
        <v>0</v>
      </c>
      <c r="Q2233" s="8">
        <v>616.30999999999995</v>
      </c>
      <c r="R2233" s="8">
        <v>616.30999999999995</v>
      </c>
      <c r="S2233" s="9" t="s">
        <v>619</v>
      </c>
    </row>
    <row r="2234" spans="1:19" hidden="1" x14ac:dyDescent="0.25">
      <c r="A2234" t="s">
        <v>134</v>
      </c>
      <c r="B2234" t="s">
        <v>76</v>
      </c>
      <c r="C2234" t="s">
        <v>128</v>
      </c>
      <c r="D2234" t="s">
        <v>532</v>
      </c>
      <c r="E2234" t="s">
        <v>90</v>
      </c>
      <c r="F2234" t="s">
        <v>91</v>
      </c>
      <c r="G2234">
        <v>1</v>
      </c>
      <c r="H2234">
        <v>13</v>
      </c>
      <c r="I2234">
        <v>15</v>
      </c>
      <c r="J2234">
        <v>13</v>
      </c>
      <c r="K2234" s="6">
        <v>100</v>
      </c>
      <c r="L2234" s="6">
        <v>0</v>
      </c>
      <c r="M2234" s="6">
        <v>102.24</v>
      </c>
      <c r="N2234">
        <v>2.2400000000000002</v>
      </c>
      <c r="O2234" s="6">
        <v>0</v>
      </c>
      <c r="P2234">
        <v>2</v>
      </c>
      <c r="Q2234" s="8">
        <v>616.30999999999995</v>
      </c>
      <c r="R2234" s="8">
        <v>616.30999999999995</v>
      </c>
      <c r="S2234" s="10" t="s">
        <v>612</v>
      </c>
    </row>
    <row r="2235" spans="1:19" hidden="1" x14ac:dyDescent="0.25">
      <c r="A2235" t="s">
        <v>134</v>
      </c>
      <c r="B2235" t="s">
        <v>76</v>
      </c>
      <c r="C2235" t="s">
        <v>128</v>
      </c>
      <c r="D2235" t="s">
        <v>532</v>
      </c>
      <c r="E2235" t="s">
        <v>90</v>
      </c>
      <c r="F2235" t="s">
        <v>94</v>
      </c>
      <c r="G2235">
        <v>2</v>
      </c>
      <c r="H2235">
        <v>13</v>
      </c>
      <c r="I2235">
        <v>13</v>
      </c>
      <c r="J2235">
        <v>13</v>
      </c>
      <c r="K2235" s="6">
        <v>99.43</v>
      </c>
      <c r="L2235" s="6">
        <v>0</v>
      </c>
      <c r="M2235" s="6">
        <v>99.43</v>
      </c>
      <c r="N2235">
        <v>0</v>
      </c>
      <c r="O2235" s="6">
        <v>0</v>
      </c>
      <c r="P2235">
        <v>0</v>
      </c>
      <c r="Q2235" s="8">
        <v>616.30999999999995</v>
      </c>
      <c r="R2235" s="8">
        <v>612.79999999999995</v>
      </c>
      <c r="S2235" s="10" t="s">
        <v>612</v>
      </c>
    </row>
    <row r="2236" spans="1:19" hidden="1" x14ac:dyDescent="0.25">
      <c r="A2236" t="s">
        <v>134</v>
      </c>
      <c r="B2236" t="s">
        <v>76</v>
      </c>
      <c r="C2236" t="s">
        <v>128</v>
      </c>
      <c r="D2236" t="s">
        <v>532</v>
      </c>
      <c r="E2236" t="s">
        <v>90</v>
      </c>
      <c r="F2236" t="s">
        <v>96</v>
      </c>
      <c r="G2236">
        <v>6</v>
      </c>
      <c r="H2236">
        <v>13</v>
      </c>
      <c r="I2236">
        <v>13</v>
      </c>
      <c r="J2236">
        <v>13</v>
      </c>
      <c r="K2236" s="6">
        <v>99.43</v>
      </c>
      <c r="L2236" s="6">
        <v>0</v>
      </c>
      <c r="M2236" s="6">
        <v>99.43</v>
      </c>
      <c r="N2236">
        <v>0</v>
      </c>
      <c r="O2236" s="6">
        <v>0</v>
      </c>
      <c r="P2236">
        <v>0</v>
      </c>
      <c r="Q2236" s="8">
        <v>616.30999999999995</v>
      </c>
      <c r="R2236" s="8">
        <v>612.79999999999995</v>
      </c>
      <c r="S2236" s="10" t="s">
        <v>612</v>
      </c>
    </row>
    <row r="2237" spans="1:19" hidden="1" x14ac:dyDescent="0.25">
      <c r="A2237" t="s">
        <v>134</v>
      </c>
      <c r="B2237" t="s">
        <v>76</v>
      </c>
      <c r="C2237" t="s">
        <v>128</v>
      </c>
      <c r="D2237" t="s">
        <v>532</v>
      </c>
      <c r="E2237" t="s">
        <v>90</v>
      </c>
      <c r="F2237" t="s">
        <v>6</v>
      </c>
      <c r="G2237">
        <v>13</v>
      </c>
      <c r="H2237">
        <v>13</v>
      </c>
      <c r="I2237">
        <v>12</v>
      </c>
      <c r="J2237">
        <v>12</v>
      </c>
      <c r="K2237" s="6">
        <v>96.94</v>
      </c>
      <c r="L2237" s="6">
        <v>-3.21</v>
      </c>
      <c r="M2237" s="6">
        <v>97.81</v>
      </c>
      <c r="N2237">
        <v>0.87</v>
      </c>
      <c r="O2237" s="6">
        <v>7.7</v>
      </c>
      <c r="P2237">
        <v>0</v>
      </c>
      <c r="Q2237" s="8">
        <v>621.85</v>
      </c>
      <c r="R2237" s="8">
        <v>602.82000000000005</v>
      </c>
      <c r="S2237" s="10" t="s">
        <v>587</v>
      </c>
    </row>
    <row r="2238" spans="1:19" hidden="1" x14ac:dyDescent="0.25">
      <c r="A2238" t="s">
        <v>134</v>
      </c>
      <c r="B2238" t="s">
        <v>76</v>
      </c>
      <c r="C2238" t="s">
        <v>128</v>
      </c>
      <c r="D2238" t="s">
        <v>533</v>
      </c>
      <c r="E2238" t="s">
        <v>94</v>
      </c>
      <c r="F2238" t="s">
        <v>94</v>
      </c>
      <c r="G2238">
        <v>0</v>
      </c>
      <c r="H2238">
        <v>8</v>
      </c>
      <c r="I2238">
        <v>8</v>
      </c>
      <c r="J2238">
        <v>8</v>
      </c>
      <c r="K2238" s="6">
        <v>100</v>
      </c>
      <c r="L2238" s="6">
        <v>0</v>
      </c>
      <c r="M2238" s="6">
        <v>100</v>
      </c>
      <c r="N2238">
        <v>0</v>
      </c>
      <c r="O2238" s="6">
        <v>0</v>
      </c>
      <c r="P2238">
        <v>0</v>
      </c>
      <c r="Q2238" s="8">
        <v>624.9</v>
      </c>
      <c r="R2238" s="8">
        <v>624.9</v>
      </c>
      <c r="S2238" s="9" t="s">
        <v>543</v>
      </c>
    </row>
    <row r="2239" spans="1:19" hidden="1" x14ac:dyDescent="0.25">
      <c r="A2239" t="s">
        <v>134</v>
      </c>
      <c r="B2239" t="s">
        <v>76</v>
      </c>
      <c r="C2239" t="s">
        <v>128</v>
      </c>
      <c r="D2239" t="s">
        <v>533</v>
      </c>
      <c r="E2239" t="s">
        <v>94</v>
      </c>
      <c r="F2239" t="s">
        <v>96</v>
      </c>
      <c r="G2239">
        <v>4</v>
      </c>
      <c r="H2239">
        <v>8</v>
      </c>
      <c r="I2239">
        <v>10</v>
      </c>
      <c r="J2239">
        <v>8</v>
      </c>
      <c r="K2239" s="6">
        <v>100</v>
      </c>
      <c r="L2239" s="6">
        <v>0</v>
      </c>
      <c r="M2239" s="6">
        <v>106.01</v>
      </c>
      <c r="N2239">
        <v>6.01</v>
      </c>
      <c r="O2239" s="6">
        <v>0</v>
      </c>
      <c r="P2239">
        <v>2</v>
      </c>
      <c r="Q2239" s="8">
        <v>624.9</v>
      </c>
      <c r="R2239" s="8">
        <v>624.9</v>
      </c>
      <c r="S2239" s="9" t="s">
        <v>544</v>
      </c>
    </row>
    <row r="2240" spans="1:19" hidden="1" x14ac:dyDescent="0.25">
      <c r="A2240" t="s">
        <v>134</v>
      </c>
      <c r="B2240" t="s">
        <v>76</v>
      </c>
      <c r="C2240" t="s">
        <v>128</v>
      </c>
      <c r="D2240" t="s">
        <v>533</v>
      </c>
      <c r="E2240" t="s">
        <v>94</v>
      </c>
      <c r="F2240" t="s">
        <v>6</v>
      </c>
      <c r="G2240">
        <v>11</v>
      </c>
      <c r="H2240">
        <v>8</v>
      </c>
      <c r="I2240">
        <v>9</v>
      </c>
      <c r="J2240">
        <v>7</v>
      </c>
      <c r="K2240" s="6">
        <v>99.76</v>
      </c>
      <c r="L2240" s="6">
        <v>0</v>
      </c>
      <c r="M2240" s="6">
        <v>109.32</v>
      </c>
      <c r="N2240">
        <v>9.56</v>
      </c>
      <c r="O2240" s="6">
        <v>12.5</v>
      </c>
      <c r="P2240">
        <v>2</v>
      </c>
      <c r="Q2240" s="8">
        <v>647.66999999999996</v>
      </c>
      <c r="R2240" s="8">
        <v>646.11</v>
      </c>
      <c r="S2240" s="9" t="s">
        <v>550</v>
      </c>
    </row>
    <row r="2241" spans="1:19" hidden="1" x14ac:dyDescent="0.25">
      <c r="A2241" t="s">
        <v>134</v>
      </c>
      <c r="B2241" t="s">
        <v>76</v>
      </c>
      <c r="C2241" t="s">
        <v>128</v>
      </c>
      <c r="D2241" t="s">
        <v>545</v>
      </c>
      <c r="E2241" t="s">
        <v>94</v>
      </c>
      <c r="F2241" t="s">
        <v>94</v>
      </c>
      <c r="G2241">
        <v>0</v>
      </c>
      <c r="H2241">
        <v>12</v>
      </c>
      <c r="I2241">
        <v>12</v>
      </c>
      <c r="J2241">
        <v>12</v>
      </c>
      <c r="K2241" s="6">
        <v>100</v>
      </c>
      <c r="L2241" s="6">
        <v>0</v>
      </c>
      <c r="M2241" s="6">
        <v>100</v>
      </c>
      <c r="N2241">
        <v>0</v>
      </c>
      <c r="O2241" s="6">
        <v>0</v>
      </c>
      <c r="P2241">
        <v>0</v>
      </c>
      <c r="Q2241" s="8">
        <v>669.04</v>
      </c>
      <c r="R2241" s="8">
        <v>669.04</v>
      </c>
      <c r="S2241" s="9" t="s">
        <v>586</v>
      </c>
    </row>
    <row r="2242" spans="1:19" hidden="1" x14ac:dyDescent="0.25">
      <c r="A2242" t="s">
        <v>134</v>
      </c>
      <c r="B2242" t="s">
        <v>76</v>
      </c>
      <c r="C2242" t="s">
        <v>128</v>
      </c>
      <c r="D2242" t="s">
        <v>545</v>
      </c>
      <c r="E2242" t="s">
        <v>94</v>
      </c>
      <c r="F2242" t="s">
        <v>96</v>
      </c>
      <c r="G2242">
        <v>4</v>
      </c>
      <c r="H2242">
        <v>12</v>
      </c>
      <c r="I2242">
        <v>12</v>
      </c>
      <c r="J2242">
        <v>12</v>
      </c>
      <c r="K2242" s="6">
        <v>100</v>
      </c>
      <c r="L2242" s="6">
        <v>0</v>
      </c>
      <c r="M2242" s="6">
        <v>100</v>
      </c>
      <c r="N2242">
        <v>0</v>
      </c>
      <c r="O2242" s="6">
        <v>0</v>
      </c>
      <c r="P2242">
        <v>0</v>
      </c>
      <c r="Q2242" s="8">
        <v>669.04</v>
      </c>
      <c r="R2242" s="8">
        <v>669.04</v>
      </c>
      <c r="S2242" s="10" t="s">
        <v>587</v>
      </c>
    </row>
    <row r="2243" spans="1:19" hidden="1" x14ac:dyDescent="0.25">
      <c r="A2243" t="s">
        <v>134</v>
      </c>
      <c r="B2243" t="s">
        <v>76</v>
      </c>
      <c r="C2243" t="s">
        <v>128</v>
      </c>
      <c r="D2243" t="s">
        <v>545</v>
      </c>
      <c r="E2243" t="s">
        <v>94</v>
      </c>
      <c r="F2243" t="s">
        <v>6</v>
      </c>
      <c r="G2243">
        <v>11</v>
      </c>
      <c r="H2243">
        <v>12</v>
      </c>
      <c r="I2243">
        <v>12</v>
      </c>
      <c r="J2243">
        <v>12</v>
      </c>
      <c r="K2243" s="6">
        <v>100</v>
      </c>
      <c r="L2243" s="6">
        <v>0</v>
      </c>
      <c r="M2243" s="6">
        <v>100</v>
      </c>
      <c r="N2243">
        <v>0</v>
      </c>
      <c r="O2243" s="6">
        <v>0</v>
      </c>
      <c r="P2243">
        <v>0</v>
      </c>
      <c r="Q2243" s="8">
        <v>669.04</v>
      </c>
      <c r="R2243" s="8">
        <v>669.04</v>
      </c>
      <c r="S2243" s="10" t="s">
        <v>587</v>
      </c>
    </row>
    <row r="2244" spans="1:19" hidden="1" x14ac:dyDescent="0.25">
      <c r="A2244" t="s">
        <v>134</v>
      </c>
      <c r="B2244" t="s">
        <v>76</v>
      </c>
      <c r="C2244" t="s">
        <v>128</v>
      </c>
      <c r="D2244" t="s">
        <v>570</v>
      </c>
      <c r="E2244" t="s">
        <v>94</v>
      </c>
      <c r="F2244" t="s">
        <v>94</v>
      </c>
      <c r="G2244">
        <v>0</v>
      </c>
      <c r="H2244">
        <v>2</v>
      </c>
      <c r="I2244">
        <v>2</v>
      </c>
      <c r="J2244">
        <v>2</v>
      </c>
      <c r="K2244" s="6">
        <v>100</v>
      </c>
      <c r="L2244" s="6">
        <v>0</v>
      </c>
      <c r="M2244" s="6">
        <v>100</v>
      </c>
      <c r="N2244">
        <v>0</v>
      </c>
      <c r="O2244" s="6">
        <v>0</v>
      </c>
      <c r="P2244">
        <v>0</v>
      </c>
      <c r="Q2244" s="8">
        <v>447.17</v>
      </c>
      <c r="R2244" s="8">
        <v>447.17</v>
      </c>
      <c r="S2244" s="9" t="s">
        <v>536</v>
      </c>
    </row>
    <row r="2245" spans="1:19" hidden="1" x14ac:dyDescent="0.25">
      <c r="A2245" t="s">
        <v>134</v>
      </c>
      <c r="B2245" t="s">
        <v>76</v>
      </c>
      <c r="C2245" t="s">
        <v>128</v>
      </c>
      <c r="D2245" t="s">
        <v>570</v>
      </c>
      <c r="E2245" t="s">
        <v>94</v>
      </c>
      <c r="F2245" t="s">
        <v>96</v>
      </c>
      <c r="G2245">
        <v>4</v>
      </c>
      <c r="H2245">
        <v>2</v>
      </c>
      <c r="I2245">
        <v>2</v>
      </c>
      <c r="J2245">
        <v>2</v>
      </c>
      <c r="K2245" s="6">
        <v>100</v>
      </c>
      <c r="L2245" s="6">
        <v>0</v>
      </c>
      <c r="M2245" s="6">
        <v>100</v>
      </c>
      <c r="N2245">
        <v>0</v>
      </c>
      <c r="O2245" s="6">
        <v>0</v>
      </c>
      <c r="P2245">
        <v>0</v>
      </c>
      <c r="Q2245" s="8">
        <v>447.17</v>
      </c>
      <c r="R2245" s="8">
        <v>447.17</v>
      </c>
      <c r="S2245" s="9" t="s">
        <v>537</v>
      </c>
    </row>
    <row r="2246" spans="1:19" hidden="1" x14ac:dyDescent="0.25">
      <c r="A2246" t="s">
        <v>134</v>
      </c>
      <c r="B2246" t="s">
        <v>76</v>
      </c>
      <c r="C2246" t="s">
        <v>128</v>
      </c>
      <c r="D2246" t="s">
        <v>570</v>
      </c>
      <c r="E2246" t="s">
        <v>94</v>
      </c>
      <c r="F2246" t="s">
        <v>6</v>
      </c>
      <c r="G2246">
        <v>11</v>
      </c>
      <c r="H2246">
        <v>2</v>
      </c>
      <c r="I2246">
        <v>2</v>
      </c>
      <c r="J2246">
        <v>2</v>
      </c>
      <c r="K2246" s="6">
        <v>100</v>
      </c>
      <c r="L2246" s="6">
        <v>0</v>
      </c>
      <c r="M2246" s="6">
        <v>100</v>
      </c>
      <c r="N2246">
        <v>0</v>
      </c>
      <c r="O2246" s="6">
        <v>0</v>
      </c>
      <c r="P2246">
        <v>0</v>
      </c>
      <c r="Q2246" s="8">
        <v>447.17</v>
      </c>
      <c r="R2246" s="8">
        <v>447.17</v>
      </c>
      <c r="S2246" s="9" t="s">
        <v>537</v>
      </c>
    </row>
    <row r="2247" spans="1:19" hidden="1" x14ac:dyDescent="0.25">
      <c r="A2247" t="s">
        <v>134</v>
      </c>
      <c r="B2247" t="s">
        <v>76</v>
      </c>
      <c r="C2247" t="s">
        <v>128</v>
      </c>
      <c r="D2247" t="s">
        <v>578</v>
      </c>
      <c r="E2247" t="s">
        <v>94</v>
      </c>
      <c r="F2247" t="s">
        <v>94</v>
      </c>
      <c r="G2247">
        <v>0</v>
      </c>
      <c r="H2247">
        <v>1</v>
      </c>
      <c r="I2247">
        <v>1</v>
      </c>
      <c r="J2247">
        <v>1</v>
      </c>
      <c r="K2247" s="6">
        <v>100</v>
      </c>
      <c r="L2247" s="6">
        <v>0</v>
      </c>
      <c r="M2247" s="6">
        <v>100</v>
      </c>
      <c r="N2247">
        <v>0</v>
      </c>
      <c r="O2247" s="6">
        <v>0</v>
      </c>
      <c r="P2247">
        <v>0</v>
      </c>
      <c r="Q2247" s="8">
        <v>425.36</v>
      </c>
      <c r="R2247" s="8">
        <v>425.36</v>
      </c>
      <c r="S2247" s="9" t="s">
        <v>540</v>
      </c>
    </row>
    <row r="2248" spans="1:19" hidden="1" x14ac:dyDescent="0.25">
      <c r="A2248" t="s">
        <v>134</v>
      </c>
      <c r="B2248" t="s">
        <v>76</v>
      </c>
      <c r="C2248" t="s">
        <v>128</v>
      </c>
      <c r="D2248" t="s">
        <v>578</v>
      </c>
      <c r="E2248" t="s">
        <v>94</v>
      </c>
      <c r="F2248" t="s">
        <v>96</v>
      </c>
      <c r="G2248">
        <v>4</v>
      </c>
      <c r="H2248">
        <v>1</v>
      </c>
      <c r="I2248">
        <v>1</v>
      </c>
      <c r="J2248">
        <v>1</v>
      </c>
      <c r="K2248" s="6">
        <v>100</v>
      </c>
      <c r="L2248" s="6">
        <v>0</v>
      </c>
      <c r="M2248" s="6">
        <v>100</v>
      </c>
      <c r="N2248">
        <v>0</v>
      </c>
      <c r="O2248" s="6">
        <v>0</v>
      </c>
      <c r="P2248">
        <v>0</v>
      </c>
      <c r="Q2248" s="8">
        <v>425.36</v>
      </c>
      <c r="R2248" s="8">
        <v>425.36</v>
      </c>
      <c r="S2248" s="9" t="s">
        <v>541</v>
      </c>
    </row>
    <row r="2249" spans="1:19" hidden="1" x14ac:dyDescent="0.25">
      <c r="A2249" t="s">
        <v>134</v>
      </c>
      <c r="B2249" t="s">
        <v>76</v>
      </c>
      <c r="C2249" t="s">
        <v>128</v>
      </c>
      <c r="D2249" t="s">
        <v>578</v>
      </c>
      <c r="E2249" t="s">
        <v>94</v>
      </c>
      <c r="F2249" t="s">
        <v>6</v>
      </c>
      <c r="G2249">
        <v>11</v>
      </c>
      <c r="H2249">
        <v>1</v>
      </c>
      <c r="I2249">
        <v>1</v>
      </c>
      <c r="J2249">
        <v>1</v>
      </c>
      <c r="K2249" s="6">
        <v>100</v>
      </c>
      <c r="L2249" s="6">
        <v>0</v>
      </c>
      <c r="M2249" s="6">
        <v>100</v>
      </c>
      <c r="N2249">
        <v>0</v>
      </c>
      <c r="O2249" s="6">
        <v>0</v>
      </c>
      <c r="P2249">
        <v>0</v>
      </c>
      <c r="Q2249" s="8">
        <v>425.36</v>
      </c>
      <c r="R2249" s="8">
        <v>425.36</v>
      </c>
      <c r="S2249" s="9" t="s">
        <v>541</v>
      </c>
    </row>
    <row r="2250" spans="1:19" hidden="1" x14ac:dyDescent="0.25">
      <c r="A2250" t="s">
        <v>134</v>
      </c>
      <c r="B2250" t="s">
        <v>76</v>
      </c>
      <c r="C2250" t="s">
        <v>128</v>
      </c>
      <c r="D2250" t="s">
        <v>580</v>
      </c>
      <c r="E2250" t="s">
        <v>94</v>
      </c>
      <c r="F2250" t="s">
        <v>94</v>
      </c>
      <c r="G2250">
        <v>0</v>
      </c>
      <c r="H2250">
        <v>9</v>
      </c>
      <c r="I2250">
        <v>9</v>
      </c>
      <c r="J2250">
        <v>9</v>
      </c>
      <c r="K2250" s="6">
        <v>100</v>
      </c>
      <c r="L2250" s="6">
        <v>0</v>
      </c>
      <c r="M2250" s="6">
        <v>100</v>
      </c>
      <c r="N2250">
        <v>0</v>
      </c>
      <c r="O2250" s="6">
        <v>0</v>
      </c>
      <c r="P2250">
        <v>0</v>
      </c>
      <c r="Q2250" s="8">
        <v>649.51</v>
      </c>
      <c r="R2250" s="8">
        <v>649.51</v>
      </c>
      <c r="S2250" s="9" t="s">
        <v>546</v>
      </c>
    </row>
    <row r="2251" spans="1:19" hidden="1" x14ac:dyDescent="0.25">
      <c r="A2251" t="s">
        <v>134</v>
      </c>
      <c r="B2251" t="s">
        <v>76</v>
      </c>
      <c r="C2251" t="s">
        <v>128</v>
      </c>
      <c r="D2251" t="s">
        <v>580</v>
      </c>
      <c r="E2251" t="s">
        <v>94</v>
      </c>
      <c r="F2251" t="s">
        <v>96</v>
      </c>
      <c r="G2251">
        <v>4</v>
      </c>
      <c r="H2251">
        <v>9</v>
      </c>
      <c r="I2251">
        <v>9</v>
      </c>
      <c r="J2251">
        <v>9</v>
      </c>
      <c r="K2251" s="6">
        <v>100</v>
      </c>
      <c r="L2251" s="6">
        <v>0</v>
      </c>
      <c r="M2251" s="6">
        <v>100</v>
      </c>
      <c r="N2251">
        <v>0</v>
      </c>
      <c r="O2251" s="6">
        <v>0</v>
      </c>
      <c r="P2251">
        <v>0</v>
      </c>
      <c r="Q2251" s="8">
        <v>649.51</v>
      </c>
      <c r="R2251" s="8">
        <v>649.51</v>
      </c>
      <c r="S2251" s="9" t="s">
        <v>547</v>
      </c>
    </row>
    <row r="2252" spans="1:19" hidden="1" x14ac:dyDescent="0.25">
      <c r="A2252" t="s">
        <v>134</v>
      </c>
      <c r="B2252" t="s">
        <v>76</v>
      </c>
      <c r="C2252" t="s">
        <v>128</v>
      </c>
      <c r="D2252" t="s">
        <v>580</v>
      </c>
      <c r="E2252" t="s">
        <v>94</v>
      </c>
      <c r="F2252" t="s">
        <v>6</v>
      </c>
      <c r="G2252">
        <v>11</v>
      </c>
      <c r="H2252">
        <v>9</v>
      </c>
      <c r="I2252">
        <v>9</v>
      </c>
      <c r="J2252">
        <v>9</v>
      </c>
      <c r="K2252" s="6">
        <v>104.32</v>
      </c>
      <c r="L2252" s="6">
        <v>4.3499999999999996</v>
      </c>
      <c r="M2252" s="6">
        <v>104.32</v>
      </c>
      <c r="N2252">
        <v>0</v>
      </c>
      <c r="O2252" s="6">
        <v>0</v>
      </c>
      <c r="P2252">
        <v>0</v>
      </c>
      <c r="Q2252" s="8">
        <v>649.51</v>
      </c>
      <c r="R2252" s="8">
        <v>677.53</v>
      </c>
      <c r="S2252" s="9" t="s">
        <v>547</v>
      </c>
    </row>
    <row r="2253" spans="1:19" hidden="1" x14ac:dyDescent="0.25">
      <c r="A2253" t="s">
        <v>134</v>
      </c>
      <c r="B2253" t="s">
        <v>76</v>
      </c>
      <c r="C2253" t="s">
        <v>128</v>
      </c>
      <c r="D2253" t="s">
        <v>582</v>
      </c>
      <c r="E2253" t="s">
        <v>94</v>
      </c>
      <c r="F2253" t="s">
        <v>94</v>
      </c>
      <c r="G2253">
        <v>0</v>
      </c>
      <c r="H2253">
        <v>19</v>
      </c>
      <c r="I2253">
        <v>19</v>
      </c>
      <c r="J2253">
        <v>19</v>
      </c>
      <c r="K2253" s="6">
        <v>100</v>
      </c>
      <c r="L2253" s="6">
        <v>0</v>
      </c>
      <c r="M2253" s="6">
        <v>100</v>
      </c>
      <c r="N2253">
        <v>0</v>
      </c>
      <c r="O2253" s="6">
        <v>0</v>
      </c>
      <c r="P2253">
        <v>0</v>
      </c>
      <c r="Q2253" s="8">
        <v>629.84</v>
      </c>
      <c r="R2253" s="8">
        <v>629.84</v>
      </c>
      <c r="S2253" s="9" t="s">
        <v>613</v>
      </c>
    </row>
    <row r="2254" spans="1:19" hidden="1" x14ac:dyDescent="0.25">
      <c r="A2254" t="s">
        <v>134</v>
      </c>
      <c r="B2254" t="s">
        <v>76</v>
      </c>
      <c r="C2254" t="s">
        <v>128</v>
      </c>
      <c r="D2254" t="s">
        <v>582</v>
      </c>
      <c r="E2254" t="s">
        <v>94</v>
      </c>
      <c r="F2254" t="s">
        <v>96</v>
      </c>
      <c r="G2254">
        <v>4</v>
      </c>
      <c r="H2254">
        <v>19</v>
      </c>
      <c r="I2254">
        <v>19</v>
      </c>
      <c r="J2254">
        <v>19</v>
      </c>
      <c r="K2254" s="6">
        <v>100</v>
      </c>
      <c r="L2254" s="6">
        <v>0</v>
      </c>
      <c r="M2254" s="6">
        <v>100</v>
      </c>
      <c r="N2254">
        <v>0</v>
      </c>
      <c r="O2254" s="6">
        <v>0</v>
      </c>
      <c r="P2254">
        <v>0</v>
      </c>
      <c r="Q2254" s="8">
        <v>629.84</v>
      </c>
      <c r="R2254" s="8">
        <v>629.84</v>
      </c>
      <c r="S2254" s="10" t="s">
        <v>647</v>
      </c>
    </row>
    <row r="2255" spans="1:19" hidden="1" x14ac:dyDescent="0.25">
      <c r="A2255" t="s">
        <v>134</v>
      </c>
      <c r="B2255" t="s">
        <v>76</v>
      </c>
      <c r="C2255" t="s">
        <v>128</v>
      </c>
      <c r="D2255" t="s">
        <v>582</v>
      </c>
      <c r="E2255" t="s">
        <v>94</v>
      </c>
      <c r="F2255" t="s">
        <v>6</v>
      </c>
      <c r="G2255">
        <v>11</v>
      </c>
      <c r="H2255">
        <v>19</v>
      </c>
      <c r="I2255">
        <v>19</v>
      </c>
      <c r="J2255">
        <v>19</v>
      </c>
      <c r="K2255" s="6">
        <v>104.76</v>
      </c>
      <c r="L2255" s="6">
        <v>5.05</v>
      </c>
      <c r="M2255" s="6">
        <v>104.76</v>
      </c>
      <c r="N2255">
        <v>0</v>
      </c>
      <c r="O2255" s="6">
        <v>0</v>
      </c>
      <c r="P2255">
        <v>0</v>
      </c>
      <c r="Q2255" s="8">
        <v>629.84</v>
      </c>
      <c r="R2255" s="8">
        <v>659.84</v>
      </c>
      <c r="S2255" s="10" t="s">
        <v>647</v>
      </c>
    </row>
    <row r="2256" spans="1:19" hidden="1" x14ac:dyDescent="0.25">
      <c r="A2256" t="s">
        <v>134</v>
      </c>
      <c r="B2256" t="s">
        <v>76</v>
      </c>
      <c r="C2256" t="s">
        <v>128</v>
      </c>
      <c r="D2256" t="s">
        <v>583</v>
      </c>
      <c r="E2256" t="s">
        <v>94</v>
      </c>
      <c r="F2256" t="s">
        <v>94</v>
      </c>
      <c r="G2256">
        <v>0</v>
      </c>
      <c r="H2256">
        <v>21</v>
      </c>
      <c r="I2256">
        <v>21</v>
      </c>
      <c r="J2256">
        <v>21</v>
      </c>
      <c r="K2256" s="6">
        <v>100</v>
      </c>
      <c r="L2256" s="6">
        <v>0</v>
      </c>
      <c r="M2256" s="6">
        <v>100</v>
      </c>
      <c r="N2256">
        <v>0</v>
      </c>
      <c r="O2256" s="6">
        <v>0</v>
      </c>
      <c r="P2256">
        <v>0</v>
      </c>
      <c r="Q2256" s="8">
        <v>689.12</v>
      </c>
      <c r="R2256" s="8">
        <v>689.12</v>
      </c>
      <c r="S2256" s="9" t="s">
        <v>624</v>
      </c>
    </row>
    <row r="2257" spans="1:19" hidden="1" x14ac:dyDescent="0.25">
      <c r="A2257" t="s">
        <v>134</v>
      </c>
      <c r="B2257" t="s">
        <v>76</v>
      </c>
      <c r="C2257" t="s">
        <v>128</v>
      </c>
      <c r="D2257" t="s">
        <v>583</v>
      </c>
      <c r="E2257" t="s">
        <v>94</v>
      </c>
      <c r="F2257" t="s">
        <v>96</v>
      </c>
      <c r="G2257">
        <v>4</v>
      </c>
      <c r="H2257">
        <v>21</v>
      </c>
      <c r="I2257">
        <v>21</v>
      </c>
      <c r="J2257">
        <v>21</v>
      </c>
      <c r="K2257" s="6">
        <v>100</v>
      </c>
      <c r="L2257" s="6">
        <v>0</v>
      </c>
      <c r="M2257" s="6">
        <v>100</v>
      </c>
      <c r="N2257">
        <v>0</v>
      </c>
      <c r="O2257" s="6">
        <v>0</v>
      </c>
      <c r="P2257">
        <v>0</v>
      </c>
      <c r="Q2257" s="8">
        <v>689.12</v>
      </c>
      <c r="R2257" s="8">
        <v>689.12</v>
      </c>
      <c r="S2257" s="10" t="s">
        <v>625</v>
      </c>
    </row>
    <row r="2258" spans="1:19" hidden="1" x14ac:dyDescent="0.25">
      <c r="A2258" t="s">
        <v>134</v>
      </c>
      <c r="B2258" t="s">
        <v>76</v>
      </c>
      <c r="C2258" t="s">
        <v>128</v>
      </c>
      <c r="D2258" t="s">
        <v>583</v>
      </c>
      <c r="E2258" t="s">
        <v>94</v>
      </c>
      <c r="F2258" t="s">
        <v>6</v>
      </c>
      <c r="G2258">
        <v>11</v>
      </c>
      <c r="H2258">
        <v>21</v>
      </c>
      <c r="I2258">
        <v>21</v>
      </c>
      <c r="J2258">
        <v>21</v>
      </c>
      <c r="K2258" s="6">
        <v>104.39</v>
      </c>
      <c r="L2258" s="6">
        <v>4.3600000000000003</v>
      </c>
      <c r="M2258" s="6">
        <v>104.39</v>
      </c>
      <c r="N2258">
        <v>0</v>
      </c>
      <c r="O2258" s="6">
        <v>0</v>
      </c>
      <c r="P2258">
        <v>0</v>
      </c>
      <c r="Q2258" s="8">
        <v>689.12</v>
      </c>
      <c r="R2258" s="8">
        <v>719.39</v>
      </c>
      <c r="S2258" s="10" t="s">
        <v>625</v>
      </c>
    </row>
    <row r="2259" spans="1:19" hidden="1" x14ac:dyDescent="0.25">
      <c r="A2259" t="s">
        <v>134</v>
      </c>
      <c r="B2259" t="s">
        <v>76</v>
      </c>
      <c r="C2259" t="s">
        <v>128</v>
      </c>
      <c r="D2259" t="s">
        <v>585</v>
      </c>
      <c r="E2259" t="s">
        <v>94</v>
      </c>
      <c r="F2259" t="s">
        <v>94</v>
      </c>
      <c r="G2259">
        <v>0</v>
      </c>
      <c r="H2259">
        <v>22</v>
      </c>
      <c r="I2259">
        <v>22</v>
      </c>
      <c r="J2259">
        <v>22</v>
      </c>
      <c r="K2259" s="6">
        <v>100</v>
      </c>
      <c r="L2259" s="6">
        <v>0</v>
      </c>
      <c r="M2259" s="6">
        <v>100</v>
      </c>
      <c r="N2259">
        <v>0</v>
      </c>
      <c r="O2259" s="6">
        <v>0</v>
      </c>
      <c r="P2259">
        <v>0</v>
      </c>
      <c r="Q2259" s="8">
        <v>676.9</v>
      </c>
      <c r="R2259" s="8">
        <v>676.9</v>
      </c>
      <c r="S2259" s="9" t="s">
        <v>614</v>
      </c>
    </row>
    <row r="2260" spans="1:19" hidden="1" x14ac:dyDescent="0.25">
      <c r="A2260" t="s">
        <v>134</v>
      </c>
      <c r="B2260" t="s">
        <v>76</v>
      </c>
      <c r="C2260" t="s">
        <v>128</v>
      </c>
      <c r="D2260" t="s">
        <v>585</v>
      </c>
      <c r="E2260" t="s">
        <v>94</v>
      </c>
      <c r="F2260" t="s">
        <v>96</v>
      </c>
      <c r="G2260">
        <v>4</v>
      </c>
      <c r="H2260">
        <v>22</v>
      </c>
      <c r="I2260">
        <v>22</v>
      </c>
      <c r="J2260">
        <v>22</v>
      </c>
      <c r="K2260" s="6">
        <v>100</v>
      </c>
      <c r="L2260" s="6">
        <v>0</v>
      </c>
      <c r="M2260" s="6">
        <v>100</v>
      </c>
      <c r="N2260">
        <v>0</v>
      </c>
      <c r="O2260" s="6">
        <v>0</v>
      </c>
      <c r="P2260">
        <v>0</v>
      </c>
      <c r="Q2260" s="8">
        <v>676.9</v>
      </c>
      <c r="R2260" s="8">
        <v>676.9</v>
      </c>
      <c r="S2260" s="10" t="s">
        <v>485</v>
      </c>
    </row>
    <row r="2261" spans="1:19" hidden="1" x14ac:dyDescent="0.25">
      <c r="A2261" t="s">
        <v>134</v>
      </c>
      <c r="B2261" t="s">
        <v>76</v>
      </c>
      <c r="C2261" t="s">
        <v>128</v>
      </c>
      <c r="D2261" t="s">
        <v>585</v>
      </c>
      <c r="E2261" t="s">
        <v>94</v>
      </c>
      <c r="F2261" t="s">
        <v>6</v>
      </c>
      <c r="G2261">
        <v>11</v>
      </c>
      <c r="H2261">
        <v>22</v>
      </c>
      <c r="I2261">
        <v>22</v>
      </c>
      <c r="J2261">
        <v>22</v>
      </c>
      <c r="K2261" s="6">
        <v>104.33</v>
      </c>
      <c r="L2261" s="6">
        <v>4.28</v>
      </c>
      <c r="M2261" s="6">
        <v>104.33</v>
      </c>
      <c r="N2261">
        <v>0</v>
      </c>
      <c r="O2261" s="6">
        <v>0</v>
      </c>
      <c r="P2261">
        <v>0</v>
      </c>
      <c r="Q2261" s="8">
        <v>676.9</v>
      </c>
      <c r="R2261" s="8">
        <v>706.2</v>
      </c>
      <c r="S2261" s="10" t="s">
        <v>485</v>
      </c>
    </row>
    <row r="2262" spans="1:19" hidden="1" x14ac:dyDescent="0.25">
      <c r="A2262" t="s">
        <v>134</v>
      </c>
      <c r="B2262" t="s">
        <v>76</v>
      </c>
      <c r="C2262" t="s">
        <v>128</v>
      </c>
      <c r="D2262" t="s">
        <v>588</v>
      </c>
      <c r="E2262" t="s">
        <v>94</v>
      </c>
      <c r="F2262" t="s">
        <v>94</v>
      </c>
      <c r="G2262">
        <v>0</v>
      </c>
      <c r="H2262">
        <v>19</v>
      </c>
      <c r="I2262">
        <v>19</v>
      </c>
      <c r="J2262">
        <v>19</v>
      </c>
      <c r="K2262" s="6">
        <v>100</v>
      </c>
      <c r="L2262" s="6">
        <v>0</v>
      </c>
      <c r="M2262" s="6">
        <v>100</v>
      </c>
      <c r="N2262">
        <v>0</v>
      </c>
      <c r="O2262" s="6">
        <v>0</v>
      </c>
      <c r="P2262">
        <v>0</v>
      </c>
      <c r="Q2262" s="8">
        <v>653.87</v>
      </c>
      <c r="R2262" s="8">
        <v>653.87</v>
      </c>
      <c r="S2262" s="9" t="s">
        <v>613</v>
      </c>
    </row>
    <row r="2263" spans="1:19" hidden="1" x14ac:dyDescent="0.25">
      <c r="A2263" t="s">
        <v>134</v>
      </c>
      <c r="B2263" t="s">
        <v>76</v>
      </c>
      <c r="C2263" t="s">
        <v>128</v>
      </c>
      <c r="D2263" t="s">
        <v>588</v>
      </c>
      <c r="E2263" t="s">
        <v>94</v>
      </c>
      <c r="F2263" t="s">
        <v>96</v>
      </c>
      <c r="G2263">
        <v>4</v>
      </c>
      <c r="H2263">
        <v>19</v>
      </c>
      <c r="I2263">
        <v>19</v>
      </c>
      <c r="J2263">
        <v>19</v>
      </c>
      <c r="K2263" s="6">
        <v>100</v>
      </c>
      <c r="L2263" s="6">
        <v>0</v>
      </c>
      <c r="M2263" s="6">
        <v>100</v>
      </c>
      <c r="N2263">
        <v>0</v>
      </c>
      <c r="O2263" s="6">
        <v>0</v>
      </c>
      <c r="P2263">
        <v>0</v>
      </c>
      <c r="Q2263" s="8">
        <v>653.87</v>
      </c>
      <c r="R2263" s="8">
        <v>653.87</v>
      </c>
      <c r="S2263" s="10" t="s">
        <v>647</v>
      </c>
    </row>
    <row r="2264" spans="1:19" hidden="1" x14ac:dyDescent="0.25">
      <c r="A2264" t="s">
        <v>134</v>
      </c>
      <c r="B2264" t="s">
        <v>76</v>
      </c>
      <c r="C2264" t="s">
        <v>128</v>
      </c>
      <c r="D2264" t="s">
        <v>588</v>
      </c>
      <c r="E2264" t="s">
        <v>94</v>
      </c>
      <c r="F2264" t="s">
        <v>6</v>
      </c>
      <c r="G2264">
        <v>11</v>
      </c>
      <c r="H2264">
        <v>19</v>
      </c>
      <c r="I2264">
        <v>19</v>
      </c>
      <c r="J2264">
        <v>19</v>
      </c>
      <c r="K2264" s="6">
        <v>104.56</v>
      </c>
      <c r="L2264" s="6">
        <v>4.57</v>
      </c>
      <c r="M2264" s="6">
        <v>104.56</v>
      </c>
      <c r="N2264">
        <v>0</v>
      </c>
      <c r="O2264" s="6">
        <v>0</v>
      </c>
      <c r="P2264">
        <v>0</v>
      </c>
      <c r="Q2264" s="8">
        <v>653.87</v>
      </c>
      <c r="R2264" s="8">
        <v>683.7</v>
      </c>
      <c r="S2264" s="10" t="s">
        <v>647</v>
      </c>
    </row>
    <row r="2265" spans="1:19" hidden="1" x14ac:dyDescent="0.25">
      <c r="A2265" t="s">
        <v>134</v>
      </c>
      <c r="B2265" t="s">
        <v>76</v>
      </c>
      <c r="C2265" t="s">
        <v>128</v>
      </c>
      <c r="D2265" t="s">
        <v>589</v>
      </c>
      <c r="E2265" t="s">
        <v>94</v>
      </c>
      <c r="F2265" t="s">
        <v>94</v>
      </c>
      <c r="G2265">
        <v>0</v>
      </c>
      <c r="H2265">
        <v>17</v>
      </c>
      <c r="I2265">
        <v>17</v>
      </c>
      <c r="J2265">
        <v>17</v>
      </c>
      <c r="K2265" s="6">
        <v>100</v>
      </c>
      <c r="L2265" s="6">
        <v>0</v>
      </c>
      <c r="M2265" s="6">
        <v>100</v>
      </c>
      <c r="N2265">
        <v>0</v>
      </c>
      <c r="O2265" s="6">
        <v>0</v>
      </c>
      <c r="P2265">
        <v>0</v>
      </c>
      <c r="Q2265" s="8">
        <v>685.61</v>
      </c>
      <c r="R2265" s="8">
        <v>685.61</v>
      </c>
      <c r="S2265" s="9" t="s">
        <v>615</v>
      </c>
    </row>
    <row r="2266" spans="1:19" hidden="1" x14ac:dyDescent="0.25">
      <c r="A2266" t="s">
        <v>134</v>
      </c>
      <c r="B2266" t="s">
        <v>76</v>
      </c>
      <c r="C2266" t="s">
        <v>128</v>
      </c>
      <c r="D2266" t="s">
        <v>589</v>
      </c>
      <c r="E2266" t="s">
        <v>94</v>
      </c>
      <c r="F2266" t="s">
        <v>96</v>
      </c>
      <c r="G2266">
        <v>4</v>
      </c>
      <c r="H2266">
        <v>17</v>
      </c>
      <c r="I2266">
        <v>17</v>
      </c>
      <c r="J2266">
        <v>17</v>
      </c>
      <c r="K2266" s="6">
        <v>100</v>
      </c>
      <c r="L2266" s="6">
        <v>0</v>
      </c>
      <c r="M2266" s="6">
        <v>100</v>
      </c>
      <c r="N2266">
        <v>0</v>
      </c>
      <c r="O2266" s="6">
        <v>0</v>
      </c>
      <c r="P2266">
        <v>0</v>
      </c>
      <c r="Q2266" s="8">
        <v>685.61</v>
      </c>
      <c r="R2266" s="8">
        <v>685.61</v>
      </c>
      <c r="S2266" s="10" t="s">
        <v>623</v>
      </c>
    </row>
    <row r="2267" spans="1:19" hidden="1" x14ac:dyDescent="0.25">
      <c r="A2267" t="s">
        <v>134</v>
      </c>
      <c r="B2267" t="s">
        <v>76</v>
      </c>
      <c r="C2267" t="s">
        <v>128</v>
      </c>
      <c r="D2267" t="s">
        <v>589</v>
      </c>
      <c r="E2267" t="s">
        <v>94</v>
      </c>
      <c r="F2267" t="s">
        <v>6</v>
      </c>
      <c r="G2267">
        <v>11</v>
      </c>
      <c r="H2267">
        <v>17</v>
      </c>
      <c r="I2267">
        <v>17</v>
      </c>
      <c r="J2267">
        <v>17</v>
      </c>
      <c r="K2267" s="6">
        <v>104.48</v>
      </c>
      <c r="L2267" s="6">
        <v>4.46</v>
      </c>
      <c r="M2267" s="6">
        <v>104.48</v>
      </c>
      <c r="N2267">
        <v>0</v>
      </c>
      <c r="O2267" s="6">
        <v>0</v>
      </c>
      <c r="P2267">
        <v>0</v>
      </c>
      <c r="Q2267" s="8">
        <v>685.61</v>
      </c>
      <c r="R2267" s="8">
        <v>716.34</v>
      </c>
      <c r="S2267" s="10" t="s">
        <v>623</v>
      </c>
    </row>
    <row r="2268" spans="1:19" hidden="1" x14ac:dyDescent="0.25">
      <c r="A2268" t="s">
        <v>134</v>
      </c>
      <c r="B2268" t="s">
        <v>76</v>
      </c>
      <c r="C2268" t="s">
        <v>128</v>
      </c>
      <c r="D2268" t="s">
        <v>590</v>
      </c>
      <c r="E2268" t="s">
        <v>94</v>
      </c>
      <c r="F2268" t="s">
        <v>94</v>
      </c>
      <c r="G2268">
        <v>0</v>
      </c>
      <c r="H2268">
        <v>16</v>
      </c>
      <c r="I2268">
        <v>16</v>
      </c>
      <c r="J2268">
        <v>16</v>
      </c>
      <c r="K2268" s="6">
        <v>100</v>
      </c>
      <c r="L2268" s="6">
        <v>0</v>
      </c>
      <c r="M2268" s="6">
        <v>100</v>
      </c>
      <c r="N2268">
        <v>0</v>
      </c>
      <c r="O2268" s="6">
        <v>0</v>
      </c>
      <c r="P2268">
        <v>0</v>
      </c>
      <c r="Q2268" s="8">
        <v>658.18</v>
      </c>
      <c r="R2268" s="8">
        <v>658.18</v>
      </c>
      <c r="S2268" s="9" t="s">
        <v>606</v>
      </c>
    </row>
    <row r="2269" spans="1:19" hidden="1" x14ac:dyDescent="0.25">
      <c r="A2269" t="s">
        <v>134</v>
      </c>
      <c r="B2269" t="s">
        <v>76</v>
      </c>
      <c r="C2269" t="s">
        <v>128</v>
      </c>
      <c r="D2269" t="s">
        <v>590</v>
      </c>
      <c r="E2269" t="s">
        <v>94</v>
      </c>
      <c r="F2269" t="s">
        <v>96</v>
      </c>
      <c r="G2269">
        <v>4</v>
      </c>
      <c r="H2269">
        <v>16</v>
      </c>
      <c r="I2269">
        <v>16</v>
      </c>
      <c r="J2269">
        <v>16</v>
      </c>
      <c r="K2269" s="6">
        <v>100.2</v>
      </c>
      <c r="L2269" s="6">
        <v>0</v>
      </c>
      <c r="M2269" s="6">
        <v>100.2</v>
      </c>
      <c r="N2269">
        <v>0</v>
      </c>
      <c r="O2269" s="6">
        <v>0</v>
      </c>
      <c r="P2269">
        <v>0</v>
      </c>
      <c r="Q2269" s="8">
        <v>658.18</v>
      </c>
      <c r="R2269" s="8">
        <v>659.51</v>
      </c>
      <c r="S2269" s="10" t="s">
        <v>609</v>
      </c>
    </row>
    <row r="2270" spans="1:19" hidden="1" x14ac:dyDescent="0.25">
      <c r="A2270" t="s">
        <v>134</v>
      </c>
      <c r="B2270" t="s">
        <v>76</v>
      </c>
      <c r="C2270" t="s">
        <v>128</v>
      </c>
      <c r="D2270" t="s">
        <v>590</v>
      </c>
      <c r="E2270" t="s">
        <v>94</v>
      </c>
      <c r="F2270" t="s">
        <v>6</v>
      </c>
      <c r="G2270">
        <v>11</v>
      </c>
      <c r="H2270">
        <v>16</v>
      </c>
      <c r="I2270">
        <v>16</v>
      </c>
      <c r="J2270">
        <v>16</v>
      </c>
      <c r="K2270" s="6">
        <v>104.79</v>
      </c>
      <c r="L2270" s="6">
        <v>4.7300000000000004</v>
      </c>
      <c r="M2270" s="6">
        <v>104.79</v>
      </c>
      <c r="N2270">
        <v>0</v>
      </c>
      <c r="O2270" s="6">
        <v>0</v>
      </c>
      <c r="P2270">
        <v>0</v>
      </c>
      <c r="Q2270" s="8">
        <v>658.18</v>
      </c>
      <c r="R2270" s="8">
        <v>689.71</v>
      </c>
      <c r="S2270" s="10" t="s">
        <v>609</v>
      </c>
    </row>
    <row r="2274" spans="2:2" x14ac:dyDescent="0.25">
      <c r="B2274" s="11"/>
    </row>
    <row r="2275" spans="2:2" x14ac:dyDescent="0.25">
      <c r="B2275" s="11"/>
    </row>
    <row r="2276" spans="2:2" x14ac:dyDescent="0.25">
      <c r="B2276" s="11"/>
    </row>
    <row r="2277" spans="2:2" x14ac:dyDescent="0.25">
      <c r="B2277" s="11"/>
    </row>
    <row r="2278" spans="2:2" x14ac:dyDescent="0.25">
      <c r="B2278" s="11"/>
    </row>
    <row r="2279" spans="2:2" x14ac:dyDescent="0.25">
      <c r="B2279" s="11"/>
    </row>
    <row r="2280" spans="2:2" x14ac:dyDescent="0.25">
      <c r="B2280" s="11"/>
    </row>
    <row r="2281" spans="2:2" x14ac:dyDescent="0.25">
      <c r="B2281" s="11"/>
    </row>
    <row r="2282" spans="2:2" x14ac:dyDescent="0.25">
      <c r="B2282" s="11"/>
    </row>
    <row r="2283" spans="2:2" x14ac:dyDescent="0.25">
      <c r="B2283" s="11"/>
    </row>
    <row r="2284" spans="2:2" x14ac:dyDescent="0.25">
      <c r="B2284" s="11"/>
    </row>
    <row r="2285" spans="2:2" x14ac:dyDescent="0.25">
      <c r="B2285" s="11"/>
    </row>
    <row r="2286" spans="2:2" x14ac:dyDescent="0.25">
      <c r="B2286" s="11"/>
    </row>
    <row r="2287" spans="2:2" x14ac:dyDescent="0.25">
      <c r="B2287" s="11"/>
    </row>
    <row r="2288" spans="2:2" x14ac:dyDescent="0.25">
      <c r="B2288" s="11"/>
    </row>
    <row r="2289" spans="2:2" x14ac:dyDescent="0.25">
      <c r="B2289" s="11"/>
    </row>
    <row r="2290" spans="2:2" x14ac:dyDescent="0.25">
      <c r="B2290" s="11"/>
    </row>
    <row r="2291" spans="2:2" x14ac:dyDescent="0.25">
      <c r="B2291" s="11"/>
    </row>
    <row r="2292" spans="2:2" x14ac:dyDescent="0.25">
      <c r="B2292" s="11"/>
    </row>
    <row r="2293" spans="2:2" x14ac:dyDescent="0.25">
      <c r="B2293" s="11"/>
    </row>
    <row r="2294" spans="2:2" x14ac:dyDescent="0.25">
      <c r="B2294" s="11"/>
    </row>
    <row r="2295" spans="2:2" x14ac:dyDescent="0.25">
      <c r="B2295" s="11"/>
    </row>
    <row r="2296" spans="2:2" x14ac:dyDescent="0.25">
      <c r="B2296" s="11"/>
    </row>
    <row r="2297" spans="2:2" x14ac:dyDescent="0.25">
      <c r="B2297" s="11"/>
    </row>
    <row r="2298" spans="2:2" x14ac:dyDescent="0.25">
      <c r="B2298" s="11"/>
    </row>
  </sheetData>
  <autoFilter ref="A18:S2270" xr:uid="{00000000-0009-0000-0000-000008000000}">
    <filterColumn colId="0">
      <filters>
        <filter val="Carnival Cruise Line"/>
      </filters>
    </filterColumn>
    <filterColumn colId="1">
      <filters>
        <filter val="Caribbean"/>
      </filters>
    </filterColumn>
    <filterColumn colId="2">
      <filters>
        <filter val="balcony"/>
      </filters>
    </filterColumn>
    <filterColumn colId="5">
      <filters>
        <filter val="2026-09-28"/>
      </filters>
    </filterColumn>
  </autoFilter>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U60"/>
  <sheetViews>
    <sheetView workbookViewId="0">
      <pane ySplit="16" topLeftCell="A17" activePane="bottomLeft" state="frozen"/>
      <selection pane="bottomLeft" activeCell="C19" sqref="C19"/>
    </sheetView>
  </sheetViews>
  <sheetFormatPr defaultRowHeight="15" x14ac:dyDescent="0.25"/>
  <cols>
    <col min="1" max="1" width="23" customWidth="1"/>
    <col min="2" max="2" width="17" customWidth="1"/>
    <col min="3" max="3" width="16" customWidth="1"/>
    <col min="4" max="5" width="12" customWidth="1"/>
    <col min="6" max="6" width="9" customWidth="1"/>
    <col min="7" max="7" width="15" customWidth="1"/>
    <col min="8" max="8" width="20" customWidth="1"/>
    <col min="9" max="9" width="19" customWidth="1"/>
    <col min="10" max="10" width="20" customWidth="1"/>
    <col min="11" max="11" width="22" customWidth="1"/>
    <col min="12" max="12" width="20" customWidth="1"/>
    <col min="13" max="13" width="16" customWidth="1"/>
    <col min="14" max="15" width="15" customWidth="1"/>
    <col min="16" max="16" width="26" customWidth="1"/>
    <col min="17" max="17" width="25" customWidth="1"/>
    <col min="18" max="18" width="13" customWidth="1"/>
    <col min="19" max="19" width="15" customWidth="1"/>
    <col min="20" max="20" width="14" customWidth="1"/>
    <col min="21" max="21" width="20" customWidth="1"/>
  </cols>
  <sheetData>
    <row r="1" spans="1:21" ht="17.25" x14ac:dyDescent="0.3">
      <c r="A1" s="1" t="s">
        <v>57</v>
      </c>
    </row>
    <row r="2" spans="1:21" x14ac:dyDescent="0.25">
      <c r="A2" s="2" t="s">
        <v>59</v>
      </c>
    </row>
    <row r="3" spans="1:21" x14ac:dyDescent="0.25">
      <c r="A3" s="2" t="s">
        <v>387</v>
      </c>
    </row>
    <row r="4" spans="1:21" x14ac:dyDescent="0.25">
      <c r="A4" s="2" t="s">
        <v>491</v>
      </c>
    </row>
    <row r="6" spans="1:21" x14ac:dyDescent="0.25">
      <c r="A6" s="7" t="s">
        <v>100</v>
      </c>
    </row>
    <row r="7" spans="1:21" x14ac:dyDescent="0.25">
      <c r="A7" s="7" t="s">
        <v>101</v>
      </c>
    </row>
    <row r="8" spans="1:21" x14ac:dyDescent="0.25">
      <c r="A8" s="7" t="s">
        <v>389</v>
      </c>
    </row>
    <row r="9" spans="1:21" x14ac:dyDescent="0.25">
      <c r="A9" s="2" t="s">
        <v>659</v>
      </c>
    </row>
    <row r="10" spans="1:21" x14ac:dyDescent="0.25">
      <c r="A10" s="2" t="s">
        <v>660</v>
      </c>
    </row>
    <row r="11" spans="1:21" x14ac:dyDescent="0.25">
      <c r="A11" s="2" t="s">
        <v>661</v>
      </c>
    </row>
    <row r="12" spans="1:21" x14ac:dyDescent="0.25">
      <c r="A12" s="2" t="s">
        <v>662</v>
      </c>
    </row>
    <row r="13" spans="1:21" x14ac:dyDescent="0.25">
      <c r="A13" s="2" t="s">
        <v>663</v>
      </c>
    </row>
    <row r="14" spans="1:21" x14ac:dyDescent="0.25">
      <c r="A14" s="2" t="s">
        <v>664</v>
      </c>
    </row>
    <row r="16" spans="1:21" x14ac:dyDescent="0.25">
      <c r="A16" s="5" t="s">
        <v>108</v>
      </c>
      <c r="B16" s="5" t="s">
        <v>69</v>
      </c>
      <c r="C16" s="5" t="s">
        <v>109</v>
      </c>
      <c r="D16" s="5" t="s">
        <v>665</v>
      </c>
      <c r="E16" s="5" t="s">
        <v>666</v>
      </c>
      <c r="F16" s="5" t="s">
        <v>667</v>
      </c>
      <c r="G16" s="5" t="s">
        <v>515</v>
      </c>
      <c r="H16" s="5" t="s">
        <v>668</v>
      </c>
      <c r="I16" s="5" t="s">
        <v>669</v>
      </c>
      <c r="J16" s="5" t="s">
        <v>670</v>
      </c>
      <c r="K16" s="5" t="s">
        <v>671</v>
      </c>
      <c r="L16" s="5" t="s">
        <v>672</v>
      </c>
      <c r="M16" s="5" t="s">
        <v>673</v>
      </c>
      <c r="N16" s="5" t="s">
        <v>674</v>
      </c>
      <c r="O16" s="5" t="s">
        <v>521</v>
      </c>
      <c r="P16" s="5" t="s">
        <v>675</v>
      </c>
      <c r="Q16" s="5" t="s">
        <v>676</v>
      </c>
      <c r="R16" s="5" t="s">
        <v>677</v>
      </c>
      <c r="S16" s="5" t="s">
        <v>519</v>
      </c>
      <c r="T16" s="5" t="s">
        <v>70</v>
      </c>
      <c r="U16" s="5" t="s">
        <v>122</v>
      </c>
    </row>
    <row r="17" spans="1:21" x14ac:dyDescent="0.25">
      <c r="A17" t="s">
        <v>123</v>
      </c>
      <c r="B17" t="s">
        <v>79</v>
      </c>
      <c r="C17" t="s">
        <v>124</v>
      </c>
      <c r="D17" t="s">
        <v>90</v>
      </c>
      <c r="E17" t="s">
        <v>6</v>
      </c>
      <c r="F17">
        <v>13</v>
      </c>
      <c r="G17">
        <v>47</v>
      </c>
      <c r="H17" s="6">
        <v>0</v>
      </c>
      <c r="I17" s="6">
        <v>0</v>
      </c>
      <c r="J17" s="6">
        <v>0</v>
      </c>
      <c r="K17" s="6">
        <v>0</v>
      </c>
      <c r="L17">
        <v>0</v>
      </c>
      <c r="M17">
        <v>0</v>
      </c>
      <c r="N17">
        <v>0</v>
      </c>
      <c r="O17">
        <v>6</v>
      </c>
      <c r="P17" s="6">
        <v>0</v>
      </c>
      <c r="Q17" s="6">
        <v>0</v>
      </c>
      <c r="R17">
        <v>0</v>
      </c>
      <c r="S17">
        <v>0</v>
      </c>
      <c r="T17">
        <v>5</v>
      </c>
      <c r="U17" s="9" t="s">
        <v>678</v>
      </c>
    </row>
    <row r="18" spans="1:21" x14ac:dyDescent="0.25">
      <c r="A18" t="s">
        <v>123</v>
      </c>
      <c r="B18" t="s">
        <v>79</v>
      </c>
      <c r="C18" t="s">
        <v>126</v>
      </c>
      <c r="D18" t="s">
        <v>90</v>
      </c>
      <c r="E18" t="s">
        <v>6</v>
      </c>
      <c r="F18">
        <v>13</v>
      </c>
      <c r="G18">
        <v>47</v>
      </c>
      <c r="H18" s="6">
        <v>0</v>
      </c>
      <c r="I18" s="6">
        <v>0</v>
      </c>
      <c r="J18" s="6">
        <v>0</v>
      </c>
      <c r="K18" s="6">
        <v>0</v>
      </c>
      <c r="L18">
        <v>0</v>
      </c>
      <c r="M18">
        <v>0</v>
      </c>
      <c r="N18">
        <v>0</v>
      </c>
      <c r="O18">
        <v>6</v>
      </c>
      <c r="P18" s="6">
        <v>0</v>
      </c>
      <c r="Q18" s="6">
        <v>0</v>
      </c>
      <c r="R18">
        <v>0</v>
      </c>
      <c r="S18">
        <v>0</v>
      </c>
      <c r="T18">
        <v>5</v>
      </c>
      <c r="U18" s="9" t="s">
        <v>678</v>
      </c>
    </row>
    <row r="19" spans="1:21" x14ac:dyDescent="0.25">
      <c r="A19" t="s">
        <v>123</v>
      </c>
      <c r="B19" t="s">
        <v>79</v>
      </c>
      <c r="C19" t="s">
        <v>127</v>
      </c>
      <c r="D19" t="s">
        <v>90</v>
      </c>
      <c r="E19" t="s">
        <v>6</v>
      </c>
      <c r="F19">
        <v>13</v>
      </c>
      <c r="G19">
        <v>47</v>
      </c>
      <c r="H19" s="6">
        <v>0</v>
      </c>
      <c r="I19" s="6">
        <v>0</v>
      </c>
      <c r="J19" s="6">
        <v>0</v>
      </c>
      <c r="K19" s="6">
        <v>0</v>
      </c>
      <c r="L19">
        <v>0</v>
      </c>
      <c r="M19">
        <v>0</v>
      </c>
      <c r="N19">
        <v>0</v>
      </c>
      <c r="O19">
        <v>6</v>
      </c>
      <c r="P19" s="6">
        <v>0</v>
      </c>
      <c r="Q19" s="6">
        <v>0</v>
      </c>
      <c r="R19">
        <v>0</v>
      </c>
      <c r="S19">
        <v>0</v>
      </c>
      <c r="T19">
        <v>5</v>
      </c>
      <c r="U19" s="9" t="s">
        <v>678</v>
      </c>
    </row>
    <row r="20" spans="1:21" x14ac:dyDescent="0.25">
      <c r="A20" t="s">
        <v>123</v>
      </c>
      <c r="B20" t="s">
        <v>79</v>
      </c>
      <c r="C20" t="s">
        <v>128</v>
      </c>
      <c r="D20" t="s">
        <v>90</v>
      </c>
      <c r="E20" t="s">
        <v>6</v>
      </c>
      <c r="F20">
        <v>13</v>
      </c>
      <c r="G20">
        <v>47</v>
      </c>
      <c r="H20" s="6">
        <v>2.1299999999999999E-2</v>
      </c>
      <c r="I20" s="6">
        <v>2.1299999999999999E-2</v>
      </c>
      <c r="J20" s="6">
        <v>0</v>
      </c>
      <c r="K20" s="6">
        <v>0</v>
      </c>
      <c r="L20">
        <v>0</v>
      </c>
      <c r="M20">
        <v>0</v>
      </c>
      <c r="N20">
        <v>0</v>
      </c>
      <c r="O20">
        <v>6</v>
      </c>
      <c r="P20" s="6">
        <v>2.1299999999999999E-2</v>
      </c>
      <c r="Q20" s="6">
        <v>1.89E-2</v>
      </c>
      <c r="R20">
        <v>-2.3999999999999998E-3</v>
      </c>
      <c r="S20">
        <v>-0.24</v>
      </c>
      <c r="T20">
        <v>5</v>
      </c>
      <c r="U20" s="9" t="s">
        <v>678</v>
      </c>
    </row>
    <row r="21" spans="1:21" x14ac:dyDescent="0.25">
      <c r="A21" t="s">
        <v>123</v>
      </c>
      <c r="B21" t="s">
        <v>78</v>
      </c>
      <c r="C21" t="s">
        <v>124</v>
      </c>
      <c r="D21" t="s">
        <v>90</v>
      </c>
      <c r="E21" t="s">
        <v>6</v>
      </c>
      <c r="F21">
        <v>13</v>
      </c>
      <c r="G21">
        <v>15</v>
      </c>
      <c r="H21" s="6">
        <v>0</v>
      </c>
      <c r="I21" s="6">
        <v>0</v>
      </c>
      <c r="J21" s="6">
        <v>0</v>
      </c>
      <c r="K21" s="6">
        <v>0</v>
      </c>
      <c r="L21">
        <v>0</v>
      </c>
      <c r="M21">
        <v>0</v>
      </c>
      <c r="N21">
        <v>0</v>
      </c>
      <c r="O21">
        <v>19</v>
      </c>
      <c r="P21" s="6">
        <v>0</v>
      </c>
      <c r="Q21" s="6">
        <v>2.9399999999999999E-2</v>
      </c>
      <c r="R21">
        <v>2.9399999999999999E-2</v>
      </c>
      <c r="S21">
        <v>2.94</v>
      </c>
      <c r="T21">
        <v>5</v>
      </c>
      <c r="U21" s="10" t="s">
        <v>616</v>
      </c>
    </row>
    <row r="22" spans="1:21" x14ac:dyDescent="0.25">
      <c r="A22" t="s">
        <v>123</v>
      </c>
      <c r="B22" t="s">
        <v>78</v>
      </c>
      <c r="C22" t="s">
        <v>126</v>
      </c>
      <c r="D22" t="s">
        <v>90</v>
      </c>
      <c r="E22" t="s">
        <v>6</v>
      </c>
      <c r="F22">
        <v>13</v>
      </c>
      <c r="G22">
        <v>15</v>
      </c>
      <c r="H22" s="6">
        <v>0</v>
      </c>
      <c r="I22" s="6">
        <v>0</v>
      </c>
      <c r="J22" s="6">
        <v>0</v>
      </c>
      <c r="K22" s="6">
        <v>0</v>
      </c>
      <c r="L22">
        <v>0</v>
      </c>
      <c r="M22">
        <v>0</v>
      </c>
      <c r="N22">
        <v>0</v>
      </c>
      <c r="O22">
        <v>19</v>
      </c>
      <c r="P22" s="6">
        <v>0</v>
      </c>
      <c r="Q22" s="6">
        <v>0</v>
      </c>
      <c r="R22">
        <v>0</v>
      </c>
      <c r="S22">
        <v>0</v>
      </c>
      <c r="T22">
        <v>5</v>
      </c>
      <c r="U22" s="10" t="s">
        <v>616</v>
      </c>
    </row>
    <row r="23" spans="1:21" x14ac:dyDescent="0.25">
      <c r="A23" t="s">
        <v>123</v>
      </c>
      <c r="B23" t="s">
        <v>78</v>
      </c>
      <c r="C23" t="s">
        <v>127</v>
      </c>
      <c r="D23" t="s">
        <v>90</v>
      </c>
      <c r="E23" t="s">
        <v>6</v>
      </c>
      <c r="F23">
        <v>13</v>
      </c>
      <c r="G23">
        <v>15</v>
      </c>
      <c r="H23" s="6">
        <v>0</v>
      </c>
      <c r="I23" s="6">
        <v>0</v>
      </c>
      <c r="J23" s="6">
        <v>0</v>
      </c>
      <c r="K23" s="6">
        <v>0</v>
      </c>
      <c r="L23">
        <v>0</v>
      </c>
      <c r="M23">
        <v>0</v>
      </c>
      <c r="N23">
        <v>0</v>
      </c>
      <c r="O23">
        <v>19</v>
      </c>
      <c r="P23" s="6">
        <v>0</v>
      </c>
      <c r="Q23" s="6">
        <v>2.9399999999999999E-2</v>
      </c>
      <c r="R23">
        <v>2.9399999999999999E-2</v>
      </c>
      <c r="S23">
        <v>2.94</v>
      </c>
      <c r="T23">
        <v>5</v>
      </c>
      <c r="U23" s="10" t="s">
        <v>616</v>
      </c>
    </row>
    <row r="24" spans="1:21" x14ac:dyDescent="0.25">
      <c r="A24" t="s">
        <v>123</v>
      </c>
      <c r="B24" t="s">
        <v>78</v>
      </c>
      <c r="C24" t="s">
        <v>128</v>
      </c>
      <c r="D24" t="s">
        <v>90</v>
      </c>
      <c r="E24" t="s">
        <v>6</v>
      </c>
      <c r="F24">
        <v>13</v>
      </c>
      <c r="G24">
        <v>15</v>
      </c>
      <c r="H24" s="6">
        <v>6.6699999999999995E-2</v>
      </c>
      <c r="I24" s="6">
        <v>0.2</v>
      </c>
      <c r="J24" s="6">
        <v>0.1333</v>
      </c>
      <c r="K24" s="6">
        <v>1.026E-2</v>
      </c>
      <c r="L24">
        <v>2</v>
      </c>
      <c r="M24">
        <v>0</v>
      </c>
      <c r="N24">
        <v>0</v>
      </c>
      <c r="O24">
        <v>19</v>
      </c>
      <c r="P24" s="6">
        <v>6.6699999999999995E-2</v>
      </c>
      <c r="Q24" s="6">
        <v>0.17649999999999999</v>
      </c>
      <c r="R24">
        <v>0.10979999999999999</v>
      </c>
      <c r="S24">
        <v>-2.35</v>
      </c>
      <c r="T24">
        <v>5</v>
      </c>
      <c r="U24" s="10" t="s">
        <v>616</v>
      </c>
    </row>
    <row r="25" spans="1:21" x14ac:dyDescent="0.25">
      <c r="A25" t="s">
        <v>123</v>
      </c>
      <c r="B25" t="s">
        <v>75</v>
      </c>
      <c r="C25" t="s">
        <v>124</v>
      </c>
      <c r="D25" t="s">
        <v>90</v>
      </c>
      <c r="E25" t="s">
        <v>6</v>
      </c>
      <c r="F25">
        <v>13</v>
      </c>
      <c r="G25">
        <v>246</v>
      </c>
      <c r="H25" s="6">
        <v>4.1000000000000003E-3</v>
      </c>
      <c r="I25" s="6">
        <v>4.1000000000000003E-3</v>
      </c>
      <c r="J25" s="6">
        <v>0</v>
      </c>
      <c r="K25" s="6">
        <v>0</v>
      </c>
      <c r="L25">
        <v>0</v>
      </c>
      <c r="M25">
        <v>0</v>
      </c>
      <c r="N25">
        <v>0</v>
      </c>
      <c r="O25">
        <v>1686</v>
      </c>
      <c r="P25" s="6">
        <v>4.1000000000000003E-3</v>
      </c>
      <c r="Q25" s="6">
        <v>1.55E-2</v>
      </c>
      <c r="R25">
        <v>1.15E-2</v>
      </c>
      <c r="S25">
        <v>1.1499999999999999</v>
      </c>
      <c r="T25">
        <v>5</v>
      </c>
      <c r="U25" s="9" t="s">
        <v>679</v>
      </c>
    </row>
    <row r="26" spans="1:21" x14ac:dyDescent="0.25">
      <c r="A26" t="s">
        <v>123</v>
      </c>
      <c r="B26" t="s">
        <v>75</v>
      </c>
      <c r="C26" t="s">
        <v>126</v>
      </c>
      <c r="D26" t="s">
        <v>90</v>
      </c>
      <c r="E26" t="s">
        <v>6</v>
      </c>
      <c r="F26">
        <v>13</v>
      </c>
      <c r="G26">
        <v>246</v>
      </c>
      <c r="H26" s="6">
        <v>0</v>
      </c>
      <c r="I26" s="6">
        <v>0</v>
      </c>
      <c r="J26" s="6">
        <v>0</v>
      </c>
      <c r="K26" s="6">
        <v>0</v>
      </c>
      <c r="L26">
        <v>0</v>
      </c>
      <c r="M26">
        <v>0</v>
      </c>
      <c r="N26">
        <v>0</v>
      </c>
      <c r="O26">
        <v>1686</v>
      </c>
      <c r="P26" s="6">
        <v>0</v>
      </c>
      <c r="Q26" s="6">
        <v>2.5999999999999999E-3</v>
      </c>
      <c r="R26">
        <v>2.5999999999999999E-3</v>
      </c>
      <c r="S26">
        <v>0.26</v>
      </c>
      <c r="T26">
        <v>5</v>
      </c>
      <c r="U26" s="9" t="s">
        <v>679</v>
      </c>
    </row>
    <row r="27" spans="1:21" x14ac:dyDescent="0.25">
      <c r="A27" t="s">
        <v>123</v>
      </c>
      <c r="B27" t="s">
        <v>75</v>
      </c>
      <c r="C27" t="s">
        <v>127</v>
      </c>
      <c r="D27" t="s">
        <v>90</v>
      </c>
      <c r="E27" t="s">
        <v>6</v>
      </c>
      <c r="F27">
        <v>13</v>
      </c>
      <c r="G27">
        <v>246</v>
      </c>
      <c r="H27" s="6">
        <v>0</v>
      </c>
      <c r="I27" s="6">
        <v>0</v>
      </c>
      <c r="J27" s="6">
        <v>0</v>
      </c>
      <c r="K27" s="6">
        <v>0</v>
      </c>
      <c r="L27">
        <v>0</v>
      </c>
      <c r="M27">
        <v>0</v>
      </c>
      <c r="N27">
        <v>0</v>
      </c>
      <c r="O27">
        <v>1686</v>
      </c>
      <c r="P27" s="6">
        <v>0</v>
      </c>
      <c r="Q27" s="6">
        <v>1.9199999999999998E-2</v>
      </c>
      <c r="R27">
        <v>1.9199999999999998E-2</v>
      </c>
      <c r="S27">
        <v>1.92</v>
      </c>
      <c r="T27">
        <v>5</v>
      </c>
      <c r="U27" s="9" t="s">
        <v>679</v>
      </c>
    </row>
    <row r="28" spans="1:21" x14ac:dyDescent="0.25">
      <c r="A28" t="s">
        <v>123</v>
      </c>
      <c r="B28" t="s">
        <v>75</v>
      </c>
      <c r="C28" t="s">
        <v>128</v>
      </c>
      <c r="D28" t="s">
        <v>90</v>
      </c>
      <c r="E28" t="s">
        <v>6</v>
      </c>
      <c r="F28">
        <v>13</v>
      </c>
      <c r="G28">
        <v>246</v>
      </c>
      <c r="H28" s="6">
        <v>2.4400000000000002E-2</v>
      </c>
      <c r="I28" s="6">
        <v>2.0299999999999999E-2</v>
      </c>
      <c r="J28" s="6">
        <v>-4.1000000000000003E-3</v>
      </c>
      <c r="K28" s="6">
        <v>-3.1E-4</v>
      </c>
      <c r="L28">
        <v>1</v>
      </c>
      <c r="M28">
        <v>2</v>
      </c>
      <c r="N28">
        <v>0</v>
      </c>
      <c r="O28">
        <v>1686</v>
      </c>
      <c r="P28" s="6">
        <v>2.4400000000000002E-2</v>
      </c>
      <c r="Q28" s="6">
        <v>6.6799999999999998E-2</v>
      </c>
      <c r="R28">
        <v>4.24E-2</v>
      </c>
      <c r="S28">
        <v>4.6399999999999997</v>
      </c>
      <c r="T28">
        <v>5</v>
      </c>
      <c r="U28" s="9" t="s">
        <v>679</v>
      </c>
    </row>
    <row r="29" spans="1:21" x14ac:dyDescent="0.25">
      <c r="A29" t="s">
        <v>123</v>
      </c>
      <c r="B29" t="s">
        <v>77</v>
      </c>
      <c r="C29" t="s">
        <v>124</v>
      </c>
      <c r="D29" t="s">
        <v>90</v>
      </c>
      <c r="E29" t="s">
        <v>6</v>
      </c>
      <c r="F29">
        <v>13</v>
      </c>
      <c r="G29">
        <v>1</v>
      </c>
      <c r="H29" s="6">
        <v>0</v>
      </c>
      <c r="I29" s="6">
        <v>0</v>
      </c>
      <c r="J29" s="6">
        <v>0</v>
      </c>
      <c r="K29" s="6">
        <v>0</v>
      </c>
      <c r="L29">
        <v>0</v>
      </c>
      <c r="M29">
        <v>0</v>
      </c>
      <c r="N29">
        <v>0</v>
      </c>
      <c r="O29">
        <v>9</v>
      </c>
      <c r="P29" s="6">
        <v>0</v>
      </c>
      <c r="Q29" s="6">
        <v>0</v>
      </c>
      <c r="R29">
        <v>0</v>
      </c>
      <c r="S29">
        <v>0</v>
      </c>
      <c r="T29">
        <v>5</v>
      </c>
      <c r="U29" s="9" t="s">
        <v>680</v>
      </c>
    </row>
    <row r="30" spans="1:21" x14ac:dyDescent="0.25">
      <c r="A30" t="s">
        <v>123</v>
      </c>
      <c r="B30" t="s">
        <v>77</v>
      </c>
      <c r="C30" t="s">
        <v>126</v>
      </c>
      <c r="D30" t="s">
        <v>90</v>
      </c>
      <c r="E30" t="s">
        <v>6</v>
      </c>
      <c r="F30">
        <v>13</v>
      </c>
      <c r="G30">
        <v>1</v>
      </c>
      <c r="H30" s="6">
        <v>0</v>
      </c>
      <c r="I30" s="6">
        <v>0</v>
      </c>
      <c r="J30" s="6">
        <v>0</v>
      </c>
      <c r="K30" s="6">
        <v>0</v>
      </c>
      <c r="L30">
        <v>0</v>
      </c>
      <c r="M30">
        <v>0</v>
      </c>
      <c r="N30">
        <v>0</v>
      </c>
      <c r="O30">
        <v>9</v>
      </c>
      <c r="P30" s="6">
        <v>0</v>
      </c>
      <c r="Q30" s="6">
        <v>0</v>
      </c>
      <c r="R30">
        <v>0</v>
      </c>
      <c r="S30">
        <v>0</v>
      </c>
      <c r="T30">
        <v>5</v>
      </c>
      <c r="U30" s="9" t="s">
        <v>680</v>
      </c>
    </row>
    <row r="31" spans="1:21" x14ac:dyDescent="0.25">
      <c r="A31" t="s">
        <v>123</v>
      </c>
      <c r="B31" t="s">
        <v>77</v>
      </c>
      <c r="C31" t="s">
        <v>127</v>
      </c>
      <c r="D31" t="s">
        <v>90</v>
      </c>
      <c r="E31" t="s">
        <v>6</v>
      </c>
      <c r="F31">
        <v>13</v>
      </c>
      <c r="G31">
        <v>1</v>
      </c>
      <c r="H31" s="6">
        <v>0</v>
      </c>
      <c r="I31" s="6">
        <v>0</v>
      </c>
      <c r="J31" s="6">
        <v>0</v>
      </c>
      <c r="K31" s="6">
        <v>0</v>
      </c>
      <c r="L31">
        <v>0</v>
      </c>
      <c r="M31">
        <v>0</v>
      </c>
      <c r="N31">
        <v>0</v>
      </c>
      <c r="O31">
        <v>9</v>
      </c>
      <c r="P31" s="6">
        <v>0</v>
      </c>
      <c r="Q31" s="6">
        <v>0</v>
      </c>
      <c r="R31">
        <v>0</v>
      </c>
      <c r="S31">
        <v>0</v>
      </c>
      <c r="T31">
        <v>5</v>
      </c>
      <c r="U31" s="9" t="s">
        <v>680</v>
      </c>
    </row>
    <row r="32" spans="1:21" x14ac:dyDescent="0.25">
      <c r="A32" t="s">
        <v>123</v>
      </c>
      <c r="B32" t="s">
        <v>77</v>
      </c>
      <c r="C32" t="s">
        <v>128</v>
      </c>
      <c r="D32" t="s">
        <v>90</v>
      </c>
      <c r="E32" t="s">
        <v>6</v>
      </c>
      <c r="F32">
        <v>13</v>
      </c>
      <c r="G32">
        <v>1</v>
      </c>
      <c r="H32" s="6">
        <v>0</v>
      </c>
      <c r="I32" s="6">
        <v>0</v>
      </c>
      <c r="J32" s="6">
        <v>0</v>
      </c>
      <c r="K32" s="6">
        <v>0</v>
      </c>
      <c r="L32">
        <v>0</v>
      </c>
      <c r="M32">
        <v>0</v>
      </c>
      <c r="N32">
        <v>0</v>
      </c>
      <c r="O32">
        <v>9</v>
      </c>
      <c r="P32" s="6">
        <v>0</v>
      </c>
      <c r="Q32" s="6">
        <v>0</v>
      </c>
      <c r="R32">
        <v>0</v>
      </c>
      <c r="S32">
        <v>0</v>
      </c>
      <c r="T32">
        <v>5</v>
      </c>
      <c r="U32" s="9" t="s">
        <v>680</v>
      </c>
    </row>
    <row r="33" spans="1:21" x14ac:dyDescent="0.25">
      <c r="A33" t="s">
        <v>123</v>
      </c>
      <c r="B33" t="s">
        <v>76</v>
      </c>
      <c r="C33" t="s">
        <v>124</v>
      </c>
      <c r="D33" t="s">
        <v>90</v>
      </c>
      <c r="E33" t="s">
        <v>6</v>
      </c>
      <c r="F33">
        <v>13</v>
      </c>
      <c r="G33">
        <v>10</v>
      </c>
      <c r="H33" s="6">
        <v>0</v>
      </c>
      <c r="I33" s="6">
        <v>0</v>
      </c>
      <c r="J33" s="6">
        <v>0</v>
      </c>
      <c r="K33" s="6">
        <v>0</v>
      </c>
      <c r="L33">
        <v>0</v>
      </c>
      <c r="M33">
        <v>0</v>
      </c>
      <c r="N33">
        <v>0</v>
      </c>
      <c r="O33">
        <v>13</v>
      </c>
      <c r="P33" s="6">
        <v>0</v>
      </c>
      <c r="Q33" s="6">
        <v>4.3499999999999997E-2</v>
      </c>
      <c r="R33">
        <v>4.3499999999999997E-2</v>
      </c>
      <c r="S33">
        <v>4.3499999999999996</v>
      </c>
      <c r="T33">
        <v>5</v>
      </c>
      <c r="U33" s="10" t="s">
        <v>131</v>
      </c>
    </row>
    <row r="34" spans="1:21" x14ac:dyDescent="0.25">
      <c r="A34" t="s">
        <v>123</v>
      </c>
      <c r="B34" t="s">
        <v>76</v>
      </c>
      <c r="C34" t="s">
        <v>126</v>
      </c>
      <c r="D34" t="s">
        <v>90</v>
      </c>
      <c r="E34" t="s">
        <v>6</v>
      </c>
      <c r="F34">
        <v>13</v>
      </c>
      <c r="G34">
        <v>10</v>
      </c>
      <c r="H34" s="6">
        <v>0</v>
      </c>
      <c r="I34" s="6">
        <v>0</v>
      </c>
      <c r="J34" s="6">
        <v>0</v>
      </c>
      <c r="K34" s="6">
        <v>0</v>
      </c>
      <c r="L34">
        <v>0</v>
      </c>
      <c r="M34">
        <v>0</v>
      </c>
      <c r="N34">
        <v>0</v>
      </c>
      <c r="O34">
        <v>13</v>
      </c>
      <c r="P34" s="6">
        <v>0</v>
      </c>
      <c r="Q34" s="6">
        <v>0</v>
      </c>
      <c r="R34">
        <v>0</v>
      </c>
      <c r="S34">
        <v>0</v>
      </c>
      <c r="T34">
        <v>5</v>
      </c>
      <c r="U34" s="10" t="s">
        <v>131</v>
      </c>
    </row>
    <row r="35" spans="1:21" x14ac:dyDescent="0.25">
      <c r="A35" t="s">
        <v>123</v>
      </c>
      <c r="B35" t="s">
        <v>76</v>
      </c>
      <c r="C35" t="s">
        <v>127</v>
      </c>
      <c r="D35" t="s">
        <v>90</v>
      </c>
      <c r="E35" t="s">
        <v>6</v>
      </c>
      <c r="F35">
        <v>13</v>
      </c>
      <c r="G35">
        <v>10</v>
      </c>
      <c r="H35" s="6">
        <v>0</v>
      </c>
      <c r="I35" s="6">
        <v>0</v>
      </c>
      <c r="J35" s="6">
        <v>0</v>
      </c>
      <c r="K35" s="6">
        <v>0</v>
      </c>
      <c r="L35">
        <v>0</v>
      </c>
      <c r="M35">
        <v>0</v>
      </c>
      <c r="N35">
        <v>0</v>
      </c>
      <c r="O35">
        <v>13</v>
      </c>
      <c r="P35" s="6">
        <v>0</v>
      </c>
      <c r="Q35" s="6">
        <v>0.13039999999999999</v>
      </c>
      <c r="R35">
        <v>0.13039999999999999</v>
      </c>
      <c r="S35">
        <v>13.04</v>
      </c>
      <c r="T35">
        <v>5</v>
      </c>
      <c r="U35" s="10" t="s">
        <v>131</v>
      </c>
    </row>
    <row r="36" spans="1:21" x14ac:dyDescent="0.25">
      <c r="A36" t="s">
        <v>123</v>
      </c>
      <c r="B36" t="s">
        <v>76</v>
      </c>
      <c r="C36" t="s">
        <v>128</v>
      </c>
      <c r="D36" t="s">
        <v>90</v>
      </c>
      <c r="E36" t="s">
        <v>6</v>
      </c>
      <c r="F36">
        <v>13</v>
      </c>
      <c r="G36">
        <v>10</v>
      </c>
      <c r="H36" s="6">
        <v>0</v>
      </c>
      <c r="I36" s="6">
        <v>0.1</v>
      </c>
      <c r="J36" s="6">
        <v>0.1</v>
      </c>
      <c r="K36" s="6">
        <v>7.6899999999999998E-3</v>
      </c>
      <c r="L36">
        <v>1</v>
      </c>
      <c r="M36">
        <v>0</v>
      </c>
      <c r="N36">
        <v>0</v>
      </c>
      <c r="O36">
        <v>13</v>
      </c>
      <c r="P36" s="6">
        <v>0</v>
      </c>
      <c r="Q36" s="6">
        <v>0.21740000000000001</v>
      </c>
      <c r="R36">
        <v>0.21740000000000001</v>
      </c>
      <c r="S36">
        <v>11.74</v>
      </c>
      <c r="T36">
        <v>5</v>
      </c>
      <c r="U36" s="10" t="s">
        <v>131</v>
      </c>
    </row>
    <row r="37" spans="1:21" x14ac:dyDescent="0.25">
      <c r="A37" t="s">
        <v>123</v>
      </c>
      <c r="B37" t="s">
        <v>80</v>
      </c>
      <c r="C37" t="s">
        <v>124</v>
      </c>
      <c r="D37" t="s">
        <v>91</v>
      </c>
      <c r="E37" t="s">
        <v>6</v>
      </c>
      <c r="F37">
        <v>12</v>
      </c>
      <c r="G37">
        <v>3</v>
      </c>
      <c r="H37" s="6">
        <v>0.33329999999999999</v>
      </c>
      <c r="I37" s="6">
        <v>0</v>
      </c>
      <c r="J37" s="6">
        <v>-0.33329999999999999</v>
      </c>
      <c r="K37" s="6">
        <v>-2.7779999999999999E-2</v>
      </c>
      <c r="L37">
        <v>0</v>
      </c>
      <c r="M37">
        <v>1</v>
      </c>
      <c r="N37">
        <v>1</v>
      </c>
      <c r="O37">
        <v>2</v>
      </c>
      <c r="P37" s="6">
        <v>0.25</v>
      </c>
      <c r="Q37" s="6">
        <v>0</v>
      </c>
      <c r="R37">
        <v>-0.25</v>
      </c>
      <c r="S37">
        <v>8.33</v>
      </c>
      <c r="T37">
        <v>4</v>
      </c>
      <c r="U37" s="9" t="s">
        <v>681</v>
      </c>
    </row>
    <row r="38" spans="1:21" x14ac:dyDescent="0.25">
      <c r="A38" t="s">
        <v>123</v>
      </c>
      <c r="B38" t="s">
        <v>80</v>
      </c>
      <c r="C38" t="s">
        <v>126</v>
      </c>
      <c r="D38" t="s">
        <v>91</v>
      </c>
      <c r="E38" t="s">
        <v>6</v>
      </c>
      <c r="F38">
        <v>12</v>
      </c>
      <c r="G38">
        <v>3</v>
      </c>
      <c r="H38" s="6">
        <v>0</v>
      </c>
      <c r="I38" s="6">
        <v>0</v>
      </c>
      <c r="J38" s="6">
        <v>0</v>
      </c>
      <c r="K38" s="6">
        <v>0</v>
      </c>
      <c r="L38">
        <v>0</v>
      </c>
      <c r="M38">
        <v>0</v>
      </c>
      <c r="N38">
        <v>1</v>
      </c>
      <c r="O38">
        <v>2</v>
      </c>
      <c r="P38" s="6">
        <v>0</v>
      </c>
      <c r="Q38" s="6">
        <v>0</v>
      </c>
      <c r="R38">
        <v>0</v>
      </c>
      <c r="S38">
        <v>0</v>
      </c>
      <c r="T38">
        <v>4</v>
      </c>
      <c r="U38" s="9" t="s">
        <v>681</v>
      </c>
    </row>
    <row r="39" spans="1:21" x14ac:dyDescent="0.25">
      <c r="A39" t="s">
        <v>123</v>
      </c>
      <c r="B39" t="s">
        <v>80</v>
      </c>
      <c r="C39" t="s">
        <v>127</v>
      </c>
      <c r="D39" t="s">
        <v>91</v>
      </c>
      <c r="E39" t="s">
        <v>6</v>
      </c>
      <c r="F39">
        <v>12</v>
      </c>
      <c r="G39">
        <v>3</v>
      </c>
      <c r="H39" s="6">
        <v>0.33329999999999999</v>
      </c>
      <c r="I39" s="6">
        <v>0.33329999999999999</v>
      </c>
      <c r="J39" s="6">
        <v>0</v>
      </c>
      <c r="K39" s="6">
        <v>0</v>
      </c>
      <c r="L39">
        <v>0</v>
      </c>
      <c r="M39">
        <v>0</v>
      </c>
      <c r="N39">
        <v>1</v>
      </c>
      <c r="O39">
        <v>2</v>
      </c>
      <c r="P39" s="6">
        <v>0.25</v>
      </c>
      <c r="Q39" s="6">
        <v>0.2</v>
      </c>
      <c r="R39">
        <v>-0.05</v>
      </c>
      <c r="S39">
        <v>-5</v>
      </c>
      <c r="T39">
        <v>4</v>
      </c>
      <c r="U39" s="9" t="s">
        <v>681</v>
      </c>
    </row>
    <row r="40" spans="1:21" x14ac:dyDescent="0.25">
      <c r="A40" t="s">
        <v>123</v>
      </c>
      <c r="B40" t="s">
        <v>80</v>
      </c>
      <c r="C40" t="s">
        <v>128</v>
      </c>
      <c r="D40" t="s">
        <v>91</v>
      </c>
      <c r="E40" t="s">
        <v>6</v>
      </c>
      <c r="F40">
        <v>12</v>
      </c>
      <c r="G40">
        <v>3</v>
      </c>
      <c r="H40" s="6">
        <v>0.66669999999999996</v>
      </c>
      <c r="I40" s="6">
        <v>0</v>
      </c>
      <c r="J40" s="6">
        <v>-0.66669999999999996</v>
      </c>
      <c r="K40" s="6">
        <v>-5.5559999999999998E-2</v>
      </c>
      <c r="L40">
        <v>0</v>
      </c>
      <c r="M40">
        <v>2</v>
      </c>
      <c r="N40">
        <v>1</v>
      </c>
      <c r="O40">
        <v>2</v>
      </c>
      <c r="P40" s="6">
        <v>0.5</v>
      </c>
      <c r="Q40" s="6">
        <v>0</v>
      </c>
      <c r="R40">
        <v>-0.5</v>
      </c>
      <c r="S40">
        <v>16.670000000000002</v>
      </c>
      <c r="T40">
        <v>4</v>
      </c>
      <c r="U40" s="9" t="s">
        <v>681</v>
      </c>
    </row>
    <row r="41" spans="1:21" x14ac:dyDescent="0.25">
      <c r="A41" t="s">
        <v>134</v>
      </c>
      <c r="B41" t="s">
        <v>79</v>
      </c>
      <c r="C41" t="s">
        <v>124</v>
      </c>
      <c r="D41" t="s">
        <v>90</v>
      </c>
      <c r="E41" t="s">
        <v>6</v>
      </c>
      <c r="F41">
        <v>13</v>
      </c>
      <c r="G41">
        <v>138</v>
      </c>
      <c r="H41" s="6">
        <v>0</v>
      </c>
      <c r="I41" s="6">
        <v>0</v>
      </c>
      <c r="J41" s="6">
        <v>0</v>
      </c>
      <c r="K41" s="6">
        <v>0</v>
      </c>
      <c r="L41">
        <v>0</v>
      </c>
      <c r="M41">
        <v>0</v>
      </c>
      <c r="N41">
        <v>0</v>
      </c>
      <c r="O41">
        <v>200</v>
      </c>
      <c r="P41" s="6">
        <v>0</v>
      </c>
      <c r="Q41" s="6">
        <v>0</v>
      </c>
      <c r="R41">
        <v>0</v>
      </c>
      <c r="S41">
        <v>0</v>
      </c>
      <c r="T41">
        <v>5</v>
      </c>
      <c r="U41" s="9" t="s">
        <v>682</v>
      </c>
    </row>
    <row r="42" spans="1:21" x14ac:dyDescent="0.25">
      <c r="A42" t="s">
        <v>134</v>
      </c>
      <c r="B42" t="s">
        <v>79</v>
      </c>
      <c r="C42" t="s">
        <v>126</v>
      </c>
      <c r="D42" t="s">
        <v>90</v>
      </c>
      <c r="E42" t="s">
        <v>6</v>
      </c>
      <c r="F42">
        <v>13</v>
      </c>
      <c r="G42">
        <v>106</v>
      </c>
      <c r="H42" s="6">
        <v>0</v>
      </c>
      <c r="I42" s="6">
        <v>0</v>
      </c>
      <c r="J42" s="6">
        <v>0</v>
      </c>
      <c r="K42" s="6">
        <v>0</v>
      </c>
      <c r="L42">
        <v>0</v>
      </c>
      <c r="M42">
        <v>0</v>
      </c>
      <c r="N42">
        <v>0</v>
      </c>
      <c r="O42">
        <v>158</v>
      </c>
      <c r="P42" s="6">
        <v>0</v>
      </c>
      <c r="Q42" s="6">
        <v>0</v>
      </c>
      <c r="R42">
        <v>0</v>
      </c>
      <c r="S42">
        <v>0</v>
      </c>
      <c r="T42">
        <v>5</v>
      </c>
      <c r="U42" s="9" t="s">
        <v>683</v>
      </c>
    </row>
    <row r="43" spans="1:21" x14ac:dyDescent="0.25">
      <c r="A43" t="s">
        <v>134</v>
      </c>
      <c r="B43" t="s">
        <v>79</v>
      </c>
      <c r="C43" t="s">
        <v>127</v>
      </c>
      <c r="D43" t="s">
        <v>90</v>
      </c>
      <c r="E43" t="s">
        <v>6</v>
      </c>
      <c r="F43">
        <v>13</v>
      </c>
      <c r="G43">
        <v>69</v>
      </c>
      <c r="H43" s="6">
        <v>0</v>
      </c>
      <c r="I43" s="6">
        <v>0</v>
      </c>
      <c r="J43" s="6">
        <v>0</v>
      </c>
      <c r="K43" s="6">
        <v>0</v>
      </c>
      <c r="L43">
        <v>0</v>
      </c>
      <c r="M43">
        <v>0</v>
      </c>
      <c r="N43">
        <v>0</v>
      </c>
      <c r="O43">
        <v>100</v>
      </c>
      <c r="P43" s="6">
        <v>0</v>
      </c>
      <c r="Q43" s="6">
        <v>0</v>
      </c>
      <c r="R43">
        <v>0</v>
      </c>
      <c r="S43">
        <v>0</v>
      </c>
      <c r="T43">
        <v>5</v>
      </c>
      <c r="U43" s="9" t="s">
        <v>683</v>
      </c>
    </row>
    <row r="44" spans="1:21" x14ac:dyDescent="0.25">
      <c r="A44" t="s">
        <v>134</v>
      </c>
      <c r="B44" t="s">
        <v>79</v>
      </c>
      <c r="C44" t="s">
        <v>128</v>
      </c>
      <c r="D44" t="s">
        <v>90</v>
      </c>
      <c r="E44" t="s">
        <v>6</v>
      </c>
      <c r="F44">
        <v>13</v>
      </c>
      <c r="G44">
        <v>101</v>
      </c>
      <c r="H44" s="6">
        <v>0</v>
      </c>
      <c r="I44" s="6">
        <v>0</v>
      </c>
      <c r="J44" s="6">
        <v>0</v>
      </c>
      <c r="K44" s="6">
        <v>0</v>
      </c>
      <c r="L44">
        <v>0</v>
      </c>
      <c r="M44">
        <v>0</v>
      </c>
      <c r="N44">
        <v>0</v>
      </c>
      <c r="O44">
        <v>142</v>
      </c>
      <c r="P44" s="6">
        <v>0</v>
      </c>
      <c r="Q44" s="6">
        <v>4.1000000000000003E-3</v>
      </c>
      <c r="R44">
        <v>4.1000000000000003E-3</v>
      </c>
      <c r="S44">
        <v>0.41</v>
      </c>
      <c r="T44">
        <v>5</v>
      </c>
      <c r="U44" s="9" t="s">
        <v>684</v>
      </c>
    </row>
    <row r="45" spans="1:21" x14ac:dyDescent="0.25">
      <c r="A45" t="s">
        <v>134</v>
      </c>
      <c r="B45" t="s">
        <v>78</v>
      </c>
      <c r="C45" t="s">
        <v>124</v>
      </c>
      <c r="D45" t="s">
        <v>90</v>
      </c>
      <c r="E45" t="s">
        <v>6</v>
      </c>
      <c r="F45">
        <v>13</v>
      </c>
      <c r="G45">
        <v>130</v>
      </c>
      <c r="H45" s="6">
        <v>0</v>
      </c>
      <c r="I45" s="6">
        <v>0</v>
      </c>
      <c r="J45" s="6">
        <v>0</v>
      </c>
      <c r="K45" s="6">
        <v>0</v>
      </c>
      <c r="L45">
        <v>0</v>
      </c>
      <c r="M45">
        <v>0</v>
      </c>
      <c r="N45">
        <v>0</v>
      </c>
      <c r="O45">
        <v>184</v>
      </c>
      <c r="P45" s="6">
        <v>0</v>
      </c>
      <c r="Q45" s="6">
        <v>3.2000000000000002E-3</v>
      </c>
      <c r="R45">
        <v>3.2000000000000002E-3</v>
      </c>
      <c r="S45">
        <v>0.32</v>
      </c>
      <c r="T45">
        <v>5</v>
      </c>
      <c r="U45" s="9" t="s">
        <v>685</v>
      </c>
    </row>
    <row r="46" spans="1:21" x14ac:dyDescent="0.25">
      <c r="A46" t="s">
        <v>134</v>
      </c>
      <c r="B46" t="s">
        <v>78</v>
      </c>
      <c r="C46" t="s">
        <v>126</v>
      </c>
      <c r="D46" t="s">
        <v>90</v>
      </c>
      <c r="E46" t="s">
        <v>6</v>
      </c>
      <c r="F46">
        <v>13</v>
      </c>
      <c r="G46">
        <v>109</v>
      </c>
      <c r="H46" s="6">
        <v>0</v>
      </c>
      <c r="I46" s="6">
        <v>0</v>
      </c>
      <c r="J46" s="6">
        <v>0</v>
      </c>
      <c r="K46" s="6">
        <v>0</v>
      </c>
      <c r="L46">
        <v>0</v>
      </c>
      <c r="M46">
        <v>0</v>
      </c>
      <c r="N46">
        <v>0</v>
      </c>
      <c r="O46">
        <v>155</v>
      </c>
      <c r="P46" s="6">
        <v>0</v>
      </c>
      <c r="Q46" s="6">
        <v>0</v>
      </c>
      <c r="R46">
        <v>0</v>
      </c>
      <c r="S46">
        <v>0</v>
      </c>
      <c r="T46">
        <v>5</v>
      </c>
      <c r="U46" s="9" t="s">
        <v>686</v>
      </c>
    </row>
    <row r="47" spans="1:21" x14ac:dyDescent="0.25">
      <c r="A47" t="s">
        <v>134</v>
      </c>
      <c r="B47" t="s">
        <v>78</v>
      </c>
      <c r="C47" t="s">
        <v>127</v>
      </c>
      <c r="D47" t="s">
        <v>90</v>
      </c>
      <c r="E47" t="s">
        <v>6</v>
      </c>
      <c r="F47">
        <v>13</v>
      </c>
      <c r="G47">
        <v>65</v>
      </c>
      <c r="H47" s="6">
        <v>0</v>
      </c>
      <c r="I47" s="6">
        <v>0</v>
      </c>
      <c r="J47" s="6">
        <v>0</v>
      </c>
      <c r="K47" s="6">
        <v>0</v>
      </c>
      <c r="L47">
        <v>0</v>
      </c>
      <c r="M47">
        <v>0</v>
      </c>
      <c r="N47">
        <v>0</v>
      </c>
      <c r="O47">
        <v>92</v>
      </c>
      <c r="P47" s="6">
        <v>0</v>
      </c>
      <c r="Q47" s="6">
        <v>0</v>
      </c>
      <c r="R47">
        <v>0</v>
      </c>
      <c r="S47">
        <v>0</v>
      </c>
      <c r="T47">
        <v>5</v>
      </c>
      <c r="U47" s="9" t="s">
        <v>686</v>
      </c>
    </row>
    <row r="48" spans="1:21" x14ac:dyDescent="0.25">
      <c r="A48" t="s">
        <v>134</v>
      </c>
      <c r="B48" t="s">
        <v>78</v>
      </c>
      <c r="C48" t="s">
        <v>128</v>
      </c>
      <c r="D48" t="s">
        <v>90</v>
      </c>
      <c r="E48" t="s">
        <v>6</v>
      </c>
      <c r="F48">
        <v>13</v>
      </c>
      <c r="G48">
        <v>108</v>
      </c>
      <c r="H48" s="6">
        <v>9.2999999999999992E-3</v>
      </c>
      <c r="I48" s="6">
        <v>9.2999999999999992E-3</v>
      </c>
      <c r="J48" s="6">
        <v>0</v>
      </c>
      <c r="K48" s="6">
        <v>0</v>
      </c>
      <c r="L48">
        <v>0</v>
      </c>
      <c r="M48">
        <v>0</v>
      </c>
      <c r="N48">
        <v>0</v>
      </c>
      <c r="O48">
        <v>157</v>
      </c>
      <c r="P48" s="6">
        <v>9.2999999999999992E-3</v>
      </c>
      <c r="Q48" s="6">
        <v>1.1299999999999999E-2</v>
      </c>
      <c r="R48">
        <v>2.0999999999999999E-3</v>
      </c>
      <c r="S48">
        <v>0.21</v>
      </c>
      <c r="T48">
        <v>5</v>
      </c>
      <c r="U48" s="9" t="s">
        <v>687</v>
      </c>
    </row>
    <row r="49" spans="1:21" x14ac:dyDescent="0.25">
      <c r="A49" t="s">
        <v>134</v>
      </c>
      <c r="B49" t="s">
        <v>75</v>
      </c>
      <c r="C49" t="s">
        <v>124</v>
      </c>
      <c r="D49" t="s">
        <v>90</v>
      </c>
      <c r="E49" t="s">
        <v>6</v>
      </c>
      <c r="F49">
        <v>13</v>
      </c>
      <c r="G49">
        <v>622</v>
      </c>
      <c r="H49" s="6">
        <v>1.6000000000000001E-3</v>
      </c>
      <c r="I49" s="6">
        <v>3.2000000000000002E-3</v>
      </c>
      <c r="J49" s="6">
        <v>1.6000000000000001E-3</v>
      </c>
      <c r="K49" s="6">
        <v>1.2E-4</v>
      </c>
      <c r="L49">
        <v>1</v>
      </c>
      <c r="M49">
        <v>0</v>
      </c>
      <c r="N49">
        <v>0</v>
      </c>
      <c r="O49">
        <v>1266</v>
      </c>
      <c r="P49" s="6">
        <v>1.6000000000000001E-3</v>
      </c>
      <c r="Q49" s="6">
        <v>4.1999999999999997E-3</v>
      </c>
      <c r="R49">
        <v>2.5999999999999999E-3</v>
      </c>
      <c r="S49">
        <v>0.1</v>
      </c>
      <c r="T49">
        <v>5</v>
      </c>
      <c r="U49" s="9" t="s">
        <v>688</v>
      </c>
    </row>
    <row r="50" spans="1:21" x14ac:dyDescent="0.25">
      <c r="A50" t="s">
        <v>134</v>
      </c>
      <c r="B50" t="s">
        <v>75</v>
      </c>
      <c r="C50" t="s">
        <v>126</v>
      </c>
      <c r="D50" t="s">
        <v>90</v>
      </c>
      <c r="E50" t="s">
        <v>6</v>
      </c>
      <c r="F50">
        <v>13</v>
      </c>
      <c r="G50">
        <v>548</v>
      </c>
      <c r="H50" s="6">
        <v>0</v>
      </c>
      <c r="I50" s="6">
        <v>0</v>
      </c>
      <c r="J50" s="6">
        <v>0</v>
      </c>
      <c r="K50" s="6">
        <v>0</v>
      </c>
      <c r="L50">
        <v>0</v>
      </c>
      <c r="M50">
        <v>0</v>
      </c>
      <c r="N50">
        <v>0</v>
      </c>
      <c r="O50">
        <v>1162</v>
      </c>
      <c r="P50" s="6">
        <v>0</v>
      </c>
      <c r="Q50" s="6">
        <v>1.1000000000000001E-3</v>
      </c>
      <c r="R50">
        <v>1.1000000000000001E-3</v>
      </c>
      <c r="S50">
        <v>0.11</v>
      </c>
      <c r="T50">
        <v>5</v>
      </c>
      <c r="U50" s="9" t="s">
        <v>689</v>
      </c>
    </row>
    <row r="51" spans="1:21" x14ac:dyDescent="0.25">
      <c r="A51" t="s">
        <v>134</v>
      </c>
      <c r="B51" t="s">
        <v>75</v>
      </c>
      <c r="C51" t="s">
        <v>127</v>
      </c>
      <c r="D51" t="s">
        <v>90</v>
      </c>
      <c r="E51" t="s">
        <v>6</v>
      </c>
      <c r="F51">
        <v>13</v>
      </c>
      <c r="G51">
        <v>311</v>
      </c>
      <c r="H51" s="6">
        <v>3.8600000000000002E-2</v>
      </c>
      <c r="I51" s="6">
        <v>3.5400000000000001E-2</v>
      </c>
      <c r="J51" s="6">
        <v>-3.2000000000000002E-3</v>
      </c>
      <c r="K51" s="6">
        <v>-2.5000000000000001E-4</v>
      </c>
      <c r="L51">
        <v>0</v>
      </c>
      <c r="M51">
        <v>1</v>
      </c>
      <c r="N51">
        <v>0</v>
      </c>
      <c r="O51">
        <v>633</v>
      </c>
      <c r="P51" s="6">
        <v>3.8600000000000002E-2</v>
      </c>
      <c r="Q51" s="6">
        <v>2.4400000000000002E-2</v>
      </c>
      <c r="R51">
        <v>-1.4200000000000001E-2</v>
      </c>
      <c r="S51">
        <v>-1.1000000000000001</v>
      </c>
      <c r="T51">
        <v>5</v>
      </c>
      <c r="U51" s="9" t="s">
        <v>689</v>
      </c>
    </row>
    <row r="52" spans="1:21" x14ac:dyDescent="0.25">
      <c r="A52" t="s">
        <v>134</v>
      </c>
      <c r="B52" t="s">
        <v>75</v>
      </c>
      <c r="C52" t="s">
        <v>128</v>
      </c>
      <c r="D52" t="s">
        <v>90</v>
      </c>
      <c r="E52" t="s">
        <v>6</v>
      </c>
      <c r="F52">
        <v>13</v>
      </c>
      <c r="G52">
        <v>457</v>
      </c>
      <c r="H52" s="6">
        <v>4.4000000000000003E-3</v>
      </c>
      <c r="I52" s="6">
        <v>6.6E-3</v>
      </c>
      <c r="J52" s="6">
        <v>2.2000000000000001E-3</v>
      </c>
      <c r="K52" s="6">
        <v>1.7000000000000001E-4</v>
      </c>
      <c r="L52">
        <v>1</v>
      </c>
      <c r="M52">
        <v>0</v>
      </c>
      <c r="N52">
        <v>0</v>
      </c>
      <c r="O52">
        <v>1016</v>
      </c>
      <c r="P52" s="6">
        <v>4.4000000000000003E-3</v>
      </c>
      <c r="Q52" s="6">
        <v>7.4999999999999997E-3</v>
      </c>
      <c r="R52">
        <v>3.0999999999999999E-3</v>
      </c>
      <c r="S52">
        <v>0.09</v>
      </c>
      <c r="T52">
        <v>5</v>
      </c>
      <c r="U52" s="9" t="s">
        <v>690</v>
      </c>
    </row>
    <row r="53" spans="1:21" x14ac:dyDescent="0.25">
      <c r="A53" t="s">
        <v>134</v>
      </c>
      <c r="B53" t="s">
        <v>77</v>
      </c>
      <c r="C53" t="s">
        <v>124</v>
      </c>
      <c r="D53" t="s">
        <v>90</v>
      </c>
      <c r="E53" t="s">
        <v>6</v>
      </c>
      <c r="F53">
        <v>13</v>
      </c>
      <c r="G53">
        <v>68</v>
      </c>
      <c r="H53" s="6">
        <v>0</v>
      </c>
      <c r="I53" s="6">
        <v>0</v>
      </c>
      <c r="J53" s="6">
        <v>0</v>
      </c>
      <c r="K53" s="6">
        <v>0</v>
      </c>
      <c r="L53">
        <v>0</v>
      </c>
      <c r="M53">
        <v>0</v>
      </c>
      <c r="N53">
        <v>0</v>
      </c>
      <c r="O53">
        <v>124</v>
      </c>
      <c r="P53" s="6">
        <v>0</v>
      </c>
      <c r="Q53" s="6">
        <v>5.1999999999999998E-3</v>
      </c>
      <c r="R53">
        <v>5.1999999999999998E-3</v>
      </c>
      <c r="S53">
        <v>0.52</v>
      </c>
      <c r="T53">
        <v>5</v>
      </c>
      <c r="U53" s="9" t="s">
        <v>691</v>
      </c>
    </row>
    <row r="54" spans="1:21" x14ac:dyDescent="0.25">
      <c r="A54" t="s">
        <v>134</v>
      </c>
      <c r="B54" t="s">
        <v>77</v>
      </c>
      <c r="C54" t="s">
        <v>126</v>
      </c>
      <c r="D54" t="s">
        <v>90</v>
      </c>
      <c r="E54" t="s">
        <v>6</v>
      </c>
      <c r="F54">
        <v>13</v>
      </c>
      <c r="G54">
        <v>43</v>
      </c>
      <c r="H54" s="6">
        <v>0</v>
      </c>
      <c r="I54" s="6">
        <v>0</v>
      </c>
      <c r="J54" s="6">
        <v>0</v>
      </c>
      <c r="K54" s="6">
        <v>0</v>
      </c>
      <c r="L54">
        <v>0</v>
      </c>
      <c r="M54">
        <v>0</v>
      </c>
      <c r="N54">
        <v>0</v>
      </c>
      <c r="O54">
        <v>82</v>
      </c>
      <c r="P54" s="6">
        <v>0</v>
      </c>
      <c r="Q54" s="6">
        <v>0</v>
      </c>
      <c r="R54">
        <v>0</v>
      </c>
      <c r="S54">
        <v>0</v>
      </c>
      <c r="T54">
        <v>5</v>
      </c>
      <c r="U54" s="9" t="s">
        <v>129</v>
      </c>
    </row>
    <row r="55" spans="1:21" x14ac:dyDescent="0.25">
      <c r="A55" t="s">
        <v>134</v>
      </c>
      <c r="B55" t="s">
        <v>77</v>
      </c>
      <c r="C55" t="s">
        <v>127</v>
      </c>
      <c r="D55" t="s">
        <v>90</v>
      </c>
      <c r="E55" t="s">
        <v>6</v>
      </c>
      <c r="F55">
        <v>13</v>
      </c>
      <c r="G55">
        <v>34</v>
      </c>
      <c r="H55" s="6">
        <v>0</v>
      </c>
      <c r="I55" s="6">
        <v>0</v>
      </c>
      <c r="J55" s="6">
        <v>0</v>
      </c>
      <c r="K55" s="6">
        <v>0</v>
      </c>
      <c r="L55">
        <v>0</v>
      </c>
      <c r="M55">
        <v>0</v>
      </c>
      <c r="N55">
        <v>0</v>
      </c>
      <c r="O55">
        <v>62</v>
      </c>
      <c r="P55" s="6">
        <v>0</v>
      </c>
      <c r="Q55" s="6">
        <v>0</v>
      </c>
      <c r="R55">
        <v>0</v>
      </c>
      <c r="S55">
        <v>0</v>
      </c>
      <c r="T55">
        <v>5</v>
      </c>
      <c r="U55" s="9" t="s">
        <v>129</v>
      </c>
    </row>
    <row r="56" spans="1:21" x14ac:dyDescent="0.25">
      <c r="A56" t="s">
        <v>134</v>
      </c>
      <c r="B56" t="s">
        <v>77</v>
      </c>
      <c r="C56" t="s">
        <v>128</v>
      </c>
      <c r="D56" t="s">
        <v>90</v>
      </c>
      <c r="E56" t="s">
        <v>6</v>
      </c>
      <c r="F56">
        <v>13</v>
      </c>
      <c r="G56">
        <v>55</v>
      </c>
      <c r="H56" s="6">
        <v>3.6400000000000002E-2</v>
      </c>
      <c r="I56" s="6">
        <v>3.6400000000000002E-2</v>
      </c>
      <c r="J56" s="6">
        <v>0</v>
      </c>
      <c r="K56" s="6">
        <v>0</v>
      </c>
      <c r="L56">
        <v>1</v>
      </c>
      <c r="M56">
        <v>1</v>
      </c>
      <c r="N56">
        <v>0</v>
      </c>
      <c r="O56">
        <v>82</v>
      </c>
      <c r="P56" s="6">
        <v>3.6400000000000002E-2</v>
      </c>
      <c r="Q56" s="6">
        <v>2.1899999999999999E-2</v>
      </c>
      <c r="R56">
        <v>-1.4500000000000001E-2</v>
      </c>
      <c r="S56">
        <v>-1.45</v>
      </c>
      <c r="T56">
        <v>5</v>
      </c>
      <c r="U56" s="9" t="s">
        <v>692</v>
      </c>
    </row>
    <row r="57" spans="1:21" x14ac:dyDescent="0.25">
      <c r="A57" t="s">
        <v>134</v>
      </c>
      <c r="B57" t="s">
        <v>76</v>
      </c>
      <c r="C57" t="s">
        <v>124</v>
      </c>
      <c r="D57" t="s">
        <v>90</v>
      </c>
      <c r="E57" t="s">
        <v>6</v>
      </c>
      <c r="F57">
        <v>13</v>
      </c>
      <c r="G57">
        <v>172</v>
      </c>
      <c r="H57" s="6">
        <v>0</v>
      </c>
      <c r="I57" s="6">
        <v>0</v>
      </c>
      <c r="J57" s="6">
        <v>0</v>
      </c>
      <c r="K57" s="6">
        <v>0</v>
      </c>
      <c r="L57">
        <v>0</v>
      </c>
      <c r="M57">
        <v>0</v>
      </c>
      <c r="N57">
        <v>6</v>
      </c>
      <c r="O57">
        <v>246</v>
      </c>
      <c r="P57" s="6">
        <v>0</v>
      </c>
      <c r="Q57" s="6">
        <v>1.6799999999999999E-2</v>
      </c>
      <c r="R57">
        <v>1.6799999999999999E-2</v>
      </c>
      <c r="S57">
        <v>1.68</v>
      </c>
      <c r="T57">
        <v>5</v>
      </c>
      <c r="U57" s="9" t="s">
        <v>693</v>
      </c>
    </row>
    <row r="58" spans="1:21" x14ac:dyDescent="0.25">
      <c r="A58" t="s">
        <v>134</v>
      </c>
      <c r="B58" t="s">
        <v>76</v>
      </c>
      <c r="C58" t="s">
        <v>126</v>
      </c>
      <c r="D58" t="s">
        <v>90</v>
      </c>
      <c r="E58" t="s">
        <v>6</v>
      </c>
      <c r="F58">
        <v>13</v>
      </c>
      <c r="G58">
        <v>119</v>
      </c>
      <c r="H58" s="6">
        <v>1.1599999999999999E-2</v>
      </c>
      <c r="I58" s="6">
        <v>1.1599999999999999E-2</v>
      </c>
      <c r="J58" s="6">
        <v>0</v>
      </c>
      <c r="K58" s="6">
        <v>0</v>
      </c>
      <c r="L58">
        <v>0</v>
      </c>
      <c r="M58">
        <v>0</v>
      </c>
      <c r="N58">
        <v>3</v>
      </c>
      <c r="O58">
        <v>176</v>
      </c>
      <c r="P58" s="6">
        <v>1.12E-2</v>
      </c>
      <c r="Q58" s="6">
        <v>1.9099999999999999E-2</v>
      </c>
      <c r="R58">
        <v>7.9000000000000008E-3</v>
      </c>
      <c r="S58">
        <v>0.79</v>
      </c>
      <c r="T58">
        <v>5</v>
      </c>
      <c r="U58" s="9" t="s">
        <v>694</v>
      </c>
    </row>
    <row r="59" spans="1:21" x14ac:dyDescent="0.25">
      <c r="A59" t="s">
        <v>134</v>
      </c>
      <c r="B59" t="s">
        <v>76</v>
      </c>
      <c r="C59" t="s">
        <v>127</v>
      </c>
      <c r="D59" t="s">
        <v>90</v>
      </c>
      <c r="E59" t="s">
        <v>6</v>
      </c>
      <c r="F59">
        <v>13</v>
      </c>
      <c r="G59">
        <v>86</v>
      </c>
      <c r="H59" s="6">
        <v>0.13950000000000001</v>
      </c>
      <c r="I59" s="6">
        <v>0.1512</v>
      </c>
      <c r="J59" s="6">
        <v>1.1599999999999999E-2</v>
      </c>
      <c r="K59" s="6">
        <v>8.8999999999999995E-4</v>
      </c>
      <c r="L59">
        <v>1</v>
      </c>
      <c r="M59">
        <v>0</v>
      </c>
      <c r="N59">
        <v>3</v>
      </c>
      <c r="O59">
        <v>123</v>
      </c>
      <c r="P59" s="6">
        <v>0.1348</v>
      </c>
      <c r="Q59" s="6">
        <v>0.13400000000000001</v>
      </c>
      <c r="R59">
        <v>-8.9999999999999998E-4</v>
      </c>
      <c r="S59">
        <v>-1.25</v>
      </c>
      <c r="T59">
        <v>5</v>
      </c>
      <c r="U59" s="9" t="s">
        <v>694</v>
      </c>
    </row>
    <row r="60" spans="1:21" x14ac:dyDescent="0.25">
      <c r="A60" t="s">
        <v>134</v>
      </c>
      <c r="B60" t="s">
        <v>76</v>
      </c>
      <c r="C60" t="s">
        <v>128</v>
      </c>
      <c r="D60" t="s">
        <v>90</v>
      </c>
      <c r="E60" t="s">
        <v>6</v>
      </c>
      <c r="F60">
        <v>13</v>
      </c>
      <c r="G60">
        <v>119</v>
      </c>
      <c r="H60" s="6">
        <v>0</v>
      </c>
      <c r="I60" s="6">
        <v>8.3999999999999995E-3</v>
      </c>
      <c r="J60" s="6">
        <v>8.3999999999999995E-3</v>
      </c>
      <c r="K60" s="6">
        <v>6.4999999999999997E-4</v>
      </c>
      <c r="L60">
        <v>1</v>
      </c>
      <c r="M60">
        <v>0</v>
      </c>
      <c r="N60">
        <v>3</v>
      </c>
      <c r="O60">
        <v>189</v>
      </c>
      <c r="P60" s="6">
        <v>0</v>
      </c>
      <c r="Q60" s="6">
        <v>1.95E-2</v>
      </c>
      <c r="R60">
        <v>1.95E-2</v>
      </c>
      <c r="S60">
        <v>1.1100000000000001</v>
      </c>
      <c r="T60">
        <v>5</v>
      </c>
      <c r="U60" s="9" t="s">
        <v>695</v>
      </c>
    </row>
  </sheetData>
  <autoFilter ref="A16:U60" xr:uid="{00000000-0009-0000-0000-000009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R352"/>
  <sheetViews>
    <sheetView workbookViewId="0">
      <pane ySplit="16" topLeftCell="A17" activePane="bottomLeft" state="frozen"/>
      <selection pane="bottomLeft"/>
    </sheetView>
  </sheetViews>
  <sheetFormatPr defaultRowHeight="15" x14ac:dyDescent="0.25"/>
  <cols>
    <col min="1" max="1" width="23" customWidth="1"/>
    <col min="2" max="2" width="11" customWidth="1"/>
    <col min="3" max="4" width="12" customWidth="1"/>
    <col min="5" max="6" width="35" customWidth="1"/>
    <col min="7" max="7" width="11" customWidth="1"/>
    <col min="8" max="8" width="15" customWidth="1"/>
    <col min="9" max="9" width="14" customWidth="1"/>
    <col min="10" max="10" width="13" customWidth="1"/>
    <col min="11" max="11" width="14" customWidth="1"/>
    <col min="12" max="12" width="13" customWidth="1"/>
    <col min="13" max="13" width="16" customWidth="1"/>
    <col min="14" max="14" width="11" customWidth="1"/>
    <col min="15" max="15" width="20" customWidth="1"/>
    <col min="16" max="16" width="19" customWidth="1"/>
    <col min="17" max="17" width="15" customWidth="1"/>
    <col min="18" max="18" width="13" customWidth="1"/>
  </cols>
  <sheetData>
    <row r="1" spans="1:18" ht="17.25" x14ac:dyDescent="0.3">
      <c r="A1" s="1" t="s">
        <v>60</v>
      </c>
    </row>
    <row r="2" spans="1:18" x14ac:dyDescent="0.25">
      <c r="A2" s="2" t="s">
        <v>62</v>
      </c>
    </row>
    <row r="3" spans="1:18" x14ac:dyDescent="0.25">
      <c r="A3" s="2" t="s">
        <v>387</v>
      </c>
    </row>
    <row r="4" spans="1:18" x14ac:dyDescent="0.25">
      <c r="A4" s="2" t="s">
        <v>491</v>
      </c>
    </row>
    <row r="6" spans="1:18" x14ac:dyDescent="0.25">
      <c r="A6" s="7" t="s">
        <v>100</v>
      </c>
    </row>
    <row r="7" spans="1:18" x14ac:dyDescent="0.25">
      <c r="A7" s="7" t="s">
        <v>101</v>
      </c>
    </row>
    <row r="8" spans="1:18" x14ac:dyDescent="0.25">
      <c r="A8" s="7" t="s">
        <v>696</v>
      </c>
    </row>
    <row r="9" spans="1:18" x14ac:dyDescent="0.25">
      <c r="A9" s="7" t="s">
        <v>389</v>
      </c>
    </row>
    <row r="10" spans="1:18" x14ac:dyDescent="0.25">
      <c r="A10" s="2" t="s">
        <v>697</v>
      </c>
    </row>
    <row r="11" spans="1:18" x14ac:dyDescent="0.25">
      <c r="A11" s="2" t="s">
        <v>698</v>
      </c>
    </row>
    <row r="12" spans="1:18" x14ac:dyDescent="0.25">
      <c r="A12" s="2" t="s">
        <v>699</v>
      </c>
    </row>
    <row r="13" spans="1:18" x14ac:dyDescent="0.25">
      <c r="A13" s="2" t="s">
        <v>700</v>
      </c>
    </row>
    <row r="14" spans="1:18" x14ac:dyDescent="0.25">
      <c r="A14" s="2" t="s">
        <v>701</v>
      </c>
    </row>
    <row r="16" spans="1:18" x14ac:dyDescent="0.25">
      <c r="A16" s="5" t="s">
        <v>108</v>
      </c>
      <c r="B16" s="5" t="s">
        <v>69</v>
      </c>
      <c r="C16" s="5" t="s">
        <v>83</v>
      </c>
      <c r="D16" s="5" t="s">
        <v>84</v>
      </c>
      <c r="E16" s="5" t="s">
        <v>702</v>
      </c>
      <c r="F16" s="5" t="s">
        <v>703</v>
      </c>
      <c r="G16" s="5" t="s">
        <v>704</v>
      </c>
      <c r="H16" s="5" t="s">
        <v>515</v>
      </c>
      <c r="I16" s="5" t="s">
        <v>705</v>
      </c>
      <c r="J16" s="5" t="s">
        <v>706</v>
      </c>
      <c r="K16" s="5" t="s">
        <v>707</v>
      </c>
      <c r="L16" s="5" t="s">
        <v>708</v>
      </c>
      <c r="M16" s="5" t="s">
        <v>709</v>
      </c>
      <c r="N16" s="5" t="s">
        <v>27</v>
      </c>
      <c r="O16" s="5" t="s">
        <v>710</v>
      </c>
      <c r="P16" s="5" t="s">
        <v>711</v>
      </c>
      <c r="Q16" s="5" t="s">
        <v>519</v>
      </c>
      <c r="R16" s="5" t="s">
        <v>122</v>
      </c>
    </row>
    <row r="17" spans="1:18" x14ac:dyDescent="0.25">
      <c r="A17" t="s">
        <v>134</v>
      </c>
      <c r="B17" t="s">
        <v>79</v>
      </c>
      <c r="C17" t="s">
        <v>90</v>
      </c>
      <c r="D17" t="s">
        <v>91</v>
      </c>
      <c r="E17" t="s">
        <v>712</v>
      </c>
      <c r="F17" t="s">
        <v>713</v>
      </c>
      <c r="G17" t="s">
        <v>714</v>
      </c>
      <c r="H17">
        <v>414</v>
      </c>
      <c r="I17">
        <v>377</v>
      </c>
      <c r="J17">
        <v>377</v>
      </c>
      <c r="K17" s="6">
        <v>0.91059999999999997</v>
      </c>
      <c r="L17" s="6">
        <v>0.91059999999999997</v>
      </c>
      <c r="M17" s="6">
        <v>0</v>
      </c>
      <c r="N17" t="s">
        <v>715</v>
      </c>
      <c r="O17" s="6">
        <v>0.91059999999999997</v>
      </c>
      <c r="P17" s="6">
        <v>0.91059999999999997</v>
      </c>
      <c r="Q17">
        <v>0</v>
      </c>
      <c r="R17" s="9" t="s">
        <v>716</v>
      </c>
    </row>
    <row r="18" spans="1:18" x14ac:dyDescent="0.25">
      <c r="A18" t="s">
        <v>134</v>
      </c>
      <c r="B18" t="s">
        <v>79</v>
      </c>
      <c r="C18" t="s">
        <v>90</v>
      </c>
      <c r="D18" t="s">
        <v>91</v>
      </c>
      <c r="E18" t="s">
        <v>717</v>
      </c>
      <c r="F18" t="s">
        <v>718</v>
      </c>
      <c r="G18" t="s">
        <v>714</v>
      </c>
      <c r="H18">
        <v>414</v>
      </c>
      <c r="I18">
        <v>377</v>
      </c>
      <c r="J18">
        <v>377</v>
      </c>
      <c r="K18" s="6">
        <v>0.91059999999999997</v>
      </c>
      <c r="L18" s="6">
        <v>0.91059999999999997</v>
      </c>
      <c r="M18" s="6">
        <v>0</v>
      </c>
      <c r="N18" t="s">
        <v>715</v>
      </c>
      <c r="O18" s="6">
        <v>0.91059999999999997</v>
      </c>
      <c r="P18" s="6">
        <v>0.91059999999999997</v>
      </c>
      <c r="Q18">
        <v>0</v>
      </c>
      <c r="R18" s="9" t="s">
        <v>716</v>
      </c>
    </row>
    <row r="19" spans="1:18" x14ac:dyDescent="0.25">
      <c r="A19" t="s">
        <v>134</v>
      </c>
      <c r="B19" t="s">
        <v>79</v>
      </c>
      <c r="C19" t="s">
        <v>90</v>
      </c>
      <c r="D19" t="s">
        <v>91</v>
      </c>
      <c r="E19" t="s">
        <v>719</v>
      </c>
      <c r="F19" t="s">
        <v>718</v>
      </c>
      <c r="G19" t="s">
        <v>714</v>
      </c>
      <c r="H19">
        <v>414</v>
      </c>
      <c r="I19">
        <v>377</v>
      </c>
      <c r="J19">
        <v>377</v>
      </c>
      <c r="K19" s="6">
        <v>0.91059999999999997</v>
      </c>
      <c r="L19" s="6">
        <v>0.91059999999999997</v>
      </c>
      <c r="M19" s="6">
        <v>0</v>
      </c>
      <c r="N19" t="s">
        <v>715</v>
      </c>
      <c r="O19" s="6">
        <v>0.91059999999999997</v>
      </c>
      <c r="P19" s="6">
        <v>0.91059999999999997</v>
      </c>
      <c r="Q19">
        <v>0</v>
      </c>
      <c r="R19" s="9" t="s">
        <v>716</v>
      </c>
    </row>
    <row r="20" spans="1:18" x14ac:dyDescent="0.25">
      <c r="A20" t="s">
        <v>134</v>
      </c>
      <c r="B20" t="s">
        <v>79</v>
      </c>
      <c r="C20" t="s">
        <v>90</v>
      </c>
      <c r="D20" t="s">
        <v>91</v>
      </c>
      <c r="E20" t="s">
        <v>720</v>
      </c>
      <c r="F20" t="s">
        <v>721</v>
      </c>
      <c r="G20" t="s">
        <v>714</v>
      </c>
      <c r="H20">
        <v>414</v>
      </c>
      <c r="I20">
        <v>11</v>
      </c>
      <c r="J20">
        <v>11</v>
      </c>
      <c r="K20" s="6">
        <v>2.6599999999999999E-2</v>
      </c>
      <c r="L20" s="6">
        <v>2.6599999999999999E-2</v>
      </c>
      <c r="M20" s="6">
        <v>0</v>
      </c>
      <c r="N20" t="s">
        <v>715</v>
      </c>
      <c r="O20" s="6">
        <v>2.6599999999999999E-2</v>
      </c>
      <c r="P20" s="6">
        <v>2.6599999999999999E-2</v>
      </c>
      <c r="Q20">
        <v>0</v>
      </c>
      <c r="R20" s="9" t="s">
        <v>716</v>
      </c>
    </row>
    <row r="21" spans="1:18" x14ac:dyDescent="0.25">
      <c r="A21" t="s">
        <v>134</v>
      </c>
      <c r="B21" t="s">
        <v>79</v>
      </c>
      <c r="C21" t="s">
        <v>90</v>
      </c>
      <c r="D21" t="s">
        <v>91</v>
      </c>
      <c r="E21" t="s">
        <v>722</v>
      </c>
      <c r="F21" t="s">
        <v>723</v>
      </c>
      <c r="G21" t="s">
        <v>714</v>
      </c>
      <c r="H21">
        <v>414</v>
      </c>
      <c r="I21">
        <v>377</v>
      </c>
      <c r="J21">
        <v>377</v>
      </c>
      <c r="K21" s="6">
        <v>0.91059999999999997</v>
      </c>
      <c r="L21" s="6">
        <v>0.91059999999999997</v>
      </c>
      <c r="M21" s="6">
        <v>0</v>
      </c>
      <c r="N21" t="s">
        <v>715</v>
      </c>
      <c r="O21" s="6">
        <v>0.91059999999999997</v>
      </c>
      <c r="P21" s="6">
        <v>0.91059999999999997</v>
      </c>
      <c r="Q21">
        <v>0</v>
      </c>
      <c r="R21" s="9" t="s">
        <v>716</v>
      </c>
    </row>
    <row r="22" spans="1:18" x14ac:dyDescent="0.25">
      <c r="A22" t="s">
        <v>134</v>
      </c>
      <c r="B22" t="s">
        <v>79</v>
      </c>
      <c r="C22" t="s">
        <v>90</v>
      </c>
      <c r="D22" t="s">
        <v>91</v>
      </c>
      <c r="E22" t="s">
        <v>724</v>
      </c>
      <c r="F22" t="s">
        <v>725</v>
      </c>
      <c r="G22" t="s">
        <v>714</v>
      </c>
      <c r="H22">
        <v>414</v>
      </c>
      <c r="I22">
        <v>377</v>
      </c>
      <c r="J22">
        <v>377</v>
      </c>
      <c r="K22" s="6">
        <v>0.91059999999999997</v>
      </c>
      <c r="L22" s="6">
        <v>0.91059999999999997</v>
      </c>
      <c r="M22" s="6">
        <v>0</v>
      </c>
      <c r="N22" t="s">
        <v>715</v>
      </c>
      <c r="O22" s="6">
        <v>0.91059999999999997</v>
      </c>
      <c r="P22" s="6">
        <v>0.91059999999999997</v>
      </c>
      <c r="Q22">
        <v>0</v>
      </c>
      <c r="R22" s="9" t="s">
        <v>716</v>
      </c>
    </row>
    <row r="23" spans="1:18" x14ac:dyDescent="0.25">
      <c r="A23" t="s">
        <v>134</v>
      </c>
      <c r="B23" t="s">
        <v>79</v>
      </c>
      <c r="C23" t="s">
        <v>90</v>
      </c>
      <c r="D23" t="s">
        <v>91</v>
      </c>
      <c r="E23" t="s">
        <v>726</v>
      </c>
      <c r="F23" t="s">
        <v>727</v>
      </c>
      <c r="G23" t="s">
        <v>714</v>
      </c>
      <c r="H23">
        <v>414</v>
      </c>
      <c r="I23">
        <v>377</v>
      </c>
      <c r="J23">
        <v>377</v>
      </c>
      <c r="K23" s="6">
        <v>0.91059999999999997</v>
      </c>
      <c r="L23" s="6">
        <v>0.91059999999999997</v>
      </c>
      <c r="M23" s="6">
        <v>0</v>
      </c>
      <c r="N23" t="s">
        <v>715</v>
      </c>
      <c r="O23" s="6">
        <v>0.91059999999999997</v>
      </c>
      <c r="P23" s="6">
        <v>0.91059999999999997</v>
      </c>
      <c r="Q23">
        <v>0</v>
      </c>
      <c r="R23" s="9" t="s">
        <v>716</v>
      </c>
    </row>
    <row r="24" spans="1:18" x14ac:dyDescent="0.25">
      <c r="A24" t="s">
        <v>134</v>
      </c>
      <c r="B24" t="s">
        <v>79</v>
      </c>
      <c r="C24" t="s">
        <v>90</v>
      </c>
      <c r="D24" t="s">
        <v>91</v>
      </c>
      <c r="E24" t="s">
        <v>728</v>
      </c>
      <c r="F24" t="s">
        <v>729</v>
      </c>
      <c r="G24" t="s">
        <v>714</v>
      </c>
      <c r="H24">
        <v>414</v>
      </c>
      <c r="I24">
        <v>377</v>
      </c>
      <c r="J24">
        <v>377</v>
      </c>
      <c r="K24" s="6">
        <v>0.91059999999999997</v>
      </c>
      <c r="L24" s="6">
        <v>0.91059999999999997</v>
      </c>
      <c r="M24" s="6">
        <v>0</v>
      </c>
      <c r="N24" t="s">
        <v>715</v>
      </c>
      <c r="O24" s="6">
        <v>0.91059999999999997</v>
      </c>
      <c r="P24" s="6">
        <v>0.91059999999999997</v>
      </c>
      <c r="Q24">
        <v>0</v>
      </c>
      <c r="R24" s="9" t="s">
        <v>716</v>
      </c>
    </row>
    <row r="25" spans="1:18" x14ac:dyDescent="0.25">
      <c r="A25" t="s">
        <v>134</v>
      </c>
      <c r="B25" t="s">
        <v>79</v>
      </c>
      <c r="C25" t="s">
        <v>90</v>
      </c>
      <c r="D25" t="s">
        <v>91</v>
      </c>
      <c r="E25" t="s">
        <v>730</v>
      </c>
      <c r="F25" t="s">
        <v>731</v>
      </c>
      <c r="G25" t="s">
        <v>732</v>
      </c>
      <c r="H25">
        <v>414</v>
      </c>
      <c r="I25">
        <v>377</v>
      </c>
      <c r="J25">
        <v>377</v>
      </c>
      <c r="K25" s="6">
        <v>0.91059999999999997</v>
      </c>
      <c r="L25" s="6">
        <v>0.91059999999999997</v>
      </c>
      <c r="M25" s="6">
        <v>0</v>
      </c>
      <c r="N25" t="s">
        <v>715</v>
      </c>
      <c r="O25" s="6">
        <v>0.91059999999999997</v>
      </c>
      <c r="P25" s="6">
        <v>0.91059999999999997</v>
      </c>
      <c r="Q25">
        <v>0</v>
      </c>
      <c r="R25" s="9" t="s">
        <v>716</v>
      </c>
    </row>
    <row r="26" spans="1:18" x14ac:dyDescent="0.25">
      <c r="A26" t="s">
        <v>134</v>
      </c>
      <c r="B26" t="s">
        <v>79</v>
      </c>
      <c r="C26" t="s">
        <v>90</v>
      </c>
      <c r="D26" t="s">
        <v>91</v>
      </c>
      <c r="E26" t="s">
        <v>733</v>
      </c>
      <c r="F26" t="s">
        <v>731</v>
      </c>
      <c r="G26" t="s">
        <v>732</v>
      </c>
      <c r="H26">
        <v>414</v>
      </c>
      <c r="I26">
        <v>335</v>
      </c>
      <c r="J26">
        <v>335</v>
      </c>
      <c r="K26" s="6">
        <v>0.80920000000000003</v>
      </c>
      <c r="L26" s="6">
        <v>0.80920000000000003</v>
      </c>
      <c r="M26" s="6">
        <v>0</v>
      </c>
      <c r="N26" t="s">
        <v>715</v>
      </c>
      <c r="O26" s="6">
        <v>0.80920000000000003</v>
      </c>
      <c r="P26" s="6">
        <v>0.80920000000000003</v>
      </c>
      <c r="Q26">
        <v>0</v>
      </c>
      <c r="R26" s="9" t="s">
        <v>716</v>
      </c>
    </row>
    <row r="27" spans="1:18" x14ac:dyDescent="0.25">
      <c r="A27" t="s">
        <v>134</v>
      </c>
      <c r="B27" t="s">
        <v>79</v>
      </c>
      <c r="C27" t="s">
        <v>90</v>
      </c>
      <c r="D27" t="s">
        <v>91</v>
      </c>
      <c r="E27" t="s">
        <v>734</v>
      </c>
      <c r="F27" t="s">
        <v>731</v>
      </c>
      <c r="G27" t="s">
        <v>732</v>
      </c>
      <c r="H27">
        <v>414</v>
      </c>
      <c r="I27">
        <v>42</v>
      </c>
      <c r="J27">
        <v>42</v>
      </c>
      <c r="K27" s="6">
        <v>0.1014</v>
      </c>
      <c r="L27" s="6">
        <v>0.1014</v>
      </c>
      <c r="M27" s="6">
        <v>0</v>
      </c>
      <c r="N27" t="s">
        <v>715</v>
      </c>
      <c r="O27" s="6">
        <v>0.1014</v>
      </c>
      <c r="P27" s="6">
        <v>0.1014</v>
      </c>
      <c r="Q27">
        <v>0</v>
      </c>
      <c r="R27" s="9" t="s">
        <v>716</v>
      </c>
    </row>
    <row r="28" spans="1:18" x14ac:dyDescent="0.25">
      <c r="A28" t="s">
        <v>134</v>
      </c>
      <c r="B28" t="s">
        <v>79</v>
      </c>
      <c r="C28" t="s">
        <v>90</v>
      </c>
      <c r="D28" t="s">
        <v>91</v>
      </c>
      <c r="E28" t="s">
        <v>735</v>
      </c>
      <c r="F28" t="s">
        <v>736</v>
      </c>
      <c r="G28" t="s">
        <v>714</v>
      </c>
      <c r="H28">
        <v>414</v>
      </c>
      <c r="I28">
        <v>377</v>
      </c>
      <c r="J28">
        <v>377</v>
      </c>
      <c r="K28" s="6">
        <v>0.91059999999999997</v>
      </c>
      <c r="L28" s="6">
        <v>0.91059999999999997</v>
      </c>
      <c r="M28" s="6">
        <v>0</v>
      </c>
      <c r="N28" t="s">
        <v>715</v>
      </c>
      <c r="O28" s="6">
        <v>0.91059999999999997</v>
      </c>
      <c r="P28" s="6">
        <v>0.91059999999999997</v>
      </c>
      <c r="Q28">
        <v>0</v>
      </c>
      <c r="R28" s="9" t="s">
        <v>716</v>
      </c>
    </row>
    <row r="29" spans="1:18" x14ac:dyDescent="0.25">
      <c r="A29" t="s">
        <v>134</v>
      </c>
      <c r="B29" t="s">
        <v>79</v>
      </c>
      <c r="C29" t="s">
        <v>90</v>
      </c>
      <c r="D29" t="s">
        <v>91</v>
      </c>
      <c r="E29" t="s">
        <v>737</v>
      </c>
      <c r="F29" t="s">
        <v>738</v>
      </c>
      <c r="G29" t="s">
        <v>714</v>
      </c>
      <c r="H29">
        <v>414</v>
      </c>
      <c r="I29">
        <v>377</v>
      </c>
      <c r="J29">
        <v>377</v>
      </c>
      <c r="K29" s="6">
        <v>0.91059999999999997</v>
      </c>
      <c r="L29" s="6">
        <v>0.91059999999999997</v>
      </c>
      <c r="M29" s="6">
        <v>0</v>
      </c>
      <c r="N29" t="s">
        <v>715</v>
      </c>
      <c r="O29" s="6">
        <v>0.91059999999999997</v>
      </c>
      <c r="P29" s="6">
        <v>0.91059999999999997</v>
      </c>
      <c r="Q29">
        <v>0</v>
      </c>
      <c r="R29" s="9" t="s">
        <v>716</v>
      </c>
    </row>
    <row r="30" spans="1:18" x14ac:dyDescent="0.25">
      <c r="A30" t="s">
        <v>134</v>
      </c>
      <c r="B30" t="s">
        <v>79</v>
      </c>
      <c r="C30" t="s">
        <v>90</v>
      </c>
      <c r="D30" t="s">
        <v>91</v>
      </c>
      <c r="E30" t="s">
        <v>739</v>
      </c>
      <c r="F30" t="s">
        <v>740</v>
      </c>
      <c r="G30" t="s">
        <v>732</v>
      </c>
      <c r="H30">
        <v>414</v>
      </c>
      <c r="I30">
        <v>377</v>
      </c>
      <c r="J30">
        <v>377</v>
      </c>
      <c r="K30" s="6">
        <v>0.91059999999999997</v>
      </c>
      <c r="L30" s="6">
        <v>0.91059999999999997</v>
      </c>
      <c r="M30" s="6">
        <v>0</v>
      </c>
      <c r="N30" t="s">
        <v>715</v>
      </c>
      <c r="O30" s="6">
        <v>0.91059999999999997</v>
      </c>
      <c r="P30" s="6">
        <v>0.91059999999999997</v>
      </c>
      <c r="Q30">
        <v>0</v>
      </c>
      <c r="R30" s="9" t="s">
        <v>716</v>
      </c>
    </row>
    <row r="31" spans="1:18" x14ac:dyDescent="0.25">
      <c r="A31" t="s">
        <v>134</v>
      </c>
      <c r="B31" t="s">
        <v>79</v>
      </c>
      <c r="C31" t="s">
        <v>91</v>
      </c>
      <c r="D31" t="s">
        <v>94</v>
      </c>
      <c r="E31" t="s">
        <v>712</v>
      </c>
      <c r="F31" t="s">
        <v>713</v>
      </c>
      <c r="G31" t="s">
        <v>714</v>
      </c>
      <c r="H31">
        <v>414</v>
      </c>
      <c r="I31">
        <v>377</v>
      </c>
      <c r="J31">
        <v>377</v>
      </c>
      <c r="K31" s="6">
        <v>0.91059999999999997</v>
      </c>
      <c r="L31" s="6">
        <v>0.91059999999999997</v>
      </c>
      <c r="M31" s="6">
        <v>0</v>
      </c>
      <c r="N31" t="s">
        <v>715</v>
      </c>
      <c r="O31" s="6">
        <v>0.91059999999999997</v>
      </c>
      <c r="P31" s="6">
        <v>0.90529999999999999</v>
      </c>
      <c r="Q31">
        <v>-0.53</v>
      </c>
      <c r="R31" s="9" t="s">
        <v>716</v>
      </c>
    </row>
    <row r="32" spans="1:18" x14ac:dyDescent="0.25">
      <c r="A32" t="s">
        <v>134</v>
      </c>
      <c r="B32" t="s">
        <v>79</v>
      </c>
      <c r="C32" t="s">
        <v>91</v>
      </c>
      <c r="D32" t="s">
        <v>94</v>
      </c>
      <c r="E32" t="s">
        <v>717</v>
      </c>
      <c r="F32" t="s">
        <v>718</v>
      </c>
      <c r="G32" t="s">
        <v>714</v>
      </c>
      <c r="H32">
        <v>414</v>
      </c>
      <c r="I32">
        <v>377</v>
      </c>
      <c r="J32">
        <v>377</v>
      </c>
      <c r="K32" s="6">
        <v>0.91059999999999997</v>
      </c>
      <c r="L32" s="6">
        <v>0.91059999999999997</v>
      </c>
      <c r="M32" s="6">
        <v>0</v>
      </c>
      <c r="N32" t="s">
        <v>715</v>
      </c>
      <c r="O32" s="6">
        <v>0.91059999999999997</v>
      </c>
      <c r="P32" s="6">
        <v>0.90529999999999999</v>
      </c>
      <c r="Q32">
        <v>-0.53</v>
      </c>
      <c r="R32" s="9" t="s">
        <v>716</v>
      </c>
    </row>
    <row r="33" spans="1:18" x14ac:dyDescent="0.25">
      <c r="A33" t="s">
        <v>134</v>
      </c>
      <c r="B33" t="s">
        <v>79</v>
      </c>
      <c r="C33" t="s">
        <v>91</v>
      </c>
      <c r="D33" t="s">
        <v>94</v>
      </c>
      <c r="E33" t="s">
        <v>719</v>
      </c>
      <c r="F33" t="s">
        <v>718</v>
      </c>
      <c r="G33" t="s">
        <v>714</v>
      </c>
      <c r="H33">
        <v>414</v>
      </c>
      <c r="I33">
        <v>377</v>
      </c>
      <c r="J33">
        <v>377</v>
      </c>
      <c r="K33" s="6">
        <v>0.91059999999999997</v>
      </c>
      <c r="L33" s="6">
        <v>0.91059999999999997</v>
      </c>
      <c r="M33" s="6">
        <v>0</v>
      </c>
      <c r="N33" t="s">
        <v>715</v>
      </c>
      <c r="O33" s="6">
        <v>0.91059999999999997</v>
      </c>
      <c r="P33" s="6">
        <v>0.90529999999999999</v>
      </c>
      <c r="Q33">
        <v>-0.53</v>
      </c>
      <c r="R33" s="9" t="s">
        <v>716</v>
      </c>
    </row>
    <row r="34" spans="1:18" x14ac:dyDescent="0.25">
      <c r="A34" t="s">
        <v>134</v>
      </c>
      <c r="B34" t="s">
        <v>79</v>
      </c>
      <c r="C34" t="s">
        <v>91</v>
      </c>
      <c r="D34" t="s">
        <v>94</v>
      </c>
      <c r="E34" t="s">
        <v>720</v>
      </c>
      <c r="F34" t="s">
        <v>721</v>
      </c>
      <c r="G34" t="s">
        <v>714</v>
      </c>
      <c r="H34">
        <v>414</v>
      </c>
      <c r="I34">
        <v>11</v>
      </c>
      <c r="J34">
        <v>11</v>
      </c>
      <c r="K34" s="6">
        <v>2.6599999999999999E-2</v>
      </c>
      <c r="L34" s="6">
        <v>2.6599999999999999E-2</v>
      </c>
      <c r="M34" s="6">
        <v>0</v>
      </c>
      <c r="N34" t="s">
        <v>715</v>
      </c>
      <c r="O34" s="6">
        <v>2.6599999999999999E-2</v>
      </c>
      <c r="P34" s="6">
        <v>1.0800000000000001E-2</v>
      </c>
      <c r="Q34">
        <v>-1.57</v>
      </c>
      <c r="R34" s="9" t="s">
        <v>716</v>
      </c>
    </row>
    <row r="35" spans="1:18" x14ac:dyDescent="0.25">
      <c r="A35" t="s">
        <v>134</v>
      </c>
      <c r="B35" t="s">
        <v>79</v>
      </c>
      <c r="C35" t="s">
        <v>91</v>
      </c>
      <c r="D35" t="s">
        <v>94</v>
      </c>
      <c r="E35" t="s">
        <v>722</v>
      </c>
      <c r="F35" t="s">
        <v>723</v>
      </c>
      <c r="G35" t="s">
        <v>714</v>
      </c>
      <c r="H35">
        <v>414</v>
      </c>
      <c r="I35">
        <v>377</v>
      </c>
      <c r="J35">
        <v>377</v>
      </c>
      <c r="K35" s="6">
        <v>0.91059999999999997</v>
      </c>
      <c r="L35" s="6">
        <v>0.91059999999999997</v>
      </c>
      <c r="M35" s="6">
        <v>0</v>
      </c>
      <c r="N35" t="s">
        <v>715</v>
      </c>
      <c r="O35" s="6">
        <v>0.91059999999999997</v>
      </c>
      <c r="P35" s="6">
        <v>0.90529999999999999</v>
      </c>
      <c r="Q35">
        <v>-0.53</v>
      </c>
      <c r="R35" s="9" t="s">
        <v>716</v>
      </c>
    </row>
    <row r="36" spans="1:18" x14ac:dyDescent="0.25">
      <c r="A36" t="s">
        <v>134</v>
      </c>
      <c r="B36" t="s">
        <v>79</v>
      </c>
      <c r="C36" t="s">
        <v>91</v>
      </c>
      <c r="D36" t="s">
        <v>94</v>
      </c>
      <c r="E36" t="s">
        <v>724</v>
      </c>
      <c r="F36" t="s">
        <v>725</v>
      </c>
      <c r="G36" t="s">
        <v>714</v>
      </c>
      <c r="H36">
        <v>414</v>
      </c>
      <c r="I36">
        <v>377</v>
      </c>
      <c r="J36">
        <v>377</v>
      </c>
      <c r="K36" s="6">
        <v>0.91059999999999997</v>
      </c>
      <c r="L36" s="6">
        <v>0.91059999999999997</v>
      </c>
      <c r="M36" s="6">
        <v>0</v>
      </c>
      <c r="N36" t="s">
        <v>715</v>
      </c>
      <c r="O36" s="6">
        <v>0.91059999999999997</v>
      </c>
      <c r="P36" s="6">
        <v>0.90529999999999999</v>
      </c>
      <c r="Q36">
        <v>-0.53</v>
      </c>
      <c r="R36" s="9" t="s">
        <v>716</v>
      </c>
    </row>
    <row r="37" spans="1:18" x14ac:dyDescent="0.25">
      <c r="A37" t="s">
        <v>134</v>
      </c>
      <c r="B37" t="s">
        <v>79</v>
      </c>
      <c r="C37" t="s">
        <v>91</v>
      </c>
      <c r="D37" t="s">
        <v>94</v>
      </c>
      <c r="E37" t="s">
        <v>726</v>
      </c>
      <c r="F37" t="s">
        <v>727</v>
      </c>
      <c r="G37" t="s">
        <v>714</v>
      </c>
      <c r="H37">
        <v>414</v>
      </c>
      <c r="I37">
        <v>377</v>
      </c>
      <c r="J37">
        <v>377</v>
      </c>
      <c r="K37" s="6">
        <v>0.91059999999999997</v>
      </c>
      <c r="L37" s="6">
        <v>0.91059999999999997</v>
      </c>
      <c r="M37" s="6">
        <v>0</v>
      </c>
      <c r="N37" t="s">
        <v>715</v>
      </c>
      <c r="O37" s="6">
        <v>0.91059999999999997</v>
      </c>
      <c r="P37" s="6">
        <v>0.90529999999999999</v>
      </c>
      <c r="Q37">
        <v>-0.53</v>
      </c>
      <c r="R37" s="9" t="s">
        <v>716</v>
      </c>
    </row>
    <row r="38" spans="1:18" x14ac:dyDescent="0.25">
      <c r="A38" t="s">
        <v>134</v>
      </c>
      <c r="B38" t="s">
        <v>79</v>
      </c>
      <c r="C38" t="s">
        <v>91</v>
      </c>
      <c r="D38" t="s">
        <v>94</v>
      </c>
      <c r="E38" t="s">
        <v>728</v>
      </c>
      <c r="F38" t="s">
        <v>729</v>
      </c>
      <c r="G38" t="s">
        <v>714</v>
      </c>
      <c r="H38">
        <v>414</v>
      </c>
      <c r="I38">
        <v>377</v>
      </c>
      <c r="J38">
        <v>377</v>
      </c>
      <c r="K38" s="6">
        <v>0.91059999999999997</v>
      </c>
      <c r="L38" s="6">
        <v>0.91059999999999997</v>
      </c>
      <c r="M38" s="6">
        <v>0</v>
      </c>
      <c r="N38" t="s">
        <v>715</v>
      </c>
      <c r="O38" s="6">
        <v>0.91059999999999997</v>
      </c>
      <c r="P38" s="6">
        <v>0.90529999999999999</v>
      </c>
      <c r="Q38">
        <v>-0.53</v>
      </c>
      <c r="R38" s="9" t="s">
        <v>716</v>
      </c>
    </row>
    <row r="39" spans="1:18" x14ac:dyDescent="0.25">
      <c r="A39" t="s">
        <v>134</v>
      </c>
      <c r="B39" t="s">
        <v>79</v>
      </c>
      <c r="C39" t="s">
        <v>91</v>
      </c>
      <c r="D39" t="s">
        <v>94</v>
      </c>
      <c r="E39" t="s">
        <v>730</v>
      </c>
      <c r="F39" t="s">
        <v>731</v>
      </c>
      <c r="G39" t="s">
        <v>732</v>
      </c>
      <c r="H39">
        <v>414</v>
      </c>
      <c r="I39">
        <v>377</v>
      </c>
      <c r="J39">
        <v>377</v>
      </c>
      <c r="K39" s="6">
        <v>0.91059999999999997</v>
      </c>
      <c r="L39" s="6">
        <v>0.91059999999999997</v>
      </c>
      <c r="M39" s="6">
        <v>0</v>
      </c>
      <c r="N39" t="s">
        <v>715</v>
      </c>
      <c r="O39" s="6">
        <v>0.91059999999999997</v>
      </c>
      <c r="P39" s="6">
        <v>0.90529999999999999</v>
      </c>
      <c r="Q39">
        <v>-0.53</v>
      </c>
      <c r="R39" s="9" t="s">
        <v>716</v>
      </c>
    </row>
    <row r="40" spans="1:18" x14ac:dyDescent="0.25">
      <c r="A40" t="s">
        <v>134</v>
      </c>
      <c r="B40" t="s">
        <v>79</v>
      </c>
      <c r="C40" t="s">
        <v>91</v>
      </c>
      <c r="D40" t="s">
        <v>94</v>
      </c>
      <c r="E40" t="s">
        <v>733</v>
      </c>
      <c r="F40" t="s">
        <v>731</v>
      </c>
      <c r="G40" t="s">
        <v>732</v>
      </c>
      <c r="H40">
        <v>414</v>
      </c>
      <c r="I40">
        <v>335</v>
      </c>
      <c r="J40">
        <v>335</v>
      </c>
      <c r="K40" s="6">
        <v>0.80920000000000003</v>
      </c>
      <c r="L40" s="6">
        <v>0.80920000000000003</v>
      </c>
      <c r="M40" s="6">
        <v>0</v>
      </c>
      <c r="N40" t="s">
        <v>715</v>
      </c>
      <c r="O40" s="6">
        <v>0.80920000000000003</v>
      </c>
      <c r="P40" s="6">
        <v>0.79290000000000005</v>
      </c>
      <c r="Q40">
        <v>-1.63</v>
      </c>
      <c r="R40" s="9" t="s">
        <v>716</v>
      </c>
    </row>
    <row r="41" spans="1:18" x14ac:dyDescent="0.25">
      <c r="A41" t="s">
        <v>134</v>
      </c>
      <c r="B41" t="s">
        <v>79</v>
      </c>
      <c r="C41" t="s">
        <v>91</v>
      </c>
      <c r="D41" t="s">
        <v>94</v>
      </c>
      <c r="E41" t="s">
        <v>734</v>
      </c>
      <c r="F41" t="s">
        <v>731</v>
      </c>
      <c r="G41" t="s">
        <v>732</v>
      </c>
      <c r="H41">
        <v>414</v>
      </c>
      <c r="I41">
        <v>42</v>
      </c>
      <c r="J41">
        <v>42</v>
      </c>
      <c r="K41" s="6">
        <v>0.1014</v>
      </c>
      <c r="L41" s="6">
        <v>0.1014</v>
      </c>
      <c r="M41" s="6">
        <v>0</v>
      </c>
      <c r="N41" t="s">
        <v>715</v>
      </c>
      <c r="O41" s="6">
        <v>0.1014</v>
      </c>
      <c r="P41" s="6">
        <v>0.1124</v>
      </c>
      <c r="Q41">
        <v>1.1000000000000001</v>
      </c>
      <c r="R41" s="9" t="s">
        <v>716</v>
      </c>
    </row>
    <row r="42" spans="1:18" x14ac:dyDescent="0.25">
      <c r="A42" t="s">
        <v>134</v>
      </c>
      <c r="B42" t="s">
        <v>79</v>
      </c>
      <c r="C42" t="s">
        <v>91</v>
      </c>
      <c r="D42" t="s">
        <v>94</v>
      </c>
      <c r="E42" t="s">
        <v>735</v>
      </c>
      <c r="F42" t="s">
        <v>736</v>
      </c>
      <c r="G42" t="s">
        <v>714</v>
      </c>
      <c r="H42">
        <v>414</v>
      </c>
      <c r="I42">
        <v>377</v>
      </c>
      <c r="J42">
        <v>377</v>
      </c>
      <c r="K42" s="6">
        <v>0.91059999999999997</v>
      </c>
      <c r="L42" s="6">
        <v>0.91059999999999997</v>
      </c>
      <c r="M42" s="6">
        <v>0</v>
      </c>
      <c r="N42" t="s">
        <v>715</v>
      </c>
      <c r="O42" s="6">
        <v>0.91059999999999997</v>
      </c>
      <c r="P42" s="6">
        <v>0.90529999999999999</v>
      </c>
      <c r="Q42">
        <v>-0.53</v>
      </c>
      <c r="R42" s="9" t="s">
        <v>716</v>
      </c>
    </row>
    <row r="43" spans="1:18" x14ac:dyDescent="0.25">
      <c r="A43" t="s">
        <v>134</v>
      </c>
      <c r="B43" t="s">
        <v>79</v>
      </c>
      <c r="C43" t="s">
        <v>91</v>
      </c>
      <c r="D43" t="s">
        <v>94</v>
      </c>
      <c r="E43" t="s">
        <v>737</v>
      </c>
      <c r="F43" t="s">
        <v>738</v>
      </c>
      <c r="G43" t="s">
        <v>714</v>
      </c>
      <c r="H43">
        <v>414</v>
      </c>
      <c r="I43">
        <v>377</v>
      </c>
      <c r="J43">
        <v>377</v>
      </c>
      <c r="K43" s="6">
        <v>0.91059999999999997</v>
      </c>
      <c r="L43" s="6">
        <v>0.91059999999999997</v>
      </c>
      <c r="M43" s="6">
        <v>0</v>
      </c>
      <c r="N43" t="s">
        <v>715</v>
      </c>
      <c r="O43" s="6">
        <v>0.91059999999999997</v>
      </c>
      <c r="P43" s="6">
        <v>0.90529999999999999</v>
      </c>
      <c r="Q43">
        <v>-0.53</v>
      </c>
      <c r="R43" s="9" t="s">
        <v>716</v>
      </c>
    </row>
    <row r="44" spans="1:18" x14ac:dyDescent="0.25">
      <c r="A44" t="s">
        <v>134</v>
      </c>
      <c r="B44" t="s">
        <v>79</v>
      </c>
      <c r="C44" t="s">
        <v>91</v>
      </c>
      <c r="D44" t="s">
        <v>94</v>
      </c>
      <c r="E44" t="s">
        <v>739</v>
      </c>
      <c r="F44" t="s">
        <v>740</v>
      </c>
      <c r="G44" t="s">
        <v>732</v>
      </c>
      <c r="H44">
        <v>414</v>
      </c>
      <c r="I44">
        <v>377</v>
      </c>
      <c r="J44">
        <v>377</v>
      </c>
      <c r="K44" s="6">
        <v>0.91059999999999997</v>
      </c>
      <c r="L44" s="6">
        <v>0.91059999999999997</v>
      </c>
      <c r="M44" s="6">
        <v>0</v>
      </c>
      <c r="N44" t="s">
        <v>715</v>
      </c>
      <c r="O44" s="6">
        <v>0.91059999999999997</v>
      </c>
      <c r="P44" s="6">
        <v>0.90529999999999999</v>
      </c>
      <c r="Q44">
        <v>-0.53</v>
      </c>
      <c r="R44" s="9" t="s">
        <v>716</v>
      </c>
    </row>
    <row r="45" spans="1:18" x14ac:dyDescent="0.25">
      <c r="A45" t="s">
        <v>134</v>
      </c>
      <c r="B45" t="s">
        <v>79</v>
      </c>
      <c r="C45" t="s">
        <v>94</v>
      </c>
      <c r="D45" t="s">
        <v>96</v>
      </c>
      <c r="E45" t="s">
        <v>712</v>
      </c>
      <c r="F45" t="s">
        <v>713</v>
      </c>
      <c r="G45" t="s">
        <v>714</v>
      </c>
      <c r="H45">
        <v>1014</v>
      </c>
      <c r="I45">
        <v>918</v>
      </c>
      <c r="J45">
        <v>918</v>
      </c>
      <c r="K45" s="6">
        <v>0.90529999999999999</v>
      </c>
      <c r="L45" s="6">
        <v>0.90529999999999999</v>
      </c>
      <c r="M45" s="6">
        <v>0</v>
      </c>
      <c r="N45" t="s">
        <v>715</v>
      </c>
      <c r="O45" s="6">
        <v>0.90529999999999999</v>
      </c>
      <c r="P45" s="6">
        <v>0.9</v>
      </c>
      <c r="Q45">
        <v>-0.53</v>
      </c>
      <c r="R45" s="9" t="s">
        <v>741</v>
      </c>
    </row>
    <row r="46" spans="1:18" x14ac:dyDescent="0.25">
      <c r="A46" t="s">
        <v>134</v>
      </c>
      <c r="B46" t="s">
        <v>79</v>
      </c>
      <c r="C46" t="s">
        <v>94</v>
      </c>
      <c r="D46" t="s">
        <v>96</v>
      </c>
      <c r="E46" t="s">
        <v>717</v>
      </c>
      <c r="F46" t="s">
        <v>718</v>
      </c>
      <c r="G46" t="s">
        <v>714</v>
      </c>
      <c r="H46">
        <v>1014</v>
      </c>
      <c r="I46">
        <v>918</v>
      </c>
      <c r="J46">
        <v>918</v>
      </c>
      <c r="K46" s="6">
        <v>0.90529999999999999</v>
      </c>
      <c r="L46" s="6">
        <v>0.90529999999999999</v>
      </c>
      <c r="M46" s="6">
        <v>0</v>
      </c>
      <c r="N46" t="s">
        <v>715</v>
      </c>
      <c r="O46" s="6">
        <v>0.90529999999999999</v>
      </c>
      <c r="P46" s="6">
        <v>0.9</v>
      </c>
      <c r="Q46">
        <v>-0.53</v>
      </c>
      <c r="R46" s="9" t="s">
        <v>741</v>
      </c>
    </row>
    <row r="47" spans="1:18" x14ac:dyDescent="0.25">
      <c r="A47" t="s">
        <v>134</v>
      </c>
      <c r="B47" t="s">
        <v>79</v>
      </c>
      <c r="C47" t="s">
        <v>94</v>
      </c>
      <c r="D47" t="s">
        <v>96</v>
      </c>
      <c r="E47" t="s">
        <v>719</v>
      </c>
      <c r="F47" t="s">
        <v>718</v>
      </c>
      <c r="G47" t="s">
        <v>714</v>
      </c>
      <c r="H47">
        <v>1014</v>
      </c>
      <c r="I47">
        <v>918</v>
      </c>
      <c r="J47">
        <v>918</v>
      </c>
      <c r="K47" s="6">
        <v>0.90529999999999999</v>
      </c>
      <c r="L47" s="6">
        <v>0.90529999999999999</v>
      </c>
      <c r="M47" s="6">
        <v>0</v>
      </c>
      <c r="N47" t="s">
        <v>715</v>
      </c>
      <c r="O47" s="6">
        <v>0.90529999999999999</v>
      </c>
      <c r="P47" s="6">
        <v>0.9</v>
      </c>
      <c r="Q47">
        <v>-0.53</v>
      </c>
      <c r="R47" s="9" t="s">
        <v>741</v>
      </c>
    </row>
    <row r="48" spans="1:18" x14ac:dyDescent="0.25">
      <c r="A48" t="s">
        <v>134</v>
      </c>
      <c r="B48" t="s">
        <v>79</v>
      </c>
      <c r="C48" t="s">
        <v>94</v>
      </c>
      <c r="D48" t="s">
        <v>96</v>
      </c>
      <c r="E48" t="s">
        <v>742</v>
      </c>
      <c r="F48" t="s">
        <v>743</v>
      </c>
      <c r="G48" t="s">
        <v>714</v>
      </c>
      <c r="H48">
        <v>1014</v>
      </c>
      <c r="I48">
        <v>0</v>
      </c>
      <c r="J48">
        <v>189</v>
      </c>
      <c r="K48" s="6">
        <v>0</v>
      </c>
      <c r="L48" s="6">
        <v>0.18640000000000001</v>
      </c>
      <c r="M48" s="6">
        <v>18.64</v>
      </c>
      <c r="N48" t="s">
        <v>744</v>
      </c>
      <c r="O48" s="6">
        <v>0</v>
      </c>
      <c r="P48" s="6">
        <v>0.18529999999999999</v>
      </c>
      <c r="Q48">
        <v>-0.11</v>
      </c>
      <c r="R48" s="9" t="s">
        <v>741</v>
      </c>
    </row>
    <row r="49" spans="1:18" x14ac:dyDescent="0.25">
      <c r="A49" t="s">
        <v>134</v>
      </c>
      <c r="B49" t="s">
        <v>79</v>
      </c>
      <c r="C49" t="s">
        <v>94</v>
      </c>
      <c r="D49" t="s">
        <v>96</v>
      </c>
      <c r="E49" t="s">
        <v>720</v>
      </c>
      <c r="F49" t="s">
        <v>721</v>
      </c>
      <c r="G49" t="s">
        <v>714</v>
      </c>
      <c r="H49">
        <v>1014</v>
      </c>
      <c r="I49">
        <v>11</v>
      </c>
      <c r="J49">
        <v>11</v>
      </c>
      <c r="K49" s="6">
        <v>1.0800000000000001E-2</v>
      </c>
      <c r="L49" s="6">
        <v>1.0800000000000001E-2</v>
      </c>
      <c r="M49" s="6">
        <v>0</v>
      </c>
      <c r="N49" t="s">
        <v>715</v>
      </c>
      <c r="O49" s="6">
        <v>1.0800000000000001E-2</v>
      </c>
      <c r="P49" s="6">
        <v>1.0800000000000001E-2</v>
      </c>
      <c r="Q49">
        <v>-0.01</v>
      </c>
      <c r="R49" s="9" t="s">
        <v>741</v>
      </c>
    </row>
    <row r="50" spans="1:18" x14ac:dyDescent="0.25">
      <c r="A50" t="s">
        <v>134</v>
      </c>
      <c r="B50" t="s">
        <v>79</v>
      </c>
      <c r="C50" t="s">
        <v>94</v>
      </c>
      <c r="D50" t="s">
        <v>96</v>
      </c>
      <c r="E50" t="s">
        <v>722</v>
      </c>
      <c r="F50" t="s">
        <v>723</v>
      </c>
      <c r="G50" t="s">
        <v>714</v>
      </c>
      <c r="H50">
        <v>1014</v>
      </c>
      <c r="I50">
        <v>918</v>
      </c>
      <c r="J50">
        <v>918</v>
      </c>
      <c r="K50" s="6">
        <v>0.90529999999999999</v>
      </c>
      <c r="L50" s="6">
        <v>0.90529999999999999</v>
      </c>
      <c r="M50" s="6">
        <v>0</v>
      </c>
      <c r="N50" t="s">
        <v>715</v>
      </c>
      <c r="O50" s="6">
        <v>0.90529999999999999</v>
      </c>
      <c r="P50" s="6">
        <v>0.9</v>
      </c>
      <c r="Q50">
        <v>-0.53</v>
      </c>
      <c r="R50" s="9" t="s">
        <v>741</v>
      </c>
    </row>
    <row r="51" spans="1:18" x14ac:dyDescent="0.25">
      <c r="A51" t="s">
        <v>134</v>
      </c>
      <c r="B51" t="s">
        <v>79</v>
      </c>
      <c r="C51" t="s">
        <v>94</v>
      </c>
      <c r="D51" t="s">
        <v>96</v>
      </c>
      <c r="E51" t="s">
        <v>724</v>
      </c>
      <c r="F51" t="s">
        <v>725</v>
      </c>
      <c r="G51" t="s">
        <v>714</v>
      </c>
      <c r="H51">
        <v>1014</v>
      </c>
      <c r="I51">
        <v>918</v>
      </c>
      <c r="J51">
        <v>918</v>
      </c>
      <c r="K51" s="6">
        <v>0.90529999999999999</v>
      </c>
      <c r="L51" s="6">
        <v>0.90529999999999999</v>
      </c>
      <c r="M51" s="6">
        <v>0</v>
      </c>
      <c r="N51" t="s">
        <v>715</v>
      </c>
      <c r="O51" s="6">
        <v>0.90529999999999999</v>
      </c>
      <c r="P51" s="6">
        <v>0.9</v>
      </c>
      <c r="Q51">
        <v>-0.53</v>
      </c>
      <c r="R51" s="9" t="s">
        <v>741</v>
      </c>
    </row>
    <row r="52" spans="1:18" x14ac:dyDescent="0.25">
      <c r="A52" t="s">
        <v>134</v>
      </c>
      <c r="B52" t="s">
        <v>79</v>
      </c>
      <c r="C52" t="s">
        <v>94</v>
      </c>
      <c r="D52" t="s">
        <v>96</v>
      </c>
      <c r="E52" t="s">
        <v>745</v>
      </c>
      <c r="F52" t="s">
        <v>746</v>
      </c>
      <c r="G52" t="s">
        <v>714</v>
      </c>
      <c r="H52">
        <v>1014</v>
      </c>
      <c r="I52">
        <v>0</v>
      </c>
      <c r="J52">
        <v>189</v>
      </c>
      <c r="K52" s="6">
        <v>0</v>
      </c>
      <c r="L52" s="6">
        <v>0.18640000000000001</v>
      </c>
      <c r="M52" s="6">
        <v>18.64</v>
      </c>
      <c r="N52" t="s">
        <v>744</v>
      </c>
      <c r="O52" s="6">
        <v>0</v>
      </c>
      <c r="P52" s="6">
        <v>0.18529999999999999</v>
      </c>
      <c r="Q52">
        <v>-0.11</v>
      </c>
      <c r="R52" s="9" t="s">
        <v>741</v>
      </c>
    </row>
    <row r="53" spans="1:18" x14ac:dyDescent="0.25">
      <c r="A53" t="s">
        <v>134</v>
      </c>
      <c r="B53" t="s">
        <v>79</v>
      </c>
      <c r="C53" t="s">
        <v>94</v>
      </c>
      <c r="D53" t="s">
        <v>96</v>
      </c>
      <c r="E53" t="s">
        <v>726</v>
      </c>
      <c r="F53" t="s">
        <v>727</v>
      </c>
      <c r="G53" t="s">
        <v>714</v>
      </c>
      <c r="H53">
        <v>1014</v>
      </c>
      <c r="I53">
        <v>918</v>
      </c>
      <c r="J53">
        <v>918</v>
      </c>
      <c r="K53" s="6">
        <v>0.90529999999999999</v>
      </c>
      <c r="L53" s="6">
        <v>0.90529999999999999</v>
      </c>
      <c r="M53" s="6">
        <v>0</v>
      </c>
      <c r="N53" t="s">
        <v>715</v>
      </c>
      <c r="O53" s="6">
        <v>0.90529999999999999</v>
      </c>
      <c r="P53" s="6">
        <v>0.9</v>
      </c>
      <c r="Q53">
        <v>-0.53</v>
      </c>
      <c r="R53" s="9" t="s">
        <v>741</v>
      </c>
    </row>
    <row r="54" spans="1:18" x14ac:dyDescent="0.25">
      <c r="A54" t="s">
        <v>134</v>
      </c>
      <c r="B54" t="s">
        <v>79</v>
      </c>
      <c r="C54" t="s">
        <v>94</v>
      </c>
      <c r="D54" t="s">
        <v>96</v>
      </c>
      <c r="E54" t="s">
        <v>728</v>
      </c>
      <c r="F54" t="s">
        <v>729</v>
      </c>
      <c r="G54" t="s">
        <v>714</v>
      </c>
      <c r="H54">
        <v>1014</v>
      </c>
      <c r="I54">
        <v>918</v>
      </c>
      <c r="J54">
        <v>918</v>
      </c>
      <c r="K54" s="6">
        <v>0.90529999999999999</v>
      </c>
      <c r="L54" s="6">
        <v>0.90529999999999999</v>
      </c>
      <c r="M54" s="6">
        <v>0</v>
      </c>
      <c r="N54" t="s">
        <v>715</v>
      </c>
      <c r="O54" s="6">
        <v>0.90529999999999999</v>
      </c>
      <c r="P54" s="6">
        <v>0.9</v>
      </c>
      <c r="Q54">
        <v>-0.53</v>
      </c>
      <c r="R54" s="9" t="s">
        <v>741</v>
      </c>
    </row>
    <row r="55" spans="1:18" x14ac:dyDescent="0.25">
      <c r="A55" t="s">
        <v>134</v>
      </c>
      <c r="B55" t="s">
        <v>79</v>
      </c>
      <c r="C55" t="s">
        <v>94</v>
      </c>
      <c r="D55" t="s">
        <v>96</v>
      </c>
      <c r="E55" t="s">
        <v>730</v>
      </c>
      <c r="F55" t="s">
        <v>731</v>
      </c>
      <c r="G55" t="s">
        <v>732</v>
      </c>
      <c r="H55">
        <v>1014</v>
      </c>
      <c r="I55">
        <v>918</v>
      </c>
      <c r="J55">
        <v>918</v>
      </c>
      <c r="K55" s="6">
        <v>0.90529999999999999</v>
      </c>
      <c r="L55" s="6">
        <v>0.90529999999999999</v>
      </c>
      <c r="M55" s="6">
        <v>0</v>
      </c>
      <c r="N55" t="s">
        <v>715</v>
      </c>
      <c r="O55" s="6">
        <v>0.90529999999999999</v>
      </c>
      <c r="P55" s="6">
        <v>0.9</v>
      </c>
      <c r="Q55">
        <v>-0.53</v>
      </c>
      <c r="R55" s="9" t="s">
        <v>741</v>
      </c>
    </row>
    <row r="56" spans="1:18" x14ac:dyDescent="0.25">
      <c r="A56" t="s">
        <v>134</v>
      </c>
      <c r="B56" t="s">
        <v>79</v>
      </c>
      <c r="C56" t="s">
        <v>94</v>
      </c>
      <c r="D56" t="s">
        <v>96</v>
      </c>
      <c r="E56" t="s">
        <v>733</v>
      </c>
      <c r="F56" t="s">
        <v>731</v>
      </c>
      <c r="G56" t="s">
        <v>732</v>
      </c>
      <c r="H56">
        <v>1014</v>
      </c>
      <c r="I56">
        <v>804</v>
      </c>
      <c r="J56">
        <v>804</v>
      </c>
      <c r="K56" s="6">
        <v>0.79290000000000005</v>
      </c>
      <c r="L56" s="6">
        <v>0.79290000000000005</v>
      </c>
      <c r="M56" s="6">
        <v>0</v>
      </c>
      <c r="N56" t="s">
        <v>715</v>
      </c>
      <c r="O56" s="6">
        <v>0.79290000000000005</v>
      </c>
      <c r="P56" s="6">
        <v>0.78820000000000001</v>
      </c>
      <c r="Q56">
        <v>-0.47</v>
      </c>
      <c r="R56" s="9" t="s">
        <v>741</v>
      </c>
    </row>
    <row r="57" spans="1:18" x14ac:dyDescent="0.25">
      <c r="A57" t="s">
        <v>134</v>
      </c>
      <c r="B57" t="s">
        <v>79</v>
      </c>
      <c r="C57" t="s">
        <v>94</v>
      </c>
      <c r="D57" t="s">
        <v>96</v>
      </c>
      <c r="E57" t="s">
        <v>734</v>
      </c>
      <c r="F57" t="s">
        <v>731</v>
      </c>
      <c r="G57" t="s">
        <v>732</v>
      </c>
      <c r="H57">
        <v>1014</v>
      </c>
      <c r="I57">
        <v>114</v>
      </c>
      <c r="J57">
        <v>114</v>
      </c>
      <c r="K57" s="6">
        <v>0.1124</v>
      </c>
      <c r="L57" s="6">
        <v>0.1124</v>
      </c>
      <c r="M57" s="6">
        <v>0</v>
      </c>
      <c r="N57" t="s">
        <v>715</v>
      </c>
      <c r="O57" s="6">
        <v>0.1124</v>
      </c>
      <c r="P57" s="6">
        <v>0.1118</v>
      </c>
      <c r="Q57">
        <v>-7.0000000000000007E-2</v>
      </c>
      <c r="R57" s="9" t="s">
        <v>741</v>
      </c>
    </row>
    <row r="58" spans="1:18" x14ac:dyDescent="0.25">
      <c r="A58" t="s">
        <v>134</v>
      </c>
      <c r="B58" t="s">
        <v>79</v>
      </c>
      <c r="C58" t="s">
        <v>94</v>
      </c>
      <c r="D58" t="s">
        <v>96</v>
      </c>
      <c r="E58" t="s">
        <v>735</v>
      </c>
      <c r="F58" t="s">
        <v>736</v>
      </c>
      <c r="G58" t="s">
        <v>714</v>
      </c>
      <c r="H58">
        <v>1014</v>
      </c>
      <c r="I58">
        <v>918</v>
      </c>
      <c r="J58">
        <v>918</v>
      </c>
      <c r="K58" s="6">
        <v>0.90529999999999999</v>
      </c>
      <c r="L58" s="6">
        <v>0.90529999999999999</v>
      </c>
      <c r="M58" s="6">
        <v>0</v>
      </c>
      <c r="N58" t="s">
        <v>715</v>
      </c>
      <c r="O58" s="6">
        <v>0.90529999999999999</v>
      </c>
      <c r="P58" s="6">
        <v>0.9</v>
      </c>
      <c r="Q58">
        <v>-0.53</v>
      </c>
      <c r="R58" s="9" t="s">
        <v>741</v>
      </c>
    </row>
    <row r="59" spans="1:18" x14ac:dyDescent="0.25">
      <c r="A59" t="s">
        <v>134</v>
      </c>
      <c r="B59" t="s">
        <v>79</v>
      </c>
      <c r="C59" t="s">
        <v>94</v>
      </c>
      <c r="D59" t="s">
        <v>96</v>
      </c>
      <c r="E59" t="s">
        <v>737</v>
      </c>
      <c r="F59" t="s">
        <v>738</v>
      </c>
      <c r="G59" t="s">
        <v>714</v>
      </c>
      <c r="H59">
        <v>1014</v>
      </c>
      <c r="I59">
        <v>918</v>
      </c>
      <c r="J59">
        <v>918</v>
      </c>
      <c r="K59" s="6">
        <v>0.90529999999999999</v>
      </c>
      <c r="L59" s="6">
        <v>0.90529999999999999</v>
      </c>
      <c r="M59" s="6">
        <v>0</v>
      </c>
      <c r="N59" t="s">
        <v>715</v>
      </c>
      <c r="O59" s="6">
        <v>0.90529999999999999</v>
      </c>
      <c r="P59" s="6">
        <v>0.9</v>
      </c>
      <c r="Q59">
        <v>-0.53</v>
      </c>
      <c r="R59" s="9" t="s">
        <v>741</v>
      </c>
    </row>
    <row r="60" spans="1:18" x14ac:dyDescent="0.25">
      <c r="A60" t="s">
        <v>134</v>
      </c>
      <c r="B60" t="s">
        <v>79</v>
      </c>
      <c r="C60" t="s">
        <v>94</v>
      </c>
      <c r="D60" t="s">
        <v>96</v>
      </c>
      <c r="E60" t="s">
        <v>739</v>
      </c>
      <c r="F60" t="s">
        <v>740</v>
      </c>
      <c r="G60" t="s">
        <v>732</v>
      </c>
      <c r="H60">
        <v>1014</v>
      </c>
      <c r="I60">
        <v>918</v>
      </c>
      <c r="J60">
        <v>918</v>
      </c>
      <c r="K60" s="6">
        <v>0.90529999999999999</v>
      </c>
      <c r="L60" s="6">
        <v>0.90529999999999999</v>
      </c>
      <c r="M60" s="6">
        <v>0</v>
      </c>
      <c r="N60" t="s">
        <v>715</v>
      </c>
      <c r="O60" s="6">
        <v>0.90529999999999999</v>
      </c>
      <c r="P60" s="6">
        <v>0.9</v>
      </c>
      <c r="Q60">
        <v>-0.53</v>
      </c>
      <c r="R60" s="9" t="s">
        <v>741</v>
      </c>
    </row>
    <row r="61" spans="1:18" x14ac:dyDescent="0.25">
      <c r="A61" t="s">
        <v>134</v>
      </c>
      <c r="B61" t="s">
        <v>79</v>
      </c>
      <c r="C61" t="s">
        <v>96</v>
      </c>
      <c r="D61" t="s">
        <v>6</v>
      </c>
      <c r="E61" t="s">
        <v>712</v>
      </c>
      <c r="F61" t="s">
        <v>713</v>
      </c>
      <c r="G61" t="s">
        <v>714</v>
      </c>
      <c r="H61">
        <v>1014</v>
      </c>
      <c r="I61">
        <v>918</v>
      </c>
      <c r="J61">
        <v>918</v>
      </c>
      <c r="K61" s="6">
        <v>0.90529999999999999</v>
      </c>
      <c r="L61" s="6">
        <v>0.90529999999999999</v>
      </c>
      <c r="M61" s="6">
        <v>0</v>
      </c>
      <c r="N61" t="s">
        <v>715</v>
      </c>
      <c r="O61" s="6">
        <v>0.9</v>
      </c>
      <c r="P61" s="6">
        <v>0.90529999999999999</v>
      </c>
      <c r="Q61">
        <v>0.53</v>
      </c>
      <c r="R61" s="9" t="s">
        <v>741</v>
      </c>
    </row>
    <row r="62" spans="1:18" x14ac:dyDescent="0.25">
      <c r="A62" t="s">
        <v>134</v>
      </c>
      <c r="B62" t="s">
        <v>79</v>
      </c>
      <c r="C62" t="s">
        <v>96</v>
      </c>
      <c r="D62" t="s">
        <v>6</v>
      </c>
      <c r="E62" t="s">
        <v>717</v>
      </c>
      <c r="F62" t="s">
        <v>718</v>
      </c>
      <c r="G62" t="s">
        <v>714</v>
      </c>
      <c r="H62">
        <v>1014</v>
      </c>
      <c r="I62">
        <v>918</v>
      </c>
      <c r="J62">
        <v>918</v>
      </c>
      <c r="K62" s="6">
        <v>0.90529999999999999</v>
      </c>
      <c r="L62" s="6">
        <v>0.90529999999999999</v>
      </c>
      <c r="M62" s="6">
        <v>0</v>
      </c>
      <c r="N62" t="s">
        <v>715</v>
      </c>
      <c r="O62" s="6">
        <v>0.9</v>
      </c>
      <c r="P62" s="6">
        <v>0.90529999999999999</v>
      </c>
      <c r="Q62">
        <v>0.53</v>
      </c>
      <c r="R62" s="9" t="s">
        <v>741</v>
      </c>
    </row>
    <row r="63" spans="1:18" x14ac:dyDescent="0.25">
      <c r="A63" t="s">
        <v>134</v>
      </c>
      <c r="B63" t="s">
        <v>79</v>
      </c>
      <c r="C63" t="s">
        <v>96</v>
      </c>
      <c r="D63" t="s">
        <v>6</v>
      </c>
      <c r="E63" t="s">
        <v>719</v>
      </c>
      <c r="F63" t="s">
        <v>718</v>
      </c>
      <c r="G63" t="s">
        <v>714</v>
      </c>
      <c r="H63">
        <v>1014</v>
      </c>
      <c r="I63">
        <v>918</v>
      </c>
      <c r="J63">
        <v>918</v>
      </c>
      <c r="K63" s="6">
        <v>0.90529999999999999</v>
      </c>
      <c r="L63" s="6">
        <v>0.90529999999999999</v>
      </c>
      <c r="M63" s="6">
        <v>0</v>
      </c>
      <c r="N63" t="s">
        <v>715</v>
      </c>
      <c r="O63" s="6">
        <v>0.9</v>
      </c>
      <c r="P63" s="6">
        <v>0.90529999999999999</v>
      </c>
      <c r="Q63">
        <v>0.53</v>
      </c>
      <c r="R63" s="9" t="s">
        <v>741</v>
      </c>
    </row>
    <row r="64" spans="1:18" x14ac:dyDescent="0.25">
      <c r="A64" t="s">
        <v>134</v>
      </c>
      <c r="B64" t="s">
        <v>79</v>
      </c>
      <c r="C64" t="s">
        <v>96</v>
      </c>
      <c r="D64" t="s">
        <v>6</v>
      </c>
      <c r="E64" t="s">
        <v>742</v>
      </c>
      <c r="F64" t="s">
        <v>743</v>
      </c>
      <c r="G64" t="s">
        <v>714</v>
      </c>
      <c r="H64">
        <v>1014</v>
      </c>
      <c r="I64">
        <v>189</v>
      </c>
      <c r="J64">
        <v>259</v>
      </c>
      <c r="K64" s="6">
        <v>0.18640000000000001</v>
      </c>
      <c r="L64" s="6">
        <v>0.25540000000000002</v>
      </c>
      <c r="M64" s="6">
        <v>6.9</v>
      </c>
      <c r="N64" t="s">
        <v>747</v>
      </c>
      <c r="O64" s="6">
        <v>0.18529999999999999</v>
      </c>
      <c r="P64" s="6">
        <v>0.25540000000000002</v>
      </c>
      <c r="Q64">
        <v>0.11</v>
      </c>
      <c r="R64" s="9" t="s">
        <v>741</v>
      </c>
    </row>
    <row r="65" spans="1:18" x14ac:dyDescent="0.25">
      <c r="A65" t="s">
        <v>134</v>
      </c>
      <c r="B65" t="s">
        <v>79</v>
      </c>
      <c r="C65" t="s">
        <v>96</v>
      </c>
      <c r="D65" t="s">
        <v>6</v>
      </c>
      <c r="E65" t="s">
        <v>720</v>
      </c>
      <c r="F65" t="s">
        <v>721</v>
      </c>
      <c r="G65" t="s">
        <v>714</v>
      </c>
      <c r="H65">
        <v>1014</v>
      </c>
      <c r="I65">
        <v>11</v>
      </c>
      <c r="J65">
        <v>11</v>
      </c>
      <c r="K65" s="6">
        <v>1.0800000000000001E-2</v>
      </c>
      <c r="L65" s="6">
        <v>1.0800000000000001E-2</v>
      </c>
      <c r="M65" s="6">
        <v>0</v>
      </c>
      <c r="N65" t="s">
        <v>715</v>
      </c>
      <c r="O65" s="6">
        <v>1.0800000000000001E-2</v>
      </c>
      <c r="P65" s="6">
        <v>1.0800000000000001E-2</v>
      </c>
      <c r="Q65">
        <v>0.01</v>
      </c>
      <c r="R65" s="9" t="s">
        <v>741</v>
      </c>
    </row>
    <row r="66" spans="1:18" x14ac:dyDescent="0.25">
      <c r="A66" t="s">
        <v>134</v>
      </c>
      <c r="B66" t="s">
        <v>79</v>
      </c>
      <c r="C66" t="s">
        <v>96</v>
      </c>
      <c r="D66" t="s">
        <v>6</v>
      </c>
      <c r="E66" t="s">
        <v>722</v>
      </c>
      <c r="F66" t="s">
        <v>723</v>
      </c>
      <c r="G66" t="s">
        <v>714</v>
      </c>
      <c r="H66">
        <v>1014</v>
      </c>
      <c r="I66">
        <v>918</v>
      </c>
      <c r="J66">
        <v>918</v>
      </c>
      <c r="K66" s="6">
        <v>0.90529999999999999</v>
      </c>
      <c r="L66" s="6">
        <v>0.90529999999999999</v>
      </c>
      <c r="M66" s="6">
        <v>0</v>
      </c>
      <c r="N66" t="s">
        <v>715</v>
      </c>
      <c r="O66" s="6">
        <v>0.9</v>
      </c>
      <c r="P66" s="6">
        <v>0.90529999999999999</v>
      </c>
      <c r="Q66">
        <v>0.53</v>
      </c>
      <c r="R66" s="9" t="s">
        <v>741</v>
      </c>
    </row>
    <row r="67" spans="1:18" x14ac:dyDescent="0.25">
      <c r="A67" t="s">
        <v>134</v>
      </c>
      <c r="B67" t="s">
        <v>79</v>
      </c>
      <c r="C67" t="s">
        <v>96</v>
      </c>
      <c r="D67" t="s">
        <v>6</v>
      </c>
      <c r="E67" t="s">
        <v>724</v>
      </c>
      <c r="F67" t="s">
        <v>725</v>
      </c>
      <c r="G67" t="s">
        <v>714</v>
      </c>
      <c r="H67">
        <v>1014</v>
      </c>
      <c r="I67">
        <v>918</v>
      </c>
      <c r="J67">
        <v>918</v>
      </c>
      <c r="K67" s="6">
        <v>0.90529999999999999</v>
      </c>
      <c r="L67" s="6">
        <v>0.90529999999999999</v>
      </c>
      <c r="M67" s="6">
        <v>0</v>
      </c>
      <c r="N67" t="s">
        <v>715</v>
      </c>
      <c r="O67" s="6">
        <v>0.9</v>
      </c>
      <c r="P67" s="6">
        <v>0.90529999999999999</v>
      </c>
      <c r="Q67">
        <v>0.53</v>
      </c>
      <c r="R67" s="9" t="s">
        <v>741</v>
      </c>
    </row>
    <row r="68" spans="1:18" x14ac:dyDescent="0.25">
      <c r="A68" t="s">
        <v>134</v>
      </c>
      <c r="B68" t="s">
        <v>79</v>
      </c>
      <c r="C68" t="s">
        <v>96</v>
      </c>
      <c r="D68" t="s">
        <v>6</v>
      </c>
      <c r="E68" t="s">
        <v>745</v>
      </c>
      <c r="F68" t="s">
        <v>746</v>
      </c>
      <c r="G68" t="s">
        <v>714</v>
      </c>
      <c r="H68">
        <v>1014</v>
      </c>
      <c r="I68">
        <v>189</v>
      </c>
      <c r="J68">
        <v>259</v>
      </c>
      <c r="K68" s="6">
        <v>0.18640000000000001</v>
      </c>
      <c r="L68" s="6">
        <v>0.25540000000000002</v>
      </c>
      <c r="M68" s="6">
        <v>6.9</v>
      </c>
      <c r="N68" t="s">
        <v>747</v>
      </c>
      <c r="O68" s="6">
        <v>0.18529999999999999</v>
      </c>
      <c r="P68" s="6">
        <v>0.25540000000000002</v>
      </c>
      <c r="Q68">
        <v>0.11</v>
      </c>
      <c r="R68" s="9" t="s">
        <v>741</v>
      </c>
    </row>
    <row r="69" spans="1:18" x14ac:dyDescent="0.25">
      <c r="A69" t="s">
        <v>134</v>
      </c>
      <c r="B69" t="s">
        <v>79</v>
      </c>
      <c r="C69" t="s">
        <v>96</v>
      </c>
      <c r="D69" t="s">
        <v>6</v>
      </c>
      <c r="E69" t="s">
        <v>726</v>
      </c>
      <c r="F69" t="s">
        <v>727</v>
      </c>
      <c r="G69" t="s">
        <v>714</v>
      </c>
      <c r="H69">
        <v>1014</v>
      </c>
      <c r="I69">
        <v>918</v>
      </c>
      <c r="J69">
        <v>918</v>
      </c>
      <c r="K69" s="6">
        <v>0.90529999999999999</v>
      </c>
      <c r="L69" s="6">
        <v>0.90529999999999999</v>
      </c>
      <c r="M69" s="6">
        <v>0</v>
      </c>
      <c r="N69" t="s">
        <v>715</v>
      </c>
      <c r="O69" s="6">
        <v>0.9</v>
      </c>
      <c r="P69" s="6">
        <v>0.90529999999999999</v>
      </c>
      <c r="Q69">
        <v>0.53</v>
      </c>
      <c r="R69" s="9" t="s">
        <v>741</v>
      </c>
    </row>
    <row r="70" spans="1:18" x14ac:dyDescent="0.25">
      <c r="A70" t="s">
        <v>134</v>
      </c>
      <c r="B70" t="s">
        <v>79</v>
      </c>
      <c r="C70" t="s">
        <v>96</v>
      </c>
      <c r="D70" t="s">
        <v>6</v>
      </c>
      <c r="E70" t="s">
        <v>728</v>
      </c>
      <c r="F70" t="s">
        <v>729</v>
      </c>
      <c r="G70" t="s">
        <v>714</v>
      </c>
      <c r="H70">
        <v>1014</v>
      </c>
      <c r="I70">
        <v>918</v>
      </c>
      <c r="J70">
        <v>918</v>
      </c>
      <c r="K70" s="6">
        <v>0.90529999999999999</v>
      </c>
      <c r="L70" s="6">
        <v>0.90529999999999999</v>
      </c>
      <c r="M70" s="6">
        <v>0</v>
      </c>
      <c r="N70" t="s">
        <v>715</v>
      </c>
      <c r="O70" s="6">
        <v>0.9</v>
      </c>
      <c r="P70" s="6">
        <v>0.90529999999999999</v>
      </c>
      <c r="Q70">
        <v>0.53</v>
      </c>
      <c r="R70" s="9" t="s">
        <v>741</v>
      </c>
    </row>
    <row r="71" spans="1:18" x14ac:dyDescent="0.25">
      <c r="A71" t="s">
        <v>134</v>
      </c>
      <c r="B71" t="s">
        <v>79</v>
      </c>
      <c r="C71" t="s">
        <v>96</v>
      </c>
      <c r="D71" t="s">
        <v>6</v>
      </c>
      <c r="E71" t="s">
        <v>730</v>
      </c>
      <c r="F71" t="s">
        <v>731</v>
      </c>
      <c r="G71" t="s">
        <v>732</v>
      </c>
      <c r="H71">
        <v>1014</v>
      </c>
      <c r="I71">
        <v>918</v>
      </c>
      <c r="J71">
        <v>918</v>
      </c>
      <c r="K71" s="6">
        <v>0.90529999999999999</v>
      </c>
      <c r="L71" s="6">
        <v>0.90529999999999999</v>
      </c>
      <c r="M71" s="6">
        <v>0</v>
      </c>
      <c r="N71" t="s">
        <v>715</v>
      </c>
      <c r="O71" s="6">
        <v>0.9</v>
      </c>
      <c r="P71" s="6">
        <v>0.90529999999999999</v>
      </c>
      <c r="Q71">
        <v>0.53</v>
      </c>
      <c r="R71" s="9" t="s">
        <v>741</v>
      </c>
    </row>
    <row r="72" spans="1:18" x14ac:dyDescent="0.25">
      <c r="A72" t="s">
        <v>134</v>
      </c>
      <c r="B72" t="s">
        <v>79</v>
      </c>
      <c r="C72" t="s">
        <v>96</v>
      </c>
      <c r="D72" t="s">
        <v>6</v>
      </c>
      <c r="E72" t="s">
        <v>733</v>
      </c>
      <c r="F72" t="s">
        <v>731</v>
      </c>
      <c r="G72" t="s">
        <v>732</v>
      </c>
      <c r="H72">
        <v>1014</v>
      </c>
      <c r="I72">
        <v>804</v>
      </c>
      <c r="J72">
        <v>804</v>
      </c>
      <c r="K72" s="6">
        <v>0.79290000000000005</v>
      </c>
      <c r="L72" s="6">
        <v>0.79290000000000005</v>
      </c>
      <c r="M72" s="6">
        <v>0</v>
      </c>
      <c r="N72" t="s">
        <v>715</v>
      </c>
      <c r="O72" s="6">
        <v>0.78820000000000001</v>
      </c>
      <c r="P72" s="6">
        <v>0.79290000000000005</v>
      </c>
      <c r="Q72">
        <v>0.47</v>
      </c>
      <c r="R72" s="9" t="s">
        <v>741</v>
      </c>
    </row>
    <row r="73" spans="1:18" x14ac:dyDescent="0.25">
      <c r="A73" t="s">
        <v>134</v>
      </c>
      <c r="B73" t="s">
        <v>79</v>
      </c>
      <c r="C73" t="s">
        <v>96</v>
      </c>
      <c r="D73" t="s">
        <v>6</v>
      </c>
      <c r="E73" t="s">
        <v>734</v>
      </c>
      <c r="F73" t="s">
        <v>731</v>
      </c>
      <c r="G73" t="s">
        <v>732</v>
      </c>
      <c r="H73">
        <v>1014</v>
      </c>
      <c r="I73">
        <v>114</v>
      </c>
      <c r="J73">
        <v>114</v>
      </c>
      <c r="K73" s="6">
        <v>0.1124</v>
      </c>
      <c r="L73" s="6">
        <v>0.1124</v>
      </c>
      <c r="M73" s="6">
        <v>0</v>
      </c>
      <c r="N73" t="s">
        <v>715</v>
      </c>
      <c r="O73" s="6">
        <v>0.1118</v>
      </c>
      <c r="P73" s="6">
        <v>0.1124</v>
      </c>
      <c r="Q73">
        <v>7.0000000000000007E-2</v>
      </c>
      <c r="R73" s="9" t="s">
        <v>741</v>
      </c>
    </row>
    <row r="74" spans="1:18" x14ac:dyDescent="0.25">
      <c r="A74" t="s">
        <v>134</v>
      </c>
      <c r="B74" t="s">
        <v>79</v>
      </c>
      <c r="C74" t="s">
        <v>96</v>
      </c>
      <c r="D74" t="s">
        <v>6</v>
      </c>
      <c r="E74" t="s">
        <v>735</v>
      </c>
      <c r="F74" t="s">
        <v>736</v>
      </c>
      <c r="G74" t="s">
        <v>714</v>
      </c>
      <c r="H74">
        <v>1014</v>
      </c>
      <c r="I74">
        <v>918</v>
      </c>
      <c r="J74">
        <v>918</v>
      </c>
      <c r="K74" s="6">
        <v>0.90529999999999999</v>
      </c>
      <c r="L74" s="6">
        <v>0.90529999999999999</v>
      </c>
      <c r="M74" s="6">
        <v>0</v>
      </c>
      <c r="N74" t="s">
        <v>715</v>
      </c>
      <c r="O74" s="6">
        <v>0.9</v>
      </c>
      <c r="P74" s="6">
        <v>0.90529999999999999</v>
      </c>
      <c r="Q74">
        <v>0.53</v>
      </c>
      <c r="R74" s="9" t="s">
        <v>741</v>
      </c>
    </row>
    <row r="75" spans="1:18" x14ac:dyDescent="0.25">
      <c r="A75" t="s">
        <v>134</v>
      </c>
      <c r="B75" t="s">
        <v>79</v>
      </c>
      <c r="C75" t="s">
        <v>96</v>
      </c>
      <c r="D75" t="s">
        <v>6</v>
      </c>
      <c r="E75" t="s">
        <v>737</v>
      </c>
      <c r="F75" t="s">
        <v>738</v>
      </c>
      <c r="G75" t="s">
        <v>714</v>
      </c>
      <c r="H75">
        <v>1014</v>
      </c>
      <c r="I75">
        <v>918</v>
      </c>
      <c r="J75">
        <v>918</v>
      </c>
      <c r="K75" s="6">
        <v>0.90529999999999999</v>
      </c>
      <c r="L75" s="6">
        <v>0.90529999999999999</v>
      </c>
      <c r="M75" s="6">
        <v>0</v>
      </c>
      <c r="N75" t="s">
        <v>715</v>
      </c>
      <c r="O75" s="6">
        <v>0.9</v>
      </c>
      <c r="P75" s="6">
        <v>0.90529999999999999</v>
      </c>
      <c r="Q75">
        <v>0.53</v>
      </c>
      <c r="R75" s="9" t="s">
        <v>741</v>
      </c>
    </row>
    <row r="76" spans="1:18" x14ac:dyDescent="0.25">
      <c r="A76" t="s">
        <v>134</v>
      </c>
      <c r="B76" t="s">
        <v>79</v>
      </c>
      <c r="C76" t="s">
        <v>96</v>
      </c>
      <c r="D76" t="s">
        <v>6</v>
      </c>
      <c r="E76" t="s">
        <v>739</v>
      </c>
      <c r="F76" t="s">
        <v>740</v>
      </c>
      <c r="G76" t="s">
        <v>732</v>
      </c>
      <c r="H76">
        <v>1014</v>
      </c>
      <c r="I76">
        <v>918</v>
      </c>
      <c r="J76">
        <v>918</v>
      </c>
      <c r="K76" s="6">
        <v>0.90529999999999999</v>
      </c>
      <c r="L76" s="6">
        <v>0.90529999999999999</v>
      </c>
      <c r="M76" s="6">
        <v>0</v>
      </c>
      <c r="N76" t="s">
        <v>715</v>
      </c>
      <c r="O76" s="6">
        <v>0.9</v>
      </c>
      <c r="P76" s="6">
        <v>0.90529999999999999</v>
      </c>
      <c r="Q76">
        <v>0.53</v>
      </c>
      <c r="R76" s="9" t="s">
        <v>741</v>
      </c>
    </row>
    <row r="77" spans="1:18" x14ac:dyDescent="0.25">
      <c r="A77" t="s">
        <v>134</v>
      </c>
      <c r="B77" t="s">
        <v>78</v>
      </c>
      <c r="C77" t="s">
        <v>90</v>
      </c>
      <c r="D77" t="s">
        <v>91</v>
      </c>
      <c r="E77" t="s">
        <v>712</v>
      </c>
      <c r="F77" t="s">
        <v>713</v>
      </c>
      <c r="G77" t="s">
        <v>714</v>
      </c>
      <c r="H77">
        <v>412</v>
      </c>
      <c r="I77">
        <v>367</v>
      </c>
      <c r="J77">
        <v>367</v>
      </c>
      <c r="K77" s="6">
        <v>0.89080000000000004</v>
      </c>
      <c r="L77" s="6">
        <v>0.89080000000000004</v>
      </c>
      <c r="M77" s="6">
        <v>0</v>
      </c>
      <c r="N77" t="s">
        <v>715</v>
      </c>
      <c r="O77" s="6">
        <v>0.89080000000000004</v>
      </c>
      <c r="P77" s="6">
        <v>0.80659999999999998</v>
      </c>
      <c r="Q77">
        <v>-8.42</v>
      </c>
      <c r="R77" s="9" t="s">
        <v>748</v>
      </c>
    </row>
    <row r="78" spans="1:18" x14ac:dyDescent="0.25">
      <c r="A78" t="s">
        <v>134</v>
      </c>
      <c r="B78" t="s">
        <v>78</v>
      </c>
      <c r="C78" t="s">
        <v>90</v>
      </c>
      <c r="D78" t="s">
        <v>91</v>
      </c>
      <c r="E78" t="s">
        <v>717</v>
      </c>
      <c r="F78" t="s">
        <v>718</v>
      </c>
      <c r="G78" t="s">
        <v>714</v>
      </c>
      <c r="H78">
        <v>412</v>
      </c>
      <c r="I78">
        <v>367</v>
      </c>
      <c r="J78">
        <v>367</v>
      </c>
      <c r="K78" s="6">
        <v>0.89080000000000004</v>
      </c>
      <c r="L78" s="6">
        <v>0.89080000000000004</v>
      </c>
      <c r="M78" s="6">
        <v>0</v>
      </c>
      <c r="N78" t="s">
        <v>715</v>
      </c>
      <c r="O78" s="6">
        <v>0.89080000000000004</v>
      </c>
      <c r="P78" s="6">
        <v>0.87690000000000001</v>
      </c>
      <c r="Q78">
        <v>-1.39</v>
      </c>
      <c r="R78" s="9" t="s">
        <v>748</v>
      </c>
    </row>
    <row r="79" spans="1:18" x14ac:dyDescent="0.25">
      <c r="A79" t="s">
        <v>134</v>
      </c>
      <c r="B79" t="s">
        <v>78</v>
      </c>
      <c r="C79" t="s">
        <v>90</v>
      </c>
      <c r="D79" t="s">
        <v>91</v>
      </c>
      <c r="E79" t="s">
        <v>719</v>
      </c>
      <c r="F79" t="s">
        <v>718</v>
      </c>
      <c r="G79" t="s">
        <v>714</v>
      </c>
      <c r="H79">
        <v>412</v>
      </c>
      <c r="I79">
        <v>367</v>
      </c>
      <c r="J79">
        <v>367</v>
      </c>
      <c r="K79" s="6">
        <v>0.89080000000000004</v>
      </c>
      <c r="L79" s="6">
        <v>0.89080000000000004</v>
      </c>
      <c r="M79" s="6">
        <v>0</v>
      </c>
      <c r="N79" t="s">
        <v>715</v>
      </c>
      <c r="O79" s="6">
        <v>0.89080000000000004</v>
      </c>
      <c r="P79" s="6">
        <v>0.87690000000000001</v>
      </c>
      <c r="Q79">
        <v>-1.39</v>
      </c>
      <c r="R79" s="9" t="s">
        <v>748</v>
      </c>
    </row>
    <row r="80" spans="1:18" x14ac:dyDescent="0.25">
      <c r="A80" t="s">
        <v>134</v>
      </c>
      <c r="B80" t="s">
        <v>78</v>
      </c>
      <c r="C80" t="s">
        <v>90</v>
      </c>
      <c r="D80" t="s">
        <v>91</v>
      </c>
      <c r="E80" t="s">
        <v>720</v>
      </c>
      <c r="F80" t="s">
        <v>721</v>
      </c>
      <c r="G80" t="s">
        <v>714</v>
      </c>
      <c r="H80">
        <v>412</v>
      </c>
      <c r="I80">
        <v>12</v>
      </c>
      <c r="J80">
        <v>12</v>
      </c>
      <c r="K80" s="6">
        <v>2.9100000000000001E-2</v>
      </c>
      <c r="L80" s="6">
        <v>2.9100000000000001E-2</v>
      </c>
      <c r="M80" s="6">
        <v>0</v>
      </c>
      <c r="N80" t="s">
        <v>715</v>
      </c>
      <c r="O80" s="6">
        <v>2.9100000000000001E-2</v>
      </c>
      <c r="P80" s="6">
        <v>6.1499999999999999E-2</v>
      </c>
      <c r="Q80">
        <v>3.24</v>
      </c>
      <c r="R80" s="9" t="s">
        <v>748</v>
      </c>
    </row>
    <row r="81" spans="1:18" x14ac:dyDescent="0.25">
      <c r="A81" t="s">
        <v>134</v>
      </c>
      <c r="B81" t="s">
        <v>78</v>
      </c>
      <c r="C81" t="s">
        <v>90</v>
      </c>
      <c r="D81" t="s">
        <v>91</v>
      </c>
      <c r="E81" t="s">
        <v>722</v>
      </c>
      <c r="F81" t="s">
        <v>723</v>
      </c>
      <c r="G81" t="s">
        <v>714</v>
      </c>
      <c r="H81">
        <v>412</v>
      </c>
      <c r="I81">
        <v>367</v>
      </c>
      <c r="J81">
        <v>367</v>
      </c>
      <c r="K81" s="6">
        <v>0.89080000000000004</v>
      </c>
      <c r="L81" s="6">
        <v>0.89080000000000004</v>
      </c>
      <c r="M81" s="6">
        <v>0</v>
      </c>
      <c r="N81" t="s">
        <v>715</v>
      </c>
      <c r="O81" s="6">
        <v>0.89080000000000004</v>
      </c>
      <c r="P81" s="6">
        <v>0.80659999999999998</v>
      </c>
      <c r="Q81">
        <v>-8.42</v>
      </c>
      <c r="R81" s="9" t="s">
        <v>748</v>
      </c>
    </row>
    <row r="82" spans="1:18" x14ac:dyDescent="0.25">
      <c r="A82" t="s">
        <v>134</v>
      </c>
      <c r="B82" t="s">
        <v>78</v>
      </c>
      <c r="C82" t="s">
        <v>90</v>
      </c>
      <c r="D82" t="s">
        <v>91</v>
      </c>
      <c r="E82" t="s">
        <v>724</v>
      </c>
      <c r="F82" t="s">
        <v>725</v>
      </c>
      <c r="G82" t="s">
        <v>714</v>
      </c>
      <c r="H82">
        <v>412</v>
      </c>
      <c r="I82">
        <v>367</v>
      </c>
      <c r="J82">
        <v>367</v>
      </c>
      <c r="K82" s="6">
        <v>0.89080000000000004</v>
      </c>
      <c r="L82" s="6">
        <v>0.89080000000000004</v>
      </c>
      <c r="M82" s="6">
        <v>0</v>
      </c>
      <c r="N82" t="s">
        <v>715</v>
      </c>
      <c r="O82" s="6">
        <v>0.89080000000000004</v>
      </c>
      <c r="P82" s="6">
        <v>0.87690000000000001</v>
      </c>
      <c r="Q82">
        <v>-1.39</v>
      </c>
      <c r="R82" s="9" t="s">
        <v>748</v>
      </c>
    </row>
    <row r="83" spans="1:18" x14ac:dyDescent="0.25">
      <c r="A83" t="s">
        <v>134</v>
      </c>
      <c r="B83" t="s">
        <v>78</v>
      </c>
      <c r="C83" t="s">
        <v>90</v>
      </c>
      <c r="D83" t="s">
        <v>91</v>
      </c>
      <c r="E83" t="s">
        <v>726</v>
      </c>
      <c r="F83" t="s">
        <v>727</v>
      </c>
      <c r="G83" t="s">
        <v>714</v>
      </c>
      <c r="H83">
        <v>412</v>
      </c>
      <c r="I83">
        <v>367</v>
      </c>
      <c r="J83">
        <v>367</v>
      </c>
      <c r="K83" s="6">
        <v>0.89080000000000004</v>
      </c>
      <c r="L83" s="6">
        <v>0.89080000000000004</v>
      </c>
      <c r="M83" s="6">
        <v>0</v>
      </c>
      <c r="N83" t="s">
        <v>715</v>
      </c>
      <c r="O83" s="6">
        <v>0.89080000000000004</v>
      </c>
      <c r="P83" s="6">
        <v>0.87690000000000001</v>
      </c>
      <c r="Q83">
        <v>-1.39</v>
      </c>
      <c r="R83" s="9" t="s">
        <v>748</v>
      </c>
    </row>
    <row r="84" spans="1:18" x14ac:dyDescent="0.25">
      <c r="A84" t="s">
        <v>134</v>
      </c>
      <c r="B84" t="s">
        <v>78</v>
      </c>
      <c r="C84" t="s">
        <v>90</v>
      </c>
      <c r="D84" t="s">
        <v>91</v>
      </c>
      <c r="E84" t="s">
        <v>728</v>
      </c>
      <c r="F84" t="s">
        <v>729</v>
      </c>
      <c r="G84" t="s">
        <v>714</v>
      </c>
      <c r="H84">
        <v>412</v>
      </c>
      <c r="I84">
        <v>367</v>
      </c>
      <c r="J84">
        <v>367</v>
      </c>
      <c r="K84" s="6">
        <v>0.89080000000000004</v>
      </c>
      <c r="L84" s="6">
        <v>0.89080000000000004</v>
      </c>
      <c r="M84" s="6">
        <v>0</v>
      </c>
      <c r="N84" t="s">
        <v>715</v>
      </c>
      <c r="O84" s="6">
        <v>0.89080000000000004</v>
      </c>
      <c r="P84" s="6">
        <v>0.87690000000000001</v>
      </c>
      <c r="Q84">
        <v>-1.39</v>
      </c>
      <c r="R84" s="9" t="s">
        <v>748</v>
      </c>
    </row>
    <row r="85" spans="1:18" x14ac:dyDescent="0.25">
      <c r="A85" t="s">
        <v>134</v>
      </c>
      <c r="B85" t="s">
        <v>78</v>
      </c>
      <c r="C85" t="s">
        <v>90</v>
      </c>
      <c r="D85" t="s">
        <v>91</v>
      </c>
      <c r="E85" t="s">
        <v>730</v>
      </c>
      <c r="F85" t="s">
        <v>731</v>
      </c>
      <c r="G85" t="s">
        <v>732</v>
      </c>
      <c r="H85">
        <v>412</v>
      </c>
      <c r="I85">
        <v>367</v>
      </c>
      <c r="J85">
        <v>367</v>
      </c>
      <c r="K85" s="6">
        <v>0.89080000000000004</v>
      </c>
      <c r="L85" s="6">
        <v>0.89080000000000004</v>
      </c>
      <c r="M85" s="6">
        <v>0</v>
      </c>
      <c r="N85" t="s">
        <v>715</v>
      </c>
      <c r="O85" s="6">
        <v>0.89080000000000004</v>
      </c>
      <c r="P85" s="6">
        <v>0.87690000000000001</v>
      </c>
      <c r="Q85">
        <v>-1.39</v>
      </c>
      <c r="R85" s="9" t="s">
        <v>748</v>
      </c>
    </row>
    <row r="86" spans="1:18" x14ac:dyDescent="0.25">
      <c r="A86" t="s">
        <v>134</v>
      </c>
      <c r="B86" t="s">
        <v>78</v>
      </c>
      <c r="C86" t="s">
        <v>90</v>
      </c>
      <c r="D86" t="s">
        <v>91</v>
      </c>
      <c r="E86" t="s">
        <v>749</v>
      </c>
      <c r="F86" t="s">
        <v>731</v>
      </c>
      <c r="G86" t="s">
        <v>732</v>
      </c>
      <c r="H86">
        <v>412</v>
      </c>
      <c r="I86">
        <v>6</v>
      </c>
      <c r="J86">
        <v>6</v>
      </c>
      <c r="K86" s="6">
        <v>1.46E-2</v>
      </c>
      <c r="L86" s="6">
        <v>1.46E-2</v>
      </c>
      <c r="M86" s="6">
        <v>0</v>
      </c>
      <c r="N86" t="s">
        <v>715</v>
      </c>
      <c r="O86" s="6">
        <v>1.46E-2</v>
      </c>
      <c r="P86" s="6">
        <v>1.32E-2</v>
      </c>
      <c r="Q86">
        <v>-0.14000000000000001</v>
      </c>
      <c r="R86" s="9" t="s">
        <v>748</v>
      </c>
    </row>
    <row r="87" spans="1:18" x14ac:dyDescent="0.25">
      <c r="A87" t="s">
        <v>134</v>
      </c>
      <c r="B87" t="s">
        <v>78</v>
      </c>
      <c r="C87" t="s">
        <v>90</v>
      </c>
      <c r="D87" t="s">
        <v>91</v>
      </c>
      <c r="E87" t="s">
        <v>750</v>
      </c>
      <c r="F87" t="s">
        <v>731</v>
      </c>
      <c r="G87" t="s">
        <v>732</v>
      </c>
      <c r="H87">
        <v>412</v>
      </c>
      <c r="I87">
        <v>10</v>
      </c>
      <c r="J87">
        <v>10</v>
      </c>
      <c r="K87" s="6">
        <v>2.4299999999999999E-2</v>
      </c>
      <c r="L87" s="6">
        <v>2.4299999999999999E-2</v>
      </c>
      <c r="M87" s="6">
        <v>0</v>
      </c>
      <c r="N87" t="s">
        <v>715</v>
      </c>
      <c r="O87" s="6">
        <v>2.4299999999999999E-2</v>
      </c>
      <c r="P87" s="6">
        <v>3.5200000000000002E-2</v>
      </c>
      <c r="Q87">
        <v>1.0900000000000001</v>
      </c>
      <c r="R87" s="9" t="s">
        <v>748</v>
      </c>
    </row>
    <row r="88" spans="1:18" x14ac:dyDescent="0.25">
      <c r="A88" t="s">
        <v>134</v>
      </c>
      <c r="B88" t="s">
        <v>78</v>
      </c>
      <c r="C88" t="s">
        <v>90</v>
      </c>
      <c r="D88" t="s">
        <v>91</v>
      </c>
      <c r="E88" t="s">
        <v>733</v>
      </c>
      <c r="F88" t="s">
        <v>731</v>
      </c>
      <c r="G88" t="s">
        <v>732</v>
      </c>
      <c r="H88">
        <v>412</v>
      </c>
      <c r="I88">
        <v>351</v>
      </c>
      <c r="J88">
        <v>351</v>
      </c>
      <c r="K88" s="6">
        <v>0.85189999999999999</v>
      </c>
      <c r="L88" s="6">
        <v>0.85189999999999999</v>
      </c>
      <c r="M88" s="6">
        <v>0</v>
      </c>
      <c r="N88" t="s">
        <v>715</v>
      </c>
      <c r="O88" s="6">
        <v>0.85189999999999999</v>
      </c>
      <c r="P88" s="6">
        <v>0.8286</v>
      </c>
      <c r="Q88">
        <v>-2.34</v>
      </c>
      <c r="R88" s="9" t="s">
        <v>748</v>
      </c>
    </row>
    <row r="89" spans="1:18" x14ac:dyDescent="0.25">
      <c r="A89" t="s">
        <v>134</v>
      </c>
      <c r="B89" t="s">
        <v>78</v>
      </c>
      <c r="C89" t="s">
        <v>90</v>
      </c>
      <c r="D89" t="s">
        <v>91</v>
      </c>
      <c r="E89" t="s">
        <v>735</v>
      </c>
      <c r="F89" t="s">
        <v>736</v>
      </c>
      <c r="G89" t="s">
        <v>714</v>
      </c>
      <c r="H89">
        <v>412</v>
      </c>
      <c r="I89">
        <v>367</v>
      </c>
      <c r="J89">
        <v>367</v>
      </c>
      <c r="K89" s="6">
        <v>0.89080000000000004</v>
      </c>
      <c r="L89" s="6">
        <v>0.89080000000000004</v>
      </c>
      <c r="M89" s="6">
        <v>0</v>
      </c>
      <c r="N89" t="s">
        <v>715</v>
      </c>
      <c r="O89" s="6">
        <v>0.89080000000000004</v>
      </c>
      <c r="P89" s="6">
        <v>0.87690000000000001</v>
      </c>
      <c r="Q89">
        <v>-1.39</v>
      </c>
      <c r="R89" s="9" t="s">
        <v>748</v>
      </c>
    </row>
    <row r="90" spans="1:18" x14ac:dyDescent="0.25">
      <c r="A90" t="s">
        <v>134</v>
      </c>
      <c r="B90" t="s">
        <v>78</v>
      </c>
      <c r="C90" t="s">
        <v>90</v>
      </c>
      <c r="D90" t="s">
        <v>91</v>
      </c>
      <c r="E90" t="s">
        <v>737</v>
      </c>
      <c r="F90" t="s">
        <v>738</v>
      </c>
      <c r="G90" t="s">
        <v>714</v>
      </c>
      <c r="H90">
        <v>412</v>
      </c>
      <c r="I90">
        <v>367</v>
      </c>
      <c r="J90">
        <v>367</v>
      </c>
      <c r="K90" s="6">
        <v>0.89080000000000004</v>
      </c>
      <c r="L90" s="6">
        <v>0.89080000000000004</v>
      </c>
      <c r="M90" s="6">
        <v>0</v>
      </c>
      <c r="N90" t="s">
        <v>715</v>
      </c>
      <c r="O90" s="6">
        <v>0.89080000000000004</v>
      </c>
      <c r="P90" s="6">
        <v>0.87690000000000001</v>
      </c>
      <c r="Q90">
        <v>-1.39</v>
      </c>
      <c r="R90" s="9" t="s">
        <v>748</v>
      </c>
    </row>
    <row r="91" spans="1:18" x14ac:dyDescent="0.25">
      <c r="A91" t="s">
        <v>134</v>
      </c>
      <c r="B91" t="s">
        <v>78</v>
      </c>
      <c r="C91" t="s">
        <v>90</v>
      </c>
      <c r="D91" t="s">
        <v>91</v>
      </c>
      <c r="E91" t="s">
        <v>739</v>
      </c>
      <c r="F91" t="s">
        <v>740</v>
      </c>
      <c r="G91" t="s">
        <v>732</v>
      </c>
      <c r="H91">
        <v>412</v>
      </c>
      <c r="I91">
        <v>367</v>
      </c>
      <c r="J91">
        <v>367</v>
      </c>
      <c r="K91" s="6">
        <v>0.89080000000000004</v>
      </c>
      <c r="L91" s="6">
        <v>0.89080000000000004</v>
      </c>
      <c r="M91" s="6">
        <v>0</v>
      </c>
      <c r="N91" t="s">
        <v>715</v>
      </c>
      <c r="O91" s="6">
        <v>0.89080000000000004</v>
      </c>
      <c r="P91" s="6">
        <v>0.87690000000000001</v>
      </c>
      <c r="Q91">
        <v>-1.39</v>
      </c>
      <c r="R91" s="9" t="s">
        <v>748</v>
      </c>
    </row>
    <row r="92" spans="1:18" x14ac:dyDescent="0.25">
      <c r="A92" t="s">
        <v>134</v>
      </c>
      <c r="B92" t="s">
        <v>78</v>
      </c>
      <c r="C92" t="s">
        <v>91</v>
      </c>
      <c r="D92" t="s">
        <v>94</v>
      </c>
      <c r="E92" t="s">
        <v>712</v>
      </c>
      <c r="F92" t="s">
        <v>713</v>
      </c>
      <c r="G92" t="s">
        <v>714</v>
      </c>
      <c r="H92">
        <v>448</v>
      </c>
      <c r="I92">
        <v>367</v>
      </c>
      <c r="J92">
        <v>367</v>
      </c>
      <c r="K92" s="6">
        <v>0.81920000000000004</v>
      </c>
      <c r="L92" s="6">
        <v>0.81920000000000004</v>
      </c>
      <c r="M92" s="6">
        <v>0</v>
      </c>
      <c r="N92" t="s">
        <v>715</v>
      </c>
      <c r="O92" s="6">
        <v>0.80659999999999998</v>
      </c>
      <c r="P92" s="6">
        <v>0.85899999999999999</v>
      </c>
      <c r="Q92">
        <v>5.24</v>
      </c>
      <c r="R92" s="9" t="s">
        <v>751</v>
      </c>
    </row>
    <row r="93" spans="1:18" x14ac:dyDescent="0.25">
      <c r="A93" t="s">
        <v>134</v>
      </c>
      <c r="B93" t="s">
        <v>78</v>
      </c>
      <c r="C93" t="s">
        <v>91</v>
      </c>
      <c r="D93" t="s">
        <v>94</v>
      </c>
      <c r="E93" t="s">
        <v>717</v>
      </c>
      <c r="F93" t="s">
        <v>718</v>
      </c>
      <c r="G93" t="s">
        <v>714</v>
      </c>
      <c r="H93">
        <v>448</v>
      </c>
      <c r="I93">
        <v>398</v>
      </c>
      <c r="J93">
        <v>398</v>
      </c>
      <c r="K93" s="6">
        <v>0.88839999999999997</v>
      </c>
      <c r="L93" s="6">
        <v>0.88839999999999997</v>
      </c>
      <c r="M93" s="6">
        <v>0</v>
      </c>
      <c r="N93" t="s">
        <v>715</v>
      </c>
      <c r="O93" s="6">
        <v>0.87690000000000001</v>
      </c>
      <c r="P93" s="6">
        <v>0.89</v>
      </c>
      <c r="Q93">
        <v>1.31</v>
      </c>
      <c r="R93" s="9" t="s">
        <v>751</v>
      </c>
    </row>
    <row r="94" spans="1:18" x14ac:dyDescent="0.25">
      <c r="A94" t="s">
        <v>134</v>
      </c>
      <c r="B94" t="s">
        <v>78</v>
      </c>
      <c r="C94" t="s">
        <v>91</v>
      </c>
      <c r="D94" t="s">
        <v>94</v>
      </c>
      <c r="E94" t="s">
        <v>719</v>
      </c>
      <c r="F94" t="s">
        <v>718</v>
      </c>
      <c r="G94" t="s">
        <v>714</v>
      </c>
      <c r="H94">
        <v>448</v>
      </c>
      <c r="I94">
        <v>398</v>
      </c>
      <c r="J94">
        <v>398</v>
      </c>
      <c r="K94" s="6">
        <v>0.88839999999999997</v>
      </c>
      <c r="L94" s="6">
        <v>0.88839999999999997</v>
      </c>
      <c r="M94" s="6">
        <v>0</v>
      </c>
      <c r="N94" t="s">
        <v>715</v>
      </c>
      <c r="O94" s="6">
        <v>0.87690000000000001</v>
      </c>
      <c r="P94" s="6">
        <v>0.89</v>
      </c>
      <c r="Q94">
        <v>1.31</v>
      </c>
      <c r="R94" s="9" t="s">
        <v>751</v>
      </c>
    </row>
    <row r="95" spans="1:18" x14ac:dyDescent="0.25">
      <c r="A95" t="s">
        <v>134</v>
      </c>
      <c r="B95" t="s">
        <v>78</v>
      </c>
      <c r="C95" t="s">
        <v>91</v>
      </c>
      <c r="D95" t="s">
        <v>94</v>
      </c>
      <c r="E95" t="s">
        <v>752</v>
      </c>
      <c r="F95" t="s">
        <v>753</v>
      </c>
      <c r="G95" t="s">
        <v>714</v>
      </c>
      <c r="H95">
        <v>448</v>
      </c>
      <c r="I95">
        <v>20</v>
      </c>
      <c r="J95">
        <v>19</v>
      </c>
      <c r="K95" s="6">
        <v>4.4600000000000001E-2</v>
      </c>
      <c r="L95" s="6">
        <v>4.24E-2</v>
      </c>
      <c r="M95" s="6">
        <v>-0.22</v>
      </c>
      <c r="N95" t="s">
        <v>715</v>
      </c>
      <c r="O95" s="6">
        <v>4.6199999999999998E-2</v>
      </c>
      <c r="P95" s="6">
        <v>1.9E-2</v>
      </c>
      <c r="Q95">
        <v>-2.4900000000000002</v>
      </c>
      <c r="R95" s="9" t="s">
        <v>751</v>
      </c>
    </row>
    <row r="96" spans="1:18" x14ac:dyDescent="0.25">
      <c r="A96" t="s">
        <v>134</v>
      </c>
      <c r="B96" t="s">
        <v>78</v>
      </c>
      <c r="C96" t="s">
        <v>91</v>
      </c>
      <c r="D96" t="s">
        <v>94</v>
      </c>
      <c r="E96" t="s">
        <v>720</v>
      </c>
      <c r="F96" t="s">
        <v>721</v>
      </c>
      <c r="G96" t="s">
        <v>714</v>
      </c>
      <c r="H96">
        <v>448</v>
      </c>
      <c r="I96">
        <v>28</v>
      </c>
      <c r="J96">
        <v>28</v>
      </c>
      <c r="K96" s="6">
        <v>6.25E-2</v>
      </c>
      <c r="L96" s="6">
        <v>6.25E-2</v>
      </c>
      <c r="M96" s="6">
        <v>0</v>
      </c>
      <c r="N96" t="s">
        <v>715</v>
      </c>
      <c r="O96" s="6">
        <v>6.1499999999999999E-2</v>
      </c>
      <c r="P96" s="6">
        <v>2.8000000000000001E-2</v>
      </c>
      <c r="Q96">
        <v>-3.35</v>
      </c>
      <c r="R96" s="9" t="s">
        <v>751</v>
      </c>
    </row>
    <row r="97" spans="1:18" x14ac:dyDescent="0.25">
      <c r="A97" t="s">
        <v>134</v>
      </c>
      <c r="B97" t="s">
        <v>78</v>
      </c>
      <c r="C97" t="s">
        <v>91</v>
      </c>
      <c r="D97" t="s">
        <v>94</v>
      </c>
      <c r="E97" t="s">
        <v>722</v>
      </c>
      <c r="F97" t="s">
        <v>723</v>
      </c>
      <c r="G97" t="s">
        <v>714</v>
      </c>
      <c r="H97">
        <v>448</v>
      </c>
      <c r="I97">
        <v>367</v>
      </c>
      <c r="J97">
        <v>367</v>
      </c>
      <c r="K97" s="6">
        <v>0.81920000000000004</v>
      </c>
      <c r="L97" s="6">
        <v>0.81920000000000004</v>
      </c>
      <c r="M97" s="6">
        <v>0</v>
      </c>
      <c r="N97" t="s">
        <v>715</v>
      </c>
      <c r="O97" s="6">
        <v>0.80659999999999998</v>
      </c>
      <c r="P97" s="6">
        <v>0.85899999999999999</v>
      </c>
      <c r="Q97">
        <v>5.24</v>
      </c>
      <c r="R97" s="9" t="s">
        <v>751</v>
      </c>
    </row>
    <row r="98" spans="1:18" x14ac:dyDescent="0.25">
      <c r="A98" t="s">
        <v>134</v>
      </c>
      <c r="B98" t="s">
        <v>78</v>
      </c>
      <c r="C98" t="s">
        <v>91</v>
      </c>
      <c r="D98" t="s">
        <v>94</v>
      </c>
      <c r="E98" t="s">
        <v>724</v>
      </c>
      <c r="F98" t="s">
        <v>725</v>
      </c>
      <c r="G98" t="s">
        <v>714</v>
      </c>
      <c r="H98">
        <v>448</v>
      </c>
      <c r="I98">
        <v>398</v>
      </c>
      <c r="J98">
        <v>398</v>
      </c>
      <c r="K98" s="6">
        <v>0.88839999999999997</v>
      </c>
      <c r="L98" s="6">
        <v>0.88839999999999997</v>
      </c>
      <c r="M98" s="6">
        <v>0</v>
      </c>
      <c r="N98" t="s">
        <v>715</v>
      </c>
      <c r="O98" s="6">
        <v>0.87690000000000001</v>
      </c>
      <c r="P98" s="6">
        <v>0.89</v>
      </c>
      <c r="Q98">
        <v>1.31</v>
      </c>
      <c r="R98" s="9" t="s">
        <v>751</v>
      </c>
    </row>
    <row r="99" spans="1:18" x14ac:dyDescent="0.25">
      <c r="A99" t="s">
        <v>134</v>
      </c>
      <c r="B99" t="s">
        <v>78</v>
      </c>
      <c r="C99" t="s">
        <v>91</v>
      </c>
      <c r="D99" t="s">
        <v>94</v>
      </c>
      <c r="E99" t="s">
        <v>726</v>
      </c>
      <c r="F99" t="s">
        <v>727</v>
      </c>
      <c r="G99" t="s">
        <v>714</v>
      </c>
      <c r="H99">
        <v>448</v>
      </c>
      <c r="I99">
        <v>398</v>
      </c>
      <c r="J99">
        <v>398</v>
      </c>
      <c r="K99" s="6">
        <v>0.88839999999999997</v>
      </c>
      <c r="L99" s="6">
        <v>0.88839999999999997</v>
      </c>
      <c r="M99" s="6">
        <v>0</v>
      </c>
      <c r="N99" t="s">
        <v>715</v>
      </c>
      <c r="O99" s="6">
        <v>0.87690000000000001</v>
      </c>
      <c r="P99" s="6">
        <v>0.89</v>
      </c>
      <c r="Q99">
        <v>1.31</v>
      </c>
      <c r="R99" s="9" t="s">
        <v>751</v>
      </c>
    </row>
    <row r="100" spans="1:18" x14ac:dyDescent="0.25">
      <c r="A100" t="s">
        <v>134</v>
      </c>
      <c r="B100" t="s">
        <v>78</v>
      </c>
      <c r="C100" t="s">
        <v>91</v>
      </c>
      <c r="D100" t="s">
        <v>94</v>
      </c>
      <c r="E100" t="s">
        <v>728</v>
      </c>
      <c r="F100" t="s">
        <v>729</v>
      </c>
      <c r="G100" t="s">
        <v>714</v>
      </c>
      <c r="H100">
        <v>448</v>
      </c>
      <c r="I100">
        <v>398</v>
      </c>
      <c r="J100">
        <v>398</v>
      </c>
      <c r="K100" s="6">
        <v>0.88839999999999997</v>
      </c>
      <c r="L100" s="6">
        <v>0.88839999999999997</v>
      </c>
      <c r="M100" s="6">
        <v>0</v>
      </c>
      <c r="N100" t="s">
        <v>715</v>
      </c>
      <c r="O100" s="6">
        <v>0.87690000000000001</v>
      </c>
      <c r="P100" s="6">
        <v>0.89</v>
      </c>
      <c r="Q100">
        <v>1.31</v>
      </c>
      <c r="R100" s="9" t="s">
        <v>751</v>
      </c>
    </row>
    <row r="101" spans="1:18" x14ac:dyDescent="0.25">
      <c r="A101" t="s">
        <v>134</v>
      </c>
      <c r="B101" t="s">
        <v>78</v>
      </c>
      <c r="C101" t="s">
        <v>91</v>
      </c>
      <c r="D101" t="s">
        <v>94</v>
      </c>
      <c r="E101" t="s">
        <v>730</v>
      </c>
      <c r="F101" t="s">
        <v>731</v>
      </c>
      <c r="G101" t="s">
        <v>732</v>
      </c>
      <c r="H101">
        <v>448</v>
      </c>
      <c r="I101">
        <v>398</v>
      </c>
      <c r="J101">
        <v>398</v>
      </c>
      <c r="K101" s="6">
        <v>0.88839999999999997</v>
      </c>
      <c r="L101" s="6">
        <v>0.88839999999999997</v>
      </c>
      <c r="M101" s="6">
        <v>0</v>
      </c>
      <c r="N101" t="s">
        <v>715</v>
      </c>
      <c r="O101" s="6">
        <v>0.87690000000000001</v>
      </c>
      <c r="P101" s="6">
        <v>0.89</v>
      </c>
      <c r="Q101">
        <v>1.31</v>
      </c>
      <c r="R101" s="9" t="s">
        <v>751</v>
      </c>
    </row>
    <row r="102" spans="1:18" x14ac:dyDescent="0.25">
      <c r="A102" t="s">
        <v>134</v>
      </c>
      <c r="B102" t="s">
        <v>78</v>
      </c>
      <c r="C102" t="s">
        <v>91</v>
      </c>
      <c r="D102" t="s">
        <v>94</v>
      </c>
      <c r="E102" t="s">
        <v>749</v>
      </c>
      <c r="F102" t="s">
        <v>731</v>
      </c>
      <c r="G102" t="s">
        <v>732</v>
      </c>
      <c r="H102">
        <v>448</v>
      </c>
      <c r="I102">
        <v>6</v>
      </c>
      <c r="J102">
        <v>6</v>
      </c>
      <c r="K102" s="6">
        <v>1.34E-2</v>
      </c>
      <c r="L102" s="6">
        <v>1.34E-2</v>
      </c>
      <c r="M102" s="6">
        <v>0</v>
      </c>
      <c r="N102" t="s">
        <v>715</v>
      </c>
      <c r="O102" s="6">
        <v>1.32E-2</v>
      </c>
      <c r="P102" s="6">
        <v>6.0000000000000001E-3</v>
      </c>
      <c r="Q102">
        <v>-0.72</v>
      </c>
      <c r="R102" s="9" t="s">
        <v>751</v>
      </c>
    </row>
    <row r="103" spans="1:18" x14ac:dyDescent="0.25">
      <c r="A103" t="s">
        <v>134</v>
      </c>
      <c r="B103" t="s">
        <v>78</v>
      </c>
      <c r="C103" t="s">
        <v>91</v>
      </c>
      <c r="D103" t="s">
        <v>94</v>
      </c>
      <c r="E103" t="s">
        <v>750</v>
      </c>
      <c r="F103" t="s">
        <v>731</v>
      </c>
      <c r="G103" t="s">
        <v>732</v>
      </c>
      <c r="H103">
        <v>448</v>
      </c>
      <c r="I103">
        <v>15</v>
      </c>
      <c r="J103">
        <v>16</v>
      </c>
      <c r="K103" s="6">
        <v>3.3500000000000002E-2</v>
      </c>
      <c r="L103" s="6">
        <v>3.5700000000000003E-2</v>
      </c>
      <c r="M103" s="6">
        <v>0.22</v>
      </c>
      <c r="N103" t="s">
        <v>715</v>
      </c>
      <c r="O103" s="6">
        <v>3.5200000000000002E-2</v>
      </c>
      <c r="P103" s="6">
        <v>0.13500000000000001</v>
      </c>
      <c r="Q103">
        <v>9.76</v>
      </c>
      <c r="R103" s="9" t="s">
        <v>751</v>
      </c>
    </row>
    <row r="104" spans="1:18" x14ac:dyDescent="0.25">
      <c r="A104" t="s">
        <v>134</v>
      </c>
      <c r="B104" t="s">
        <v>78</v>
      </c>
      <c r="C104" t="s">
        <v>91</v>
      </c>
      <c r="D104" t="s">
        <v>94</v>
      </c>
      <c r="E104" t="s">
        <v>733</v>
      </c>
      <c r="F104" t="s">
        <v>731</v>
      </c>
      <c r="G104" t="s">
        <v>732</v>
      </c>
      <c r="H104">
        <v>448</v>
      </c>
      <c r="I104">
        <v>377</v>
      </c>
      <c r="J104">
        <v>376</v>
      </c>
      <c r="K104" s="6">
        <v>0.84150000000000003</v>
      </c>
      <c r="L104" s="6">
        <v>0.83930000000000005</v>
      </c>
      <c r="M104" s="6">
        <v>-0.22</v>
      </c>
      <c r="N104" t="s">
        <v>715</v>
      </c>
      <c r="O104" s="6">
        <v>0.8286</v>
      </c>
      <c r="P104" s="6">
        <v>0.749</v>
      </c>
      <c r="Q104">
        <v>-7.73</v>
      </c>
      <c r="R104" s="9" t="s">
        <v>751</v>
      </c>
    </row>
    <row r="105" spans="1:18" x14ac:dyDescent="0.25">
      <c r="A105" t="s">
        <v>134</v>
      </c>
      <c r="B105" t="s">
        <v>78</v>
      </c>
      <c r="C105" t="s">
        <v>91</v>
      </c>
      <c r="D105" t="s">
        <v>94</v>
      </c>
      <c r="E105" t="s">
        <v>735</v>
      </c>
      <c r="F105" t="s">
        <v>736</v>
      </c>
      <c r="G105" t="s">
        <v>714</v>
      </c>
      <c r="H105">
        <v>448</v>
      </c>
      <c r="I105">
        <v>398</v>
      </c>
      <c r="J105">
        <v>398</v>
      </c>
      <c r="K105" s="6">
        <v>0.88839999999999997</v>
      </c>
      <c r="L105" s="6">
        <v>0.88839999999999997</v>
      </c>
      <c r="M105" s="6">
        <v>0</v>
      </c>
      <c r="N105" t="s">
        <v>715</v>
      </c>
      <c r="O105" s="6">
        <v>0.87690000000000001</v>
      </c>
      <c r="P105" s="6">
        <v>0.89</v>
      </c>
      <c r="Q105">
        <v>1.31</v>
      </c>
      <c r="R105" s="9" t="s">
        <v>751</v>
      </c>
    </row>
    <row r="106" spans="1:18" x14ac:dyDescent="0.25">
      <c r="A106" t="s">
        <v>134</v>
      </c>
      <c r="B106" t="s">
        <v>78</v>
      </c>
      <c r="C106" t="s">
        <v>91</v>
      </c>
      <c r="D106" t="s">
        <v>94</v>
      </c>
      <c r="E106" t="s">
        <v>737</v>
      </c>
      <c r="F106" t="s">
        <v>738</v>
      </c>
      <c r="G106" t="s">
        <v>714</v>
      </c>
      <c r="H106">
        <v>448</v>
      </c>
      <c r="I106">
        <v>398</v>
      </c>
      <c r="J106">
        <v>398</v>
      </c>
      <c r="K106" s="6">
        <v>0.88839999999999997</v>
      </c>
      <c r="L106" s="6">
        <v>0.88839999999999997</v>
      </c>
      <c r="M106" s="6">
        <v>0</v>
      </c>
      <c r="N106" t="s">
        <v>715</v>
      </c>
      <c r="O106" s="6">
        <v>0.87690000000000001</v>
      </c>
      <c r="P106" s="6">
        <v>0.89</v>
      </c>
      <c r="Q106">
        <v>1.31</v>
      </c>
      <c r="R106" s="9" t="s">
        <v>751</v>
      </c>
    </row>
    <row r="107" spans="1:18" x14ac:dyDescent="0.25">
      <c r="A107" t="s">
        <v>134</v>
      </c>
      <c r="B107" t="s">
        <v>78</v>
      </c>
      <c r="C107" t="s">
        <v>91</v>
      </c>
      <c r="D107" t="s">
        <v>94</v>
      </c>
      <c r="E107" t="s">
        <v>739</v>
      </c>
      <c r="F107" t="s">
        <v>740</v>
      </c>
      <c r="G107" t="s">
        <v>732</v>
      </c>
      <c r="H107">
        <v>448</v>
      </c>
      <c r="I107">
        <v>398</v>
      </c>
      <c r="J107">
        <v>398</v>
      </c>
      <c r="K107" s="6">
        <v>0.88839999999999997</v>
      </c>
      <c r="L107" s="6">
        <v>0.88839999999999997</v>
      </c>
      <c r="M107" s="6">
        <v>0</v>
      </c>
      <c r="N107" t="s">
        <v>715</v>
      </c>
      <c r="O107" s="6">
        <v>0.87690000000000001</v>
      </c>
      <c r="P107" s="6">
        <v>0.89</v>
      </c>
      <c r="Q107">
        <v>1.31</v>
      </c>
      <c r="R107" s="9" t="s">
        <v>751</v>
      </c>
    </row>
    <row r="108" spans="1:18" x14ac:dyDescent="0.25">
      <c r="A108" t="s">
        <v>134</v>
      </c>
      <c r="B108" t="s">
        <v>78</v>
      </c>
      <c r="C108" t="s">
        <v>94</v>
      </c>
      <c r="D108" t="s">
        <v>96</v>
      </c>
      <c r="E108" t="s">
        <v>712</v>
      </c>
      <c r="F108" t="s">
        <v>713</v>
      </c>
      <c r="G108" t="s">
        <v>714</v>
      </c>
      <c r="H108">
        <v>1000</v>
      </c>
      <c r="I108">
        <v>859</v>
      </c>
      <c r="J108">
        <v>859</v>
      </c>
      <c r="K108" s="6">
        <v>0.85899999999999999</v>
      </c>
      <c r="L108" s="6">
        <v>0.85899999999999999</v>
      </c>
      <c r="M108" s="6">
        <v>0</v>
      </c>
      <c r="N108" t="s">
        <v>715</v>
      </c>
      <c r="O108" s="6">
        <v>0.85899999999999999</v>
      </c>
      <c r="P108" s="6">
        <v>0.85299999999999998</v>
      </c>
      <c r="Q108">
        <v>-0.6</v>
      </c>
      <c r="R108" s="9" t="s">
        <v>754</v>
      </c>
    </row>
    <row r="109" spans="1:18" x14ac:dyDescent="0.25">
      <c r="A109" t="s">
        <v>134</v>
      </c>
      <c r="B109" t="s">
        <v>78</v>
      </c>
      <c r="C109" t="s">
        <v>94</v>
      </c>
      <c r="D109" t="s">
        <v>96</v>
      </c>
      <c r="E109" t="s">
        <v>717</v>
      </c>
      <c r="F109" t="s">
        <v>718</v>
      </c>
      <c r="G109" t="s">
        <v>714</v>
      </c>
      <c r="H109">
        <v>1000</v>
      </c>
      <c r="I109">
        <v>890</v>
      </c>
      <c r="J109">
        <v>890</v>
      </c>
      <c r="K109" s="6">
        <v>0.89</v>
      </c>
      <c r="L109" s="6">
        <v>0.89</v>
      </c>
      <c r="M109" s="6">
        <v>0</v>
      </c>
      <c r="N109" t="s">
        <v>715</v>
      </c>
      <c r="O109" s="6">
        <v>0.89</v>
      </c>
      <c r="P109" s="6">
        <v>0.88480000000000003</v>
      </c>
      <c r="Q109">
        <v>-0.52</v>
      </c>
      <c r="R109" s="9" t="s">
        <v>754</v>
      </c>
    </row>
    <row r="110" spans="1:18" x14ac:dyDescent="0.25">
      <c r="A110" t="s">
        <v>134</v>
      </c>
      <c r="B110" t="s">
        <v>78</v>
      </c>
      <c r="C110" t="s">
        <v>94</v>
      </c>
      <c r="D110" t="s">
        <v>96</v>
      </c>
      <c r="E110" t="s">
        <v>719</v>
      </c>
      <c r="F110" t="s">
        <v>718</v>
      </c>
      <c r="G110" t="s">
        <v>714</v>
      </c>
      <c r="H110">
        <v>1000</v>
      </c>
      <c r="I110">
        <v>890</v>
      </c>
      <c r="J110">
        <v>890</v>
      </c>
      <c r="K110" s="6">
        <v>0.89</v>
      </c>
      <c r="L110" s="6">
        <v>0.89</v>
      </c>
      <c r="M110" s="6">
        <v>0</v>
      </c>
      <c r="N110" t="s">
        <v>715</v>
      </c>
      <c r="O110" s="6">
        <v>0.89</v>
      </c>
      <c r="P110" s="6">
        <v>0.88480000000000003</v>
      </c>
      <c r="Q110">
        <v>-0.52</v>
      </c>
      <c r="R110" s="9" t="s">
        <v>754</v>
      </c>
    </row>
    <row r="111" spans="1:18" x14ac:dyDescent="0.25">
      <c r="A111" t="s">
        <v>134</v>
      </c>
      <c r="B111" t="s">
        <v>78</v>
      </c>
      <c r="C111" t="s">
        <v>94</v>
      </c>
      <c r="D111" t="s">
        <v>96</v>
      </c>
      <c r="E111" t="s">
        <v>742</v>
      </c>
      <c r="F111" t="s">
        <v>743</v>
      </c>
      <c r="G111" t="s">
        <v>714</v>
      </c>
      <c r="H111">
        <v>1000</v>
      </c>
      <c r="I111">
        <v>0</v>
      </c>
      <c r="J111">
        <v>127</v>
      </c>
      <c r="K111" s="6">
        <v>0</v>
      </c>
      <c r="L111" s="6">
        <v>0.127</v>
      </c>
      <c r="M111" s="6">
        <v>12.7</v>
      </c>
      <c r="N111" t="s">
        <v>744</v>
      </c>
      <c r="O111" s="6">
        <v>0</v>
      </c>
      <c r="P111" s="6">
        <v>0.12609999999999999</v>
      </c>
      <c r="Q111">
        <v>-0.09</v>
      </c>
      <c r="R111" s="9" t="s">
        <v>754</v>
      </c>
    </row>
    <row r="112" spans="1:18" x14ac:dyDescent="0.25">
      <c r="A112" t="s">
        <v>134</v>
      </c>
      <c r="B112" t="s">
        <v>78</v>
      </c>
      <c r="C112" t="s">
        <v>94</v>
      </c>
      <c r="D112" t="s">
        <v>96</v>
      </c>
      <c r="E112" t="s">
        <v>752</v>
      </c>
      <c r="F112" t="s">
        <v>753</v>
      </c>
      <c r="G112" t="s">
        <v>714</v>
      </c>
      <c r="H112">
        <v>1000</v>
      </c>
      <c r="I112">
        <v>19</v>
      </c>
      <c r="J112">
        <v>19</v>
      </c>
      <c r="K112" s="6">
        <v>1.9E-2</v>
      </c>
      <c r="L112" s="6">
        <v>1.9E-2</v>
      </c>
      <c r="M112" s="6">
        <v>0</v>
      </c>
      <c r="N112" t="s">
        <v>715</v>
      </c>
      <c r="O112" s="6">
        <v>1.9E-2</v>
      </c>
      <c r="P112" s="6">
        <v>1.89E-2</v>
      </c>
      <c r="Q112">
        <v>-0.01</v>
      </c>
      <c r="R112" s="9" t="s">
        <v>754</v>
      </c>
    </row>
    <row r="113" spans="1:18" x14ac:dyDescent="0.25">
      <c r="A113" t="s">
        <v>134</v>
      </c>
      <c r="B113" t="s">
        <v>78</v>
      </c>
      <c r="C113" t="s">
        <v>94</v>
      </c>
      <c r="D113" t="s">
        <v>96</v>
      </c>
      <c r="E113" t="s">
        <v>720</v>
      </c>
      <c r="F113" t="s">
        <v>721</v>
      </c>
      <c r="G113" t="s">
        <v>714</v>
      </c>
      <c r="H113">
        <v>1000</v>
      </c>
      <c r="I113">
        <v>28</v>
      </c>
      <c r="J113">
        <v>28</v>
      </c>
      <c r="K113" s="6">
        <v>2.8000000000000001E-2</v>
      </c>
      <c r="L113" s="6">
        <v>2.8000000000000001E-2</v>
      </c>
      <c r="M113" s="6">
        <v>0</v>
      </c>
      <c r="N113" t="s">
        <v>715</v>
      </c>
      <c r="O113" s="6">
        <v>2.8000000000000001E-2</v>
      </c>
      <c r="P113" s="6">
        <v>2.7799999999999998E-2</v>
      </c>
      <c r="Q113">
        <v>-0.02</v>
      </c>
      <c r="R113" s="9" t="s">
        <v>754</v>
      </c>
    </row>
    <row r="114" spans="1:18" x14ac:dyDescent="0.25">
      <c r="A114" t="s">
        <v>134</v>
      </c>
      <c r="B114" t="s">
        <v>78</v>
      </c>
      <c r="C114" t="s">
        <v>94</v>
      </c>
      <c r="D114" t="s">
        <v>96</v>
      </c>
      <c r="E114" t="s">
        <v>722</v>
      </c>
      <c r="F114" t="s">
        <v>723</v>
      </c>
      <c r="G114" t="s">
        <v>714</v>
      </c>
      <c r="H114">
        <v>1000</v>
      </c>
      <c r="I114">
        <v>859</v>
      </c>
      <c r="J114">
        <v>859</v>
      </c>
      <c r="K114" s="6">
        <v>0.85899999999999999</v>
      </c>
      <c r="L114" s="6">
        <v>0.85899999999999999</v>
      </c>
      <c r="M114" s="6">
        <v>0</v>
      </c>
      <c r="N114" t="s">
        <v>715</v>
      </c>
      <c r="O114" s="6">
        <v>0.85899999999999999</v>
      </c>
      <c r="P114" s="6">
        <v>0.85299999999999998</v>
      </c>
      <c r="Q114">
        <v>-0.6</v>
      </c>
      <c r="R114" s="9" t="s">
        <v>754</v>
      </c>
    </row>
    <row r="115" spans="1:18" x14ac:dyDescent="0.25">
      <c r="A115" t="s">
        <v>134</v>
      </c>
      <c r="B115" t="s">
        <v>78</v>
      </c>
      <c r="C115" t="s">
        <v>94</v>
      </c>
      <c r="D115" t="s">
        <v>96</v>
      </c>
      <c r="E115" t="s">
        <v>724</v>
      </c>
      <c r="F115" t="s">
        <v>725</v>
      </c>
      <c r="G115" t="s">
        <v>714</v>
      </c>
      <c r="H115">
        <v>1000</v>
      </c>
      <c r="I115">
        <v>890</v>
      </c>
      <c r="J115">
        <v>890</v>
      </c>
      <c r="K115" s="6">
        <v>0.89</v>
      </c>
      <c r="L115" s="6">
        <v>0.89</v>
      </c>
      <c r="M115" s="6">
        <v>0</v>
      </c>
      <c r="N115" t="s">
        <v>715</v>
      </c>
      <c r="O115" s="6">
        <v>0.89</v>
      </c>
      <c r="P115" s="6">
        <v>0.88480000000000003</v>
      </c>
      <c r="Q115">
        <v>-0.52</v>
      </c>
      <c r="R115" s="9" t="s">
        <v>754</v>
      </c>
    </row>
    <row r="116" spans="1:18" x14ac:dyDescent="0.25">
      <c r="A116" t="s">
        <v>134</v>
      </c>
      <c r="B116" t="s">
        <v>78</v>
      </c>
      <c r="C116" t="s">
        <v>94</v>
      </c>
      <c r="D116" t="s">
        <v>96</v>
      </c>
      <c r="E116" t="s">
        <v>745</v>
      </c>
      <c r="F116" t="s">
        <v>746</v>
      </c>
      <c r="G116" t="s">
        <v>714</v>
      </c>
      <c r="H116">
        <v>1000</v>
      </c>
      <c r="I116">
        <v>0</v>
      </c>
      <c r="J116">
        <v>127</v>
      </c>
      <c r="K116" s="6">
        <v>0</v>
      </c>
      <c r="L116" s="6">
        <v>0.127</v>
      </c>
      <c r="M116" s="6">
        <v>12.7</v>
      </c>
      <c r="N116" t="s">
        <v>744</v>
      </c>
      <c r="O116" s="6">
        <v>0</v>
      </c>
      <c r="P116" s="6">
        <v>0.12609999999999999</v>
      </c>
      <c r="Q116">
        <v>-0.09</v>
      </c>
      <c r="R116" s="9" t="s">
        <v>754</v>
      </c>
    </row>
    <row r="117" spans="1:18" x14ac:dyDescent="0.25">
      <c r="A117" t="s">
        <v>134</v>
      </c>
      <c r="B117" t="s">
        <v>78</v>
      </c>
      <c r="C117" t="s">
        <v>94</v>
      </c>
      <c r="D117" t="s">
        <v>96</v>
      </c>
      <c r="E117" t="s">
        <v>726</v>
      </c>
      <c r="F117" t="s">
        <v>727</v>
      </c>
      <c r="G117" t="s">
        <v>714</v>
      </c>
      <c r="H117">
        <v>1000</v>
      </c>
      <c r="I117">
        <v>890</v>
      </c>
      <c r="J117">
        <v>890</v>
      </c>
      <c r="K117" s="6">
        <v>0.89</v>
      </c>
      <c r="L117" s="6">
        <v>0.89</v>
      </c>
      <c r="M117" s="6">
        <v>0</v>
      </c>
      <c r="N117" t="s">
        <v>715</v>
      </c>
      <c r="O117" s="6">
        <v>0.89</v>
      </c>
      <c r="P117" s="6">
        <v>0.88480000000000003</v>
      </c>
      <c r="Q117">
        <v>-0.52</v>
      </c>
      <c r="R117" s="9" t="s">
        <v>754</v>
      </c>
    </row>
    <row r="118" spans="1:18" x14ac:dyDescent="0.25">
      <c r="A118" t="s">
        <v>134</v>
      </c>
      <c r="B118" t="s">
        <v>78</v>
      </c>
      <c r="C118" t="s">
        <v>94</v>
      </c>
      <c r="D118" t="s">
        <v>96</v>
      </c>
      <c r="E118" t="s">
        <v>728</v>
      </c>
      <c r="F118" t="s">
        <v>729</v>
      </c>
      <c r="G118" t="s">
        <v>714</v>
      </c>
      <c r="H118">
        <v>1000</v>
      </c>
      <c r="I118">
        <v>890</v>
      </c>
      <c r="J118">
        <v>890</v>
      </c>
      <c r="K118" s="6">
        <v>0.89</v>
      </c>
      <c r="L118" s="6">
        <v>0.89</v>
      </c>
      <c r="M118" s="6">
        <v>0</v>
      </c>
      <c r="N118" t="s">
        <v>715</v>
      </c>
      <c r="O118" s="6">
        <v>0.89</v>
      </c>
      <c r="P118" s="6">
        <v>0.88480000000000003</v>
      </c>
      <c r="Q118">
        <v>-0.52</v>
      </c>
      <c r="R118" s="9" t="s">
        <v>754</v>
      </c>
    </row>
    <row r="119" spans="1:18" x14ac:dyDescent="0.25">
      <c r="A119" t="s">
        <v>134</v>
      </c>
      <c r="B119" t="s">
        <v>78</v>
      </c>
      <c r="C119" t="s">
        <v>94</v>
      </c>
      <c r="D119" t="s">
        <v>96</v>
      </c>
      <c r="E119" t="s">
        <v>730</v>
      </c>
      <c r="F119" t="s">
        <v>731</v>
      </c>
      <c r="G119" t="s">
        <v>732</v>
      </c>
      <c r="H119">
        <v>1000</v>
      </c>
      <c r="I119">
        <v>890</v>
      </c>
      <c r="J119">
        <v>890</v>
      </c>
      <c r="K119" s="6">
        <v>0.89</v>
      </c>
      <c r="L119" s="6">
        <v>0.89</v>
      </c>
      <c r="M119" s="6">
        <v>0</v>
      </c>
      <c r="N119" t="s">
        <v>715</v>
      </c>
      <c r="O119" s="6">
        <v>0.89</v>
      </c>
      <c r="P119" s="6">
        <v>0.88480000000000003</v>
      </c>
      <c r="Q119">
        <v>-0.52</v>
      </c>
      <c r="R119" s="9" t="s">
        <v>754</v>
      </c>
    </row>
    <row r="120" spans="1:18" x14ac:dyDescent="0.25">
      <c r="A120" t="s">
        <v>134</v>
      </c>
      <c r="B120" t="s">
        <v>78</v>
      </c>
      <c r="C120" t="s">
        <v>94</v>
      </c>
      <c r="D120" t="s">
        <v>96</v>
      </c>
      <c r="E120" t="s">
        <v>749</v>
      </c>
      <c r="F120" t="s">
        <v>731</v>
      </c>
      <c r="G120" t="s">
        <v>732</v>
      </c>
      <c r="H120">
        <v>1000</v>
      </c>
      <c r="I120">
        <v>6</v>
      </c>
      <c r="J120">
        <v>6</v>
      </c>
      <c r="K120" s="6">
        <v>6.0000000000000001E-3</v>
      </c>
      <c r="L120" s="6">
        <v>6.0000000000000001E-3</v>
      </c>
      <c r="M120" s="6">
        <v>0</v>
      </c>
      <c r="N120" t="s">
        <v>715</v>
      </c>
      <c r="O120" s="6">
        <v>6.0000000000000001E-3</v>
      </c>
      <c r="P120" s="6">
        <v>6.0000000000000001E-3</v>
      </c>
      <c r="Q120">
        <v>0</v>
      </c>
      <c r="R120" s="9" t="s">
        <v>754</v>
      </c>
    </row>
    <row r="121" spans="1:18" x14ac:dyDescent="0.25">
      <c r="A121" t="s">
        <v>134</v>
      </c>
      <c r="B121" t="s">
        <v>78</v>
      </c>
      <c r="C121" t="s">
        <v>94</v>
      </c>
      <c r="D121" t="s">
        <v>96</v>
      </c>
      <c r="E121" t="s">
        <v>750</v>
      </c>
      <c r="F121" t="s">
        <v>731</v>
      </c>
      <c r="G121" t="s">
        <v>732</v>
      </c>
      <c r="H121">
        <v>1000</v>
      </c>
      <c r="I121">
        <v>135</v>
      </c>
      <c r="J121">
        <v>135</v>
      </c>
      <c r="K121" s="6">
        <v>0.13500000000000001</v>
      </c>
      <c r="L121" s="6">
        <v>0.13500000000000001</v>
      </c>
      <c r="M121" s="6">
        <v>0</v>
      </c>
      <c r="N121" t="s">
        <v>715</v>
      </c>
      <c r="O121" s="6">
        <v>0.13500000000000001</v>
      </c>
      <c r="P121" s="6">
        <v>0.1351</v>
      </c>
      <c r="Q121">
        <v>0.01</v>
      </c>
      <c r="R121" s="9" t="s">
        <v>754</v>
      </c>
    </row>
    <row r="122" spans="1:18" x14ac:dyDescent="0.25">
      <c r="A122" t="s">
        <v>134</v>
      </c>
      <c r="B122" t="s">
        <v>78</v>
      </c>
      <c r="C122" t="s">
        <v>94</v>
      </c>
      <c r="D122" t="s">
        <v>96</v>
      </c>
      <c r="E122" t="s">
        <v>733</v>
      </c>
      <c r="F122" t="s">
        <v>731</v>
      </c>
      <c r="G122" t="s">
        <v>732</v>
      </c>
      <c r="H122">
        <v>1000</v>
      </c>
      <c r="I122">
        <v>749</v>
      </c>
      <c r="J122">
        <v>749</v>
      </c>
      <c r="K122" s="6">
        <v>0.749</v>
      </c>
      <c r="L122" s="6">
        <v>0.749</v>
      </c>
      <c r="M122" s="6">
        <v>0</v>
      </c>
      <c r="N122" t="s">
        <v>715</v>
      </c>
      <c r="O122" s="6">
        <v>0.749</v>
      </c>
      <c r="P122" s="6">
        <v>0.74380000000000002</v>
      </c>
      <c r="Q122">
        <v>-0.52</v>
      </c>
      <c r="R122" s="9" t="s">
        <v>754</v>
      </c>
    </row>
    <row r="123" spans="1:18" x14ac:dyDescent="0.25">
      <c r="A123" t="s">
        <v>134</v>
      </c>
      <c r="B123" t="s">
        <v>78</v>
      </c>
      <c r="C123" t="s">
        <v>94</v>
      </c>
      <c r="D123" t="s">
        <v>96</v>
      </c>
      <c r="E123" t="s">
        <v>735</v>
      </c>
      <c r="F123" t="s">
        <v>736</v>
      </c>
      <c r="G123" t="s">
        <v>714</v>
      </c>
      <c r="H123">
        <v>1000</v>
      </c>
      <c r="I123">
        <v>890</v>
      </c>
      <c r="J123">
        <v>890</v>
      </c>
      <c r="K123" s="6">
        <v>0.89</v>
      </c>
      <c r="L123" s="6">
        <v>0.89</v>
      </c>
      <c r="M123" s="6">
        <v>0</v>
      </c>
      <c r="N123" t="s">
        <v>715</v>
      </c>
      <c r="O123" s="6">
        <v>0.89</v>
      </c>
      <c r="P123" s="6">
        <v>0.88480000000000003</v>
      </c>
      <c r="Q123">
        <v>-0.52</v>
      </c>
      <c r="R123" s="9" t="s">
        <v>754</v>
      </c>
    </row>
    <row r="124" spans="1:18" x14ac:dyDescent="0.25">
      <c r="A124" t="s">
        <v>134</v>
      </c>
      <c r="B124" t="s">
        <v>78</v>
      </c>
      <c r="C124" t="s">
        <v>94</v>
      </c>
      <c r="D124" t="s">
        <v>96</v>
      </c>
      <c r="E124" t="s">
        <v>737</v>
      </c>
      <c r="F124" t="s">
        <v>738</v>
      </c>
      <c r="G124" t="s">
        <v>714</v>
      </c>
      <c r="H124">
        <v>1000</v>
      </c>
      <c r="I124">
        <v>890</v>
      </c>
      <c r="J124">
        <v>890</v>
      </c>
      <c r="K124" s="6">
        <v>0.89</v>
      </c>
      <c r="L124" s="6">
        <v>0.89</v>
      </c>
      <c r="M124" s="6">
        <v>0</v>
      </c>
      <c r="N124" t="s">
        <v>715</v>
      </c>
      <c r="O124" s="6">
        <v>0.89</v>
      </c>
      <c r="P124" s="6">
        <v>0.88480000000000003</v>
      </c>
      <c r="Q124">
        <v>-0.52</v>
      </c>
      <c r="R124" s="9" t="s">
        <v>754</v>
      </c>
    </row>
    <row r="125" spans="1:18" x14ac:dyDescent="0.25">
      <c r="A125" t="s">
        <v>134</v>
      </c>
      <c r="B125" t="s">
        <v>78</v>
      </c>
      <c r="C125" t="s">
        <v>94</v>
      </c>
      <c r="D125" t="s">
        <v>96</v>
      </c>
      <c r="E125" t="s">
        <v>739</v>
      </c>
      <c r="F125" t="s">
        <v>740</v>
      </c>
      <c r="G125" t="s">
        <v>732</v>
      </c>
      <c r="H125">
        <v>1000</v>
      </c>
      <c r="I125">
        <v>890</v>
      </c>
      <c r="J125">
        <v>890</v>
      </c>
      <c r="K125" s="6">
        <v>0.89</v>
      </c>
      <c r="L125" s="6">
        <v>0.89</v>
      </c>
      <c r="M125" s="6">
        <v>0</v>
      </c>
      <c r="N125" t="s">
        <v>715</v>
      </c>
      <c r="O125" s="6">
        <v>0.89</v>
      </c>
      <c r="P125" s="6">
        <v>0.88480000000000003</v>
      </c>
      <c r="Q125">
        <v>-0.52</v>
      </c>
      <c r="R125" s="9" t="s">
        <v>754</v>
      </c>
    </row>
    <row r="126" spans="1:18" x14ac:dyDescent="0.25">
      <c r="A126" t="s">
        <v>134</v>
      </c>
      <c r="B126" t="s">
        <v>78</v>
      </c>
      <c r="C126" t="s">
        <v>96</v>
      </c>
      <c r="D126" t="s">
        <v>6</v>
      </c>
      <c r="E126" t="s">
        <v>712</v>
      </c>
      <c r="F126" t="s">
        <v>713</v>
      </c>
      <c r="G126" t="s">
        <v>714</v>
      </c>
      <c r="H126">
        <v>1000</v>
      </c>
      <c r="I126">
        <v>859</v>
      </c>
      <c r="J126">
        <v>859</v>
      </c>
      <c r="K126" s="6">
        <v>0.85899999999999999</v>
      </c>
      <c r="L126" s="6">
        <v>0.85899999999999999</v>
      </c>
      <c r="M126" s="6">
        <v>0</v>
      </c>
      <c r="N126" t="s">
        <v>715</v>
      </c>
      <c r="O126" s="6">
        <v>0.85299999999999998</v>
      </c>
      <c r="P126" s="6">
        <v>0.85899999999999999</v>
      </c>
      <c r="Q126">
        <v>0.6</v>
      </c>
      <c r="R126" s="9" t="s">
        <v>754</v>
      </c>
    </row>
    <row r="127" spans="1:18" x14ac:dyDescent="0.25">
      <c r="A127" t="s">
        <v>134</v>
      </c>
      <c r="B127" t="s">
        <v>78</v>
      </c>
      <c r="C127" t="s">
        <v>96</v>
      </c>
      <c r="D127" t="s">
        <v>6</v>
      </c>
      <c r="E127" t="s">
        <v>717</v>
      </c>
      <c r="F127" t="s">
        <v>718</v>
      </c>
      <c r="G127" t="s">
        <v>714</v>
      </c>
      <c r="H127">
        <v>1000</v>
      </c>
      <c r="I127">
        <v>890</v>
      </c>
      <c r="J127">
        <v>889</v>
      </c>
      <c r="K127" s="6">
        <v>0.89</v>
      </c>
      <c r="L127" s="6">
        <v>0.88900000000000001</v>
      </c>
      <c r="M127" s="6">
        <v>-0.1</v>
      </c>
      <c r="N127" t="s">
        <v>715</v>
      </c>
      <c r="O127" s="6">
        <v>0.88480000000000003</v>
      </c>
      <c r="P127" s="6">
        <v>0.88900000000000001</v>
      </c>
      <c r="Q127">
        <v>0.52</v>
      </c>
      <c r="R127" s="9" t="s">
        <v>754</v>
      </c>
    </row>
    <row r="128" spans="1:18" x14ac:dyDescent="0.25">
      <c r="A128" t="s">
        <v>134</v>
      </c>
      <c r="B128" t="s">
        <v>78</v>
      </c>
      <c r="C128" t="s">
        <v>96</v>
      </c>
      <c r="D128" t="s">
        <v>6</v>
      </c>
      <c r="E128" t="s">
        <v>719</v>
      </c>
      <c r="F128" t="s">
        <v>718</v>
      </c>
      <c r="G128" t="s">
        <v>714</v>
      </c>
      <c r="H128">
        <v>1000</v>
      </c>
      <c r="I128">
        <v>890</v>
      </c>
      <c r="J128">
        <v>889</v>
      </c>
      <c r="K128" s="6">
        <v>0.89</v>
      </c>
      <c r="L128" s="6">
        <v>0.88900000000000001</v>
      </c>
      <c r="M128" s="6">
        <v>-0.1</v>
      </c>
      <c r="N128" t="s">
        <v>715</v>
      </c>
      <c r="O128" s="6">
        <v>0.88480000000000003</v>
      </c>
      <c r="P128" s="6">
        <v>0.88900000000000001</v>
      </c>
      <c r="Q128">
        <v>0.52</v>
      </c>
      <c r="R128" s="9" t="s">
        <v>754</v>
      </c>
    </row>
    <row r="129" spans="1:18" x14ac:dyDescent="0.25">
      <c r="A129" t="s">
        <v>134</v>
      </c>
      <c r="B129" t="s">
        <v>78</v>
      </c>
      <c r="C129" t="s">
        <v>96</v>
      </c>
      <c r="D129" t="s">
        <v>6</v>
      </c>
      <c r="E129" t="s">
        <v>742</v>
      </c>
      <c r="F129" t="s">
        <v>743</v>
      </c>
      <c r="G129" t="s">
        <v>714</v>
      </c>
      <c r="H129">
        <v>1000</v>
      </c>
      <c r="I129">
        <v>127</v>
      </c>
      <c r="J129">
        <v>175</v>
      </c>
      <c r="K129" s="6">
        <v>0.127</v>
      </c>
      <c r="L129" s="6">
        <v>0.17499999999999999</v>
      </c>
      <c r="M129" s="6">
        <v>4.8</v>
      </c>
      <c r="N129" t="s">
        <v>747</v>
      </c>
      <c r="O129" s="6">
        <v>0.12609999999999999</v>
      </c>
      <c r="P129" s="6">
        <v>0.17499999999999999</v>
      </c>
      <c r="Q129">
        <v>0.09</v>
      </c>
      <c r="R129" s="9" t="s">
        <v>754</v>
      </c>
    </row>
    <row r="130" spans="1:18" x14ac:dyDescent="0.25">
      <c r="A130" t="s">
        <v>134</v>
      </c>
      <c r="B130" t="s">
        <v>78</v>
      </c>
      <c r="C130" t="s">
        <v>96</v>
      </c>
      <c r="D130" t="s">
        <v>6</v>
      </c>
      <c r="E130" t="s">
        <v>752</v>
      </c>
      <c r="F130" t="s">
        <v>753</v>
      </c>
      <c r="G130" t="s">
        <v>714</v>
      </c>
      <c r="H130">
        <v>1000</v>
      </c>
      <c r="I130">
        <v>19</v>
      </c>
      <c r="J130">
        <v>18</v>
      </c>
      <c r="K130" s="6">
        <v>1.9E-2</v>
      </c>
      <c r="L130" s="6">
        <v>1.7999999999999999E-2</v>
      </c>
      <c r="M130" s="6">
        <v>-0.1</v>
      </c>
      <c r="N130" t="s">
        <v>715</v>
      </c>
      <c r="O130" s="6">
        <v>1.89E-2</v>
      </c>
      <c r="P130" s="6">
        <v>1.7999999999999999E-2</v>
      </c>
      <c r="Q130">
        <v>0.01</v>
      </c>
      <c r="R130" s="9" t="s">
        <v>754</v>
      </c>
    </row>
    <row r="131" spans="1:18" x14ac:dyDescent="0.25">
      <c r="A131" t="s">
        <v>134</v>
      </c>
      <c r="B131" t="s">
        <v>78</v>
      </c>
      <c r="C131" t="s">
        <v>96</v>
      </c>
      <c r="D131" t="s">
        <v>6</v>
      </c>
      <c r="E131" t="s">
        <v>720</v>
      </c>
      <c r="F131" t="s">
        <v>721</v>
      </c>
      <c r="G131" t="s">
        <v>714</v>
      </c>
      <c r="H131">
        <v>1000</v>
      </c>
      <c r="I131">
        <v>28</v>
      </c>
      <c r="J131">
        <v>28</v>
      </c>
      <c r="K131" s="6">
        <v>2.8000000000000001E-2</v>
      </c>
      <c r="L131" s="6">
        <v>2.8000000000000001E-2</v>
      </c>
      <c r="M131" s="6">
        <v>0</v>
      </c>
      <c r="N131" t="s">
        <v>715</v>
      </c>
      <c r="O131" s="6">
        <v>2.7799999999999998E-2</v>
      </c>
      <c r="P131" s="6">
        <v>2.8000000000000001E-2</v>
      </c>
      <c r="Q131">
        <v>0.02</v>
      </c>
      <c r="R131" s="9" t="s">
        <v>754</v>
      </c>
    </row>
    <row r="132" spans="1:18" x14ac:dyDescent="0.25">
      <c r="A132" t="s">
        <v>134</v>
      </c>
      <c r="B132" t="s">
        <v>78</v>
      </c>
      <c r="C132" t="s">
        <v>96</v>
      </c>
      <c r="D132" t="s">
        <v>6</v>
      </c>
      <c r="E132" t="s">
        <v>722</v>
      </c>
      <c r="F132" t="s">
        <v>723</v>
      </c>
      <c r="G132" t="s">
        <v>714</v>
      </c>
      <c r="H132">
        <v>1000</v>
      </c>
      <c r="I132">
        <v>859</v>
      </c>
      <c r="J132">
        <v>859</v>
      </c>
      <c r="K132" s="6">
        <v>0.85899999999999999</v>
      </c>
      <c r="L132" s="6">
        <v>0.85899999999999999</v>
      </c>
      <c r="M132" s="6">
        <v>0</v>
      </c>
      <c r="N132" t="s">
        <v>715</v>
      </c>
      <c r="O132" s="6">
        <v>0.85299999999999998</v>
      </c>
      <c r="P132" s="6">
        <v>0.85899999999999999</v>
      </c>
      <c r="Q132">
        <v>0.6</v>
      </c>
      <c r="R132" s="9" t="s">
        <v>754</v>
      </c>
    </row>
    <row r="133" spans="1:18" x14ac:dyDescent="0.25">
      <c r="A133" t="s">
        <v>134</v>
      </c>
      <c r="B133" t="s">
        <v>78</v>
      </c>
      <c r="C133" t="s">
        <v>96</v>
      </c>
      <c r="D133" t="s">
        <v>6</v>
      </c>
      <c r="E133" t="s">
        <v>724</v>
      </c>
      <c r="F133" t="s">
        <v>725</v>
      </c>
      <c r="G133" t="s">
        <v>714</v>
      </c>
      <c r="H133">
        <v>1000</v>
      </c>
      <c r="I133">
        <v>890</v>
      </c>
      <c r="J133">
        <v>889</v>
      </c>
      <c r="K133" s="6">
        <v>0.89</v>
      </c>
      <c r="L133" s="6">
        <v>0.88900000000000001</v>
      </c>
      <c r="M133" s="6">
        <v>-0.1</v>
      </c>
      <c r="N133" t="s">
        <v>715</v>
      </c>
      <c r="O133" s="6">
        <v>0.88480000000000003</v>
      </c>
      <c r="P133" s="6">
        <v>0.88900000000000001</v>
      </c>
      <c r="Q133">
        <v>0.52</v>
      </c>
      <c r="R133" s="9" t="s">
        <v>754</v>
      </c>
    </row>
    <row r="134" spans="1:18" x14ac:dyDescent="0.25">
      <c r="A134" t="s">
        <v>134</v>
      </c>
      <c r="B134" t="s">
        <v>78</v>
      </c>
      <c r="C134" t="s">
        <v>96</v>
      </c>
      <c r="D134" t="s">
        <v>6</v>
      </c>
      <c r="E134" t="s">
        <v>745</v>
      </c>
      <c r="F134" t="s">
        <v>746</v>
      </c>
      <c r="G134" t="s">
        <v>714</v>
      </c>
      <c r="H134">
        <v>1000</v>
      </c>
      <c r="I134">
        <v>127</v>
      </c>
      <c r="J134">
        <v>175</v>
      </c>
      <c r="K134" s="6">
        <v>0.127</v>
      </c>
      <c r="L134" s="6">
        <v>0.17499999999999999</v>
      </c>
      <c r="M134" s="6">
        <v>4.8</v>
      </c>
      <c r="N134" t="s">
        <v>747</v>
      </c>
      <c r="O134" s="6">
        <v>0.12609999999999999</v>
      </c>
      <c r="P134" s="6">
        <v>0.17499999999999999</v>
      </c>
      <c r="Q134">
        <v>0.09</v>
      </c>
      <c r="R134" s="9" t="s">
        <v>754</v>
      </c>
    </row>
    <row r="135" spans="1:18" x14ac:dyDescent="0.25">
      <c r="A135" t="s">
        <v>134</v>
      </c>
      <c r="B135" t="s">
        <v>78</v>
      </c>
      <c r="C135" t="s">
        <v>96</v>
      </c>
      <c r="D135" t="s">
        <v>6</v>
      </c>
      <c r="E135" t="s">
        <v>726</v>
      </c>
      <c r="F135" t="s">
        <v>727</v>
      </c>
      <c r="G135" t="s">
        <v>714</v>
      </c>
      <c r="H135">
        <v>1000</v>
      </c>
      <c r="I135">
        <v>890</v>
      </c>
      <c r="J135">
        <v>889</v>
      </c>
      <c r="K135" s="6">
        <v>0.89</v>
      </c>
      <c r="L135" s="6">
        <v>0.88900000000000001</v>
      </c>
      <c r="M135" s="6">
        <v>-0.1</v>
      </c>
      <c r="N135" t="s">
        <v>715</v>
      </c>
      <c r="O135" s="6">
        <v>0.88480000000000003</v>
      </c>
      <c r="P135" s="6">
        <v>0.88900000000000001</v>
      </c>
      <c r="Q135">
        <v>0.52</v>
      </c>
      <c r="R135" s="9" t="s">
        <v>754</v>
      </c>
    </row>
    <row r="136" spans="1:18" x14ac:dyDescent="0.25">
      <c r="A136" t="s">
        <v>134</v>
      </c>
      <c r="B136" t="s">
        <v>78</v>
      </c>
      <c r="C136" t="s">
        <v>96</v>
      </c>
      <c r="D136" t="s">
        <v>6</v>
      </c>
      <c r="E136" t="s">
        <v>728</v>
      </c>
      <c r="F136" t="s">
        <v>729</v>
      </c>
      <c r="G136" t="s">
        <v>714</v>
      </c>
      <c r="H136">
        <v>1000</v>
      </c>
      <c r="I136">
        <v>890</v>
      </c>
      <c r="J136">
        <v>889</v>
      </c>
      <c r="K136" s="6">
        <v>0.89</v>
      </c>
      <c r="L136" s="6">
        <v>0.88900000000000001</v>
      </c>
      <c r="M136" s="6">
        <v>-0.1</v>
      </c>
      <c r="N136" t="s">
        <v>715</v>
      </c>
      <c r="O136" s="6">
        <v>0.88480000000000003</v>
      </c>
      <c r="P136" s="6">
        <v>0.88900000000000001</v>
      </c>
      <c r="Q136">
        <v>0.52</v>
      </c>
      <c r="R136" s="9" t="s">
        <v>754</v>
      </c>
    </row>
    <row r="137" spans="1:18" x14ac:dyDescent="0.25">
      <c r="A137" t="s">
        <v>134</v>
      </c>
      <c r="B137" t="s">
        <v>78</v>
      </c>
      <c r="C137" t="s">
        <v>96</v>
      </c>
      <c r="D137" t="s">
        <v>6</v>
      </c>
      <c r="E137" t="s">
        <v>730</v>
      </c>
      <c r="F137" t="s">
        <v>731</v>
      </c>
      <c r="G137" t="s">
        <v>732</v>
      </c>
      <c r="H137">
        <v>1000</v>
      </c>
      <c r="I137">
        <v>890</v>
      </c>
      <c r="J137">
        <v>889</v>
      </c>
      <c r="K137" s="6">
        <v>0.89</v>
      </c>
      <c r="L137" s="6">
        <v>0.88900000000000001</v>
      </c>
      <c r="M137" s="6">
        <v>-0.1</v>
      </c>
      <c r="N137" t="s">
        <v>715</v>
      </c>
      <c r="O137" s="6">
        <v>0.88480000000000003</v>
      </c>
      <c r="P137" s="6">
        <v>0.88900000000000001</v>
      </c>
      <c r="Q137">
        <v>0.52</v>
      </c>
      <c r="R137" s="9" t="s">
        <v>754</v>
      </c>
    </row>
    <row r="138" spans="1:18" x14ac:dyDescent="0.25">
      <c r="A138" t="s">
        <v>134</v>
      </c>
      <c r="B138" t="s">
        <v>78</v>
      </c>
      <c r="C138" t="s">
        <v>96</v>
      </c>
      <c r="D138" t="s">
        <v>6</v>
      </c>
      <c r="E138" t="s">
        <v>749</v>
      </c>
      <c r="F138" t="s">
        <v>731</v>
      </c>
      <c r="G138" t="s">
        <v>732</v>
      </c>
      <c r="H138">
        <v>1000</v>
      </c>
      <c r="I138">
        <v>6</v>
      </c>
      <c r="J138">
        <v>6</v>
      </c>
      <c r="K138" s="6">
        <v>6.0000000000000001E-3</v>
      </c>
      <c r="L138" s="6">
        <v>6.0000000000000001E-3</v>
      </c>
      <c r="M138" s="6">
        <v>0</v>
      </c>
      <c r="N138" t="s">
        <v>715</v>
      </c>
      <c r="O138" s="6">
        <v>6.0000000000000001E-3</v>
      </c>
      <c r="P138" s="6">
        <v>6.0000000000000001E-3</v>
      </c>
      <c r="Q138">
        <v>0</v>
      </c>
      <c r="R138" s="9" t="s">
        <v>754</v>
      </c>
    </row>
    <row r="139" spans="1:18" x14ac:dyDescent="0.25">
      <c r="A139" t="s">
        <v>134</v>
      </c>
      <c r="B139" t="s">
        <v>78</v>
      </c>
      <c r="C139" t="s">
        <v>96</v>
      </c>
      <c r="D139" t="s">
        <v>6</v>
      </c>
      <c r="E139" t="s">
        <v>750</v>
      </c>
      <c r="F139" t="s">
        <v>731</v>
      </c>
      <c r="G139" t="s">
        <v>732</v>
      </c>
      <c r="H139">
        <v>1000</v>
      </c>
      <c r="I139">
        <v>135</v>
      </c>
      <c r="J139">
        <v>135</v>
      </c>
      <c r="K139" s="6">
        <v>0.13500000000000001</v>
      </c>
      <c r="L139" s="6">
        <v>0.13500000000000001</v>
      </c>
      <c r="M139" s="6">
        <v>0</v>
      </c>
      <c r="N139" t="s">
        <v>715</v>
      </c>
      <c r="O139" s="6">
        <v>0.1351</v>
      </c>
      <c r="P139" s="6">
        <v>0.13500000000000001</v>
      </c>
      <c r="Q139">
        <v>-0.01</v>
      </c>
      <c r="R139" s="9" t="s">
        <v>754</v>
      </c>
    </row>
    <row r="140" spans="1:18" x14ac:dyDescent="0.25">
      <c r="A140" t="s">
        <v>134</v>
      </c>
      <c r="B140" t="s">
        <v>78</v>
      </c>
      <c r="C140" t="s">
        <v>96</v>
      </c>
      <c r="D140" t="s">
        <v>6</v>
      </c>
      <c r="E140" t="s">
        <v>733</v>
      </c>
      <c r="F140" t="s">
        <v>731</v>
      </c>
      <c r="G140" t="s">
        <v>732</v>
      </c>
      <c r="H140">
        <v>1000</v>
      </c>
      <c r="I140">
        <v>749</v>
      </c>
      <c r="J140">
        <v>748</v>
      </c>
      <c r="K140" s="6">
        <v>0.749</v>
      </c>
      <c r="L140" s="6">
        <v>0.748</v>
      </c>
      <c r="M140" s="6">
        <v>-0.1</v>
      </c>
      <c r="N140" t="s">
        <v>715</v>
      </c>
      <c r="O140" s="6">
        <v>0.74380000000000002</v>
      </c>
      <c r="P140" s="6">
        <v>0.748</v>
      </c>
      <c r="Q140">
        <v>0.52</v>
      </c>
      <c r="R140" s="9" t="s">
        <v>754</v>
      </c>
    </row>
    <row r="141" spans="1:18" x14ac:dyDescent="0.25">
      <c r="A141" t="s">
        <v>134</v>
      </c>
      <c r="B141" t="s">
        <v>78</v>
      </c>
      <c r="C141" t="s">
        <v>96</v>
      </c>
      <c r="D141" t="s">
        <v>6</v>
      </c>
      <c r="E141" t="s">
        <v>735</v>
      </c>
      <c r="F141" t="s">
        <v>736</v>
      </c>
      <c r="G141" t="s">
        <v>714</v>
      </c>
      <c r="H141">
        <v>1000</v>
      </c>
      <c r="I141">
        <v>890</v>
      </c>
      <c r="J141">
        <v>889</v>
      </c>
      <c r="K141" s="6">
        <v>0.89</v>
      </c>
      <c r="L141" s="6">
        <v>0.88900000000000001</v>
      </c>
      <c r="M141" s="6">
        <v>-0.1</v>
      </c>
      <c r="N141" t="s">
        <v>715</v>
      </c>
      <c r="O141" s="6">
        <v>0.88480000000000003</v>
      </c>
      <c r="P141" s="6">
        <v>0.88900000000000001</v>
      </c>
      <c r="Q141">
        <v>0.52</v>
      </c>
      <c r="R141" s="9" t="s">
        <v>754</v>
      </c>
    </row>
    <row r="142" spans="1:18" x14ac:dyDescent="0.25">
      <c r="A142" t="s">
        <v>134</v>
      </c>
      <c r="B142" t="s">
        <v>78</v>
      </c>
      <c r="C142" t="s">
        <v>96</v>
      </c>
      <c r="D142" t="s">
        <v>6</v>
      </c>
      <c r="E142" t="s">
        <v>737</v>
      </c>
      <c r="F142" t="s">
        <v>738</v>
      </c>
      <c r="G142" t="s">
        <v>714</v>
      </c>
      <c r="H142">
        <v>1000</v>
      </c>
      <c r="I142">
        <v>890</v>
      </c>
      <c r="J142">
        <v>889</v>
      </c>
      <c r="K142" s="6">
        <v>0.89</v>
      </c>
      <c r="L142" s="6">
        <v>0.88900000000000001</v>
      </c>
      <c r="M142" s="6">
        <v>-0.1</v>
      </c>
      <c r="N142" t="s">
        <v>715</v>
      </c>
      <c r="O142" s="6">
        <v>0.88480000000000003</v>
      </c>
      <c r="P142" s="6">
        <v>0.88900000000000001</v>
      </c>
      <c r="Q142">
        <v>0.52</v>
      </c>
      <c r="R142" s="9" t="s">
        <v>754</v>
      </c>
    </row>
    <row r="143" spans="1:18" x14ac:dyDescent="0.25">
      <c r="A143" t="s">
        <v>134</v>
      </c>
      <c r="B143" t="s">
        <v>78</v>
      </c>
      <c r="C143" t="s">
        <v>96</v>
      </c>
      <c r="D143" t="s">
        <v>6</v>
      </c>
      <c r="E143" t="s">
        <v>739</v>
      </c>
      <c r="F143" t="s">
        <v>740</v>
      </c>
      <c r="G143" t="s">
        <v>732</v>
      </c>
      <c r="H143">
        <v>1000</v>
      </c>
      <c r="I143">
        <v>890</v>
      </c>
      <c r="J143">
        <v>889</v>
      </c>
      <c r="K143" s="6">
        <v>0.89</v>
      </c>
      <c r="L143" s="6">
        <v>0.88900000000000001</v>
      </c>
      <c r="M143" s="6">
        <v>-0.1</v>
      </c>
      <c r="N143" t="s">
        <v>715</v>
      </c>
      <c r="O143" s="6">
        <v>0.88480000000000003</v>
      </c>
      <c r="P143" s="6">
        <v>0.88900000000000001</v>
      </c>
      <c r="Q143">
        <v>0.52</v>
      </c>
      <c r="R143" s="9" t="s">
        <v>754</v>
      </c>
    </row>
    <row r="144" spans="1:18" x14ac:dyDescent="0.25">
      <c r="A144" t="s">
        <v>134</v>
      </c>
      <c r="B144" t="s">
        <v>75</v>
      </c>
      <c r="C144" t="s">
        <v>90</v>
      </c>
      <c r="D144" t="s">
        <v>91</v>
      </c>
      <c r="E144" t="s">
        <v>712</v>
      </c>
      <c r="F144" t="s">
        <v>713</v>
      </c>
      <c r="G144" t="s">
        <v>714</v>
      </c>
      <c r="H144">
        <v>1938</v>
      </c>
      <c r="I144">
        <v>1543</v>
      </c>
      <c r="J144">
        <v>1541</v>
      </c>
      <c r="K144" s="6">
        <v>0.79620000000000002</v>
      </c>
      <c r="L144" s="6">
        <v>0.79510000000000003</v>
      </c>
      <c r="M144" s="6">
        <v>-0.1</v>
      </c>
      <c r="N144" t="s">
        <v>715</v>
      </c>
      <c r="O144" s="6">
        <v>0.79620000000000002</v>
      </c>
      <c r="P144" s="6">
        <v>0.55810000000000004</v>
      </c>
      <c r="Q144">
        <v>-23.7</v>
      </c>
      <c r="R144" s="9" t="s">
        <v>755</v>
      </c>
    </row>
    <row r="145" spans="1:18" x14ac:dyDescent="0.25">
      <c r="A145" t="s">
        <v>134</v>
      </c>
      <c r="B145" t="s">
        <v>75</v>
      </c>
      <c r="C145" t="s">
        <v>90</v>
      </c>
      <c r="D145" t="s">
        <v>91</v>
      </c>
      <c r="E145" t="s">
        <v>717</v>
      </c>
      <c r="F145" t="s">
        <v>718</v>
      </c>
      <c r="G145" t="s">
        <v>714</v>
      </c>
      <c r="H145">
        <v>1938</v>
      </c>
      <c r="I145">
        <v>1686</v>
      </c>
      <c r="J145">
        <v>1684</v>
      </c>
      <c r="K145" s="6">
        <v>0.87</v>
      </c>
      <c r="L145" s="6">
        <v>0.86890000000000001</v>
      </c>
      <c r="M145" s="6">
        <v>-0.1</v>
      </c>
      <c r="N145" t="s">
        <v>715</v>
      </c>
      <c r="O145" s="6">
        <v>0.87</v>
      </c>
      <c r="P145" s="6">
        <v>0.86529999999999996</v>
      </c>
      <c r="Q145">
        <v>-0.37</v>
      </c>
      <c r="R145" s="9" t="s">
        <v>755</v>
      </c>
    </row>
    <row r="146" spans="1:18" x14ac:dyDescent="0.25">
      <c r="A146" t="s">
        <v>134</v>
      </c>
      <c r="B146" t="s">
        <v>75</v>
      </c>
      <c r="C146" t="s">
        <v>90</v>
      </c>
      <c r="D146" t="s">
        <v>91</v>
      </c>
      <c r="E146" t="s">
        <v>719</v>
      </c>
      <c r="F146" t="s">
        <v>718</v>
      </c>
      <c r="G146" t="s">
        <v>714</v>
      </c>
      <c r="H146">
        <v>1938</v>
      </c>
      <c r="I146">
        <v>1686</v>
      </c>
      <c r="J146">
        <v>1684</v>
      </c>
      <c r="K146" s="6">
        <v>0.87</v>
      </c>
      <c r="L146" s="6">
        <v>0.86890000000000001</v>
      </c>
      <c r="M146" s="6">
        <v>-0.1</v>
      </c>
      <c r="N146" t="s">
        <v>715</v>
      </c>
      <c r="O146" s="6">
        <v>0.87</v>
      </c>
      <c r="P146" s="6">
        <v>0.86529999999999996</v>
      </c>
      <c r="Q146">
        <v>-0.37</v>
      </c>
      <c r="R146" s="9" t="s">
        <v>755</v>
      </c>
    </row>
    <row r="147" spans="1:18" x14ac:dyDescent="0.25">
      <c r="A147" t="s">
        <v>134</v>
      </c>
      <c r="B147" t="s">
        <v>75</v>
      </c>
      <c r="C147" t="s">
        <v>90</v>
      </c>
      <c r="D147" t="s">
        <v>91</v>
      </c>
      <c r="E147" t="s">
        <v>752</v>
      </c>
      <c r="F147" t="s">
        <v>753</v>
      </c>
      <c r="G147" t="s">
        <v>714</v>
      </c>
      <c r="H147">
        <v>1938</v>
      </c>
      <c r="I147">
        <v>583</v>
      </c>
      <c r="J147">
        <v>583</v>
      </c>
      <c r="K147" s="6">
        <v>0.30080000000000001</v>
      </c>
      <c r="L147" s="6">
        <v>0.30080000000000001</v>
      </c>
      <c r="M147" s="6">
        <v>0</v>
      </c>
      <c r="N147" t="s">
        <v>715</v>
      </c>
      <c r="O147" s="6">
        <v>0.30080000000000001</v>
      </c>
      <c r="P147" s="6">
        <v>0.35639999999999999</v>
      </c>
      <c r="Q147">
        <v>5.56</v>
      </c>
      <c r="R147" s="9" t="s">
        <v>755</v>
      </c>
    </row>
    <row r="148" spans="1:18" x14ac:dyDescent="0.25">
      <c r="A148" t="s">
        <v>134</v>
      </c>
      <c r="B148" t="s">
        <v>75</v>
      </c>
      <c r="C148" t="s">
        <v>90</v>
      </c>
      <c r="D148" t="s">
        <v>91</v>
      </c>
      <c r="E148" t="s">
        <v>720</v>
      </c>
      <c r="F148" t="s">
        <v>721</v>
      </c>
      <c r="G148" t="s">
        <v>714</v>
      </c>
      <c r="H148">
        <v>1938</v>
      </c>
      <c r="I148">
        <v>206</v>
      </c>
      <c r="J148">
        <v>206</v>
      </c>
      <c r="K148" s="6">
        <v>0.10630000000000001</v>
      </c>
      <c r="L148" s="6">
        <v>0.10630000000000001</v>
      </c>
      <c r="M148" s="6">
        <v>0</v>
      </c>
      <c r="N148" t="s">
        <v>715</v>
      </c>
      <c r="O148" s="6">
        <v>0.10630000000000001</v>
      </c>
      <c r="P148" s="6">
        <v>0.1235</v>
      </c>
      <c r="Q148">
        <v>1.72</v>
      </c>
      <c r="R148" s="9" t="s">
        <v>755</v>
      </c>
    </row>
    <row r="149" spans="1:18" x14ac:dyDescent="0.25">
      <c r="A149" t="s">
        <v>134</v>
      </c>
      <c r="B149" t="s">
        <v>75</v>
      </c>
      <c r="C149" t="s">
        <v>90</v>
      </c>
      <c r="D149" t="s">
        <v>91</v>
      </c>
      <c r="E149" t="s">
        <v>722</v>
      </c>
      <c r="F149" t="s">
        <v>723</v>
      </c>
      <c r="G149" t="s">
        <v>714</v>
      </c>
      <c r="H149">
        <v>1938</v>
      </c>
      <c r="I149">
        <v>1543</v>
      </c>
      <c r="J149">
        <v>1541</v>
      </c>
      <c r="K149" s="6">
        <v>0.79620000000000002</v>
      </c>
      <c r="L149" s="6">
        <v>0.79510000000000003</v>
      </c>
      <c r="M149" s="6">
        <v>-0.1</v>
      </c>
      <c r="N149" t="s">
        <v>715</v>
      </c>
      <c r="O149" s="6">
        <v>0.79620000000000002</v>
      </c>
      <c r="P149" s="6">
        <v>0.55810000000000004</v>
      </c>
      <c r="Q149">
        <v>-23.7</v>
      </c>
      <c r="R149" s="9" t="s">
        <v>755</v>
      </c>
    </row>
    <row r="150" spans="1:18" x14ac:dyDescent="0.25">
      <c r="A150" t="s">
        <v>134</v>
      </c>
      <c r="B150" t="s">
        <v>75</v>
      </c>
      <c r="C150" t="s">
        <v>90</v>
      </c>
      <c r="D150" t="s">
        <v>91</v>
      </c>
      <c r="E150" t="s">
        <v>724</v>
      </c>
      <c r="F150" t="s">
        <v>725</v>
      </c>
      <c r="G150" t="s">
        <v>714</v>
      </c>
      <c r="H150">
        <v>1938</v>
      </c>
      <c r="I150">
        <v>1686</v>
      </c>
      <c r="J150">
        <v>1684</v>
      </c>
      <c r="K150" s="6">
        <v>0.87</v>
      </c>
      <c r="L150" s="6">
        <v>0.86890000000000001</v>
      </c>
      <c r="M150" s="6">
        <v>-0.1</v>
      </c>
      <c r="N150" t="s">
        <v>715</v>
      </c>
      <c r="O150" s="6">
        <v>0.87</v>
      </c>
      <c r="P150" s="6">
        <v>0.86529999999999996</v>
      </c>
      <c r="Q150">
        <v>-0.37</v>
      </c>
      <c r="R150" s="9" t="s">
        <v>755</v>
      </c>
    </row>
    <row r="151" spans="1:18" x14ac:dyDescent="0.25">
      <c r="A151" t="s">
        <v>134</v>
      </c>
      <c r="B151" t="s">
        <v>75</v>
      </c>
      <c r="C151" t="s">
        <v>90</v>
      </c>
      <c r="D151" t="s">
        <v>91</v>
      </c>
      <c r="E151" t="s">
        <v>726</v>
      </c>
      <c r="F151" t="s">
        <v>727</v>
      </c>
      <c r="G151" t="s">
        <v>714</v>
      </c>
      <c r="H151">
        <v>1938</v>
      </c>
      <c r="I151">
        <v>1686</v>
      </c>
      <c r="J151">
        <v>1684</v>
      </c>
      <c r="K151" s="6">
        <v>0.87</v>
      </c>
      <c r="L151" s="6">
        <v>0.86890000000000001</v>
      </c>
      <c r="M151" s="6">
        <v>-0.1</v>
      </c>
      <c r="N151" t="s">
        <v>715</v>
      </c>
      <c r="O151" s="6">
        <v>0.87</v>
      </c>
      <c r="P151" s="6">
        <v>0.86529999999999996</v>
      </c>
      <c r="Q151">
        <v>-0.37</v>
      </c>
      <c r="R151" s="9" t="s">
        <v>755</v>
      </c>
    </row>
    <row r="152" spans="1:18" x14ac:dyDescent="0.25">
      <c r="A152" t="s">
        <v>134</v>
      </c>
      <c r="B152" t="s">
        <v>75</v>
      </c>
      <c r="C152" t="s">
        <v>90</v>
      </c>
      <c r="D152" t="s">
        <v>91</v>
      </c>
      <c r="E152" t="s">
        <v>728</v>
      </c>
      <c r="F152" t="s">
        <v>729</v>
      </c>
      <c r="G152" t="s">
        <v>714</v>
      </c>
      <c r="H152">
        <v>1938</v>
      </c>
      <c r="I152">
        <v>1686</v>
      </c>
      <c r="J152">
        <v>1684</v>
      </c>
      <c r="K152" s="6">
        <v>0.87</v>
      </c>
      <c r="L152" s="6">
        <v>0.86890000000000001</v>
      </c>
      <c r="M152" s="6">
        <v>-0.1</v>
      </c>
      <c r="N152" t="s">
        <v>715</v>
      </c>
      <c r="O152" s="6">
        <v>0.87</v>
      </c>
      <c r="P152" s="6">
        <v>0.86529999999999996</v>
      </c>
      <c r="Q152">
        <v>-0.37</v>
      </c>
      <c r="R152" s="9" t="s">
        <v>755</v>
      </c>
    </row>
    <row r="153" spans="1:18" x14ac:dyDescent="0.25">
      <c r="A153" t="s">
        <v>134</v>
      </c>
      <c r="B153" t="s">
        <v>75</v>
      </c>
      <c r="C153" t="s">
        <v>90</v>
      </c>
      <c r="D153" t="s">
        <v>91</v>
      </c>
      <c r="E153" t="s">
        <v>730</v>
      </c>
      <c r="F153" t="s">
        <v>731</v>
      </c>
      <c r="G153" t="s">
        <v>732</v>
      </c>
      <c r="H153">
        <v>1938</v>
      </c>
      <c r="I153">
        <v>1686</v>
      </c>
      <c r="J153">
        <v>1684</v>
      </c>
      <c r="K153" s="6">
        <v>0.87</v>
      </c>
      <c r="L153" s="6">
        <v>0.86890000000000001</v>
      </c>
      <c r="M153" s="6">
        <v>-0.1</v>
      </c>
      <c r="N153" t="s">
        <v>715</v>
      </c>
      <c r="O153" s="6">
        <v>0.87</v>
      </c>
      <c r="P153" s="6">
        <v>0.86529999999999996</v>
      </c>
      <c r="Q153">
        <v>-0.37</v>
      </c>
      <c r="R153" s="9" t="s">
        <v>755</v>
      </c>
    </row>
    <row r="154" spans="1:18" x14ac:dyDescent="0.25">
      <c r="A154" t="s">
        <v>134</v>
      </c>
      <c r="B154" t="s">
        <v>75</v>
      </c>
      <c r="C154" t="s">
        <v>90</v>
      </c>
      <c r="D154" t="s">
        <v>91</v>
      </c>
      <c r="E154" t="s">
        <v>749</v>
      </c>
      <c r="F154" t="s">
        <v>731</v>
      </c>
      <c r="G154" t="s">
        <v>732</v>
      </c>
      <c r="H154">
        <v>1938</v>
      </c>
      <c r="I154">
        <v>530</v>
      </c>
      <c r="J154">
        <v>530</v>
      </c>
      <c r="K154" s="6">
        <v>0.27350000000000002</v>
      </c>
      <c r="L154" s="6">
        <v>0.27350000000000002</v>
      </c>
      <c r="M154" s="6">
        <v>0</v>
      </c>
      <c r="N154" t="s">
        <v>715</v>
      </c>
      <c r="O154" s="6">
        <v>0.27350000000000002</v>
      </c>
      <c r="P154" s="6">
        <v>0.23980000000000001</v>
      </c>
      <c r="Q154">
        <v>-3.37</v>
      </c>
      <c r="R154" s="9" t="s">
        <v>755</v>
      </c>
    </row>
    <row r="155" spans="1:18" x14ac:dyDescent="0.25">
      <c r="A155" t="s">
        <v>134</v>
      </c>
      <c r="B155" t="s">
        <v>75</v>
      </c>
      <c r="C155" t="s">
        <v>90</v>
      </c>
      <c r="D155" t="s">
        <v>91</v>
      </c>
      <c r="E155" t="s">
        <v>750</v>
      </c>
      <c r="F155" t="s">
        <v>731</v>
      </c>
      <c r="G155" t="s">
        <v>732</v>
      </c>
      <c r="H155">
        <v>1938</v>
      </c>
      <c r="I155">
        <v>239</v>
      </c>
      <c r="J155">
        <v>239</v>
      </c>
      <c r="K155" s="6">
        <v>0.12330000000000001</v>
      </c>
      <c r="L155" s="6">
        <v>0.12330000000000001</v>
      </c>
      <c r="M155" s="6">
        <v>0</v>
      </c>
      <c r="N155" t="s">
        <v>715</v>
      </c>
      <c r="O155" s="6">
        <v>0.12330000000000001</v>
      </c>
      <c r="P155" s="6">
        <v>0.1206</v>
      </c>
      <c r="Q155">
        <v>-0.27</v>
      </c>
      <c r="R155" s="9" t="s">
        <v>755</v>
      </c>
    </row>
    <row r="156" spans="1:18" x14ac:dyDescent="0.25">
      <c r="A156" t="s">
        <v>134</v>
      </c>
      <c r="B156" t="s">
        <v>75</v>
      </c>
      <c r="C156" t="s">
        <v>90</v>
      </c>
      <c r="D156" t="s">
        <v>91</v>
      </c>
      <c r="E156" t="s">
        <v>733</v>
      </c>
      <c r="F156" t="s">
        <v>731</v>
      </c>
      <c r="G156" t="s">
        <v>732</v>
      </c>
      <c r="H156">
        <v>1938</v>
      </c>
      <c r="I156">
        <v>800</v>
      </c>
      <c r="J156">
        <v>798</v>
      </c>
      <c r="K156" s="6">
        <v>0.4128</v>
      </c>
      <c r="L156" s="6">
        <v>0.4118</v>
      </c>
      <c r="M156" s="6">
        <v>-0.1</v>
      </c>
      <c r="N156" t="s">
        <v>715</v>
      </c>
      <c r="O156" s="6">
        <v>0.4128</v>
      </c>
      <c r="P156" s="6">
        <v>0.43280000000000002</v>
      </c>
      <c r="Q156">
        <v>2.1</v>
      </c>
      <c r="R156" s="9" t="s">
        <v>755</v>
      </c>
    </row>
    <row r="157" spans="1:18" x14ac:dyDescent="0.25">
      <c r="A157" t="s">
        <v>134</v>
      </c>
      <c r="B157" t="s">
        <v>75</v>
      </c>
      <c r="C157" t="s">
        <v>90</v>
      </c>
      <c r="D157" t="s">
        <v>91</v>
      </c>
      <c r="E157" t="s">
        <v>734</v>
      </c>
      <c r="F157" t="s">
        <v>731</v>
      </c>
      <c r="G157" t="s">
        <v>732</v>
      </c>
      <c r="H157">
        <v>1938</v>
      </c>
      <c r="I157">
        <v>117</v>
      </c>
      <c r="J157">
        <v>117</v>
      </c>
      <c r="K157" s="6">
        <v>6.0400000000000002E-2</v>
      </c>
      <c r="L157" s="6">
        <v>6.0400000000000002E-2</v>
      </c>
      <c r="M157" s="6">
        <v>0</v>
      </c>
      <c r="N157" t="s">
        <v>715</v>
      </c>
      <c r="O157" s="6">
        <v>6.0400000000000002E-2</v>
      </c>
      <c r="P157" s="6">
        <v>7.2099999999999997E-2</v>
      </c>
      <c r="Q157">
        <v>1.17</v>
      </c>
      <c r="R157" s="9" t="s">
        <v>755</v>
      </c>
    </row>
    <row r="158" spans="1:18" x14ac:dyDescent="0.25">
      <c r="A158" t="s">
        <v>134</v>
      </c>
      <c r="B158" t="s">
        <v>75</v>
      </c>
      <c r="C158" t="s">
        <v>90</v>
      </c>
      <c r="D158" t="s">
        <v>91</v>
      </c>
      <c r="E158" t="s">
        <v>735</v>
      </c>
      <c r="F158" t="s">
        <v>736</v>
      </c>
      <c r="G158" t="s">
        <v>714</v>
      </c>
      <c r="H158">
        <v>1938</v>
      </c>
      <c r="I158">
        <v>1686</v>
      </c>
      <c r="J158">
        <v>1684</v>
      </c>
      <c r="K158" s="6">
        <v>0.87</v>
      </c>
      <c r="L158" s="6">
        <v>0.86890000000000001</v>
      </c>
      <c r="M158" s="6">
        <v>-0.1</v>
      </c>
      <c r="N158" t="s">
        <v>715</v>
      </c>
      <c r="O158" s="6">
        <v>0.87</v>
      </c>
      <c r="P158" s="6">
        <v>0.86529999999999996</v>
      </c>
      <c r="Q158">
        <v>-0.37</v>
      </c>
      <c r="R158" s="9" t="s">
        <v>755</v>
      </c>
    </row>
    <row r="159" spans="1:18" x14ac:dyDescent="0.25">
      <c r="A159" t="s">
        <v>134</v>
      </c>
      <c r="B159" t="s">
        <v>75</v>
      </c>
      <c r="C159" t="s">
        <v>90</v>
      </c>
      <c r="D159" t="s">
        <v>91</v>
      </c>
      <c r="E159" t="s">
        <v>737</v>
      </c>
      <c r="F159" t="s">
        <v>738</v>
      </c>
      <c r="G159" t="s">
        <v>714</v>
      </c>
      <c r="H159">
        <v>1938</v>
      </c>
      <c r="I159">
        <v>1686</v>
      </c>
      <c r="J159">
        <v>1684</v>
      </c>
      <c r="K159" s="6">
        <v>0.87</v>
      </c>
      <c r="L159" s="6">
        <v>0.86890000000000001</v>
      </c>
      <c r="M159" s="6">
        <v>-0.1</v>
      </c>
      <c r="N159" t="s">
        <v>715</v>
      </c>
      <c r="O159" s="6">
        <v>0.87</v>
      </c>
      <c r="P159" s="6">
        <v>0.86529999999999996</v>
      </c>
      <c r="Q159">
        <v>-0.37</v>
      </c>
      <c r="R159" s="9" t="s">
        <v>755</v>
      </c>
    </row>
    <row r="160" spans="1:18" x14ac:dyDescent="0.25">
      <c r="A160" t="s">
        <v>134</v>
      </c>
      <c r="B160" t="s">
        <v>75</v>
      </c>
      <c r="C160" t="s">
        <v>90</v>
      </c>
      <c r="D160" t="s">
        <v>91</v>
      </c>
      <c r="E160" t="s">
        <v>739</v>
      </c>
      <c r="F160" t="s">
        <v>740</v>
      </c>
      <c r="G160" t="s">
        <v>732</v>
      </c>
      <c r="H160">
        <v>1938</v>
      </c>
      <c r="I160">
        <v>1686</v>
      </c>
      <c r="J160">
        <v>1684</v>
      </c>
      <c r="K160" s="6">
        <v>0.87</v>
      </c>
      <c r="L160" s="6">
        <v>0.86890000000000001</v>
      </c>
      <c r="M160" s="6">
        <v>-0.1</v>
      </c>
      <c r="N160" t="s">
        <v>715</v>
      </c>
      <c r="O160" s="6">
        <v>0.87</v>
      </c>
      <c r="P160" s="6">
        <v>0.86529999999999996</v>
      </c>
      <c r="Q160">
        <v>-0.37</v>
      </c>
      <c r="R160" s="9" t="s">
        <v>755</v>
      </c>
    </row>
    <row r="161" spans="1:18" x14ac:dyDescent="0.25">
      <c r="A161" t="s">
        <v>134</v>
      </c>
      <c r="B161" t="s">
        <v>75</v>
      </c>
      <c r="C161" t="s">
        <v>90</v>
      </c>
      <c r="D161" t="s">
        <v>91</v>
      </c>
      <c r="E161" t="s">
        <v>756</v>
      </c>
      <c r="F161" t="s">
        <v>757</v>
      </c>
      <c r="G161" t="s">
        <v>714</v>
      </c>
      <c r="H161">
        <v>1938</v>
      </c>
      <c r="I161">
        <v>6</v>
      </c>
      <c r="J161">
        <v>0</v>
      </c>
      <c r="K161" s="6">
        <v>3.0999999999999999E-3</v>
      </c>
      <c r="L161" s="6">
        <v>0</v>
      </c>
      <c r="M161" s="6">
        <v>-0.31</v>
      </c>
      <c r="N161" t="s">
        <v>758</v>
      </c>
      <c r="O161" s="6">
        <v>3.0999999999999999E-3</v>
      </c>
      <c r="P161" s="6">
        <v>0</v>
      </c>
      <c r="Q161">
        <v>0</v>
      </c>
      <c r="R161" s="9" t="s">
        <v>755</v>
      </c>
    </row>
    <row r="162" spans="1:18" x14ac:dyDescent="0.25">
      <c r="A162" t="s">
        <v>134</v>
      </c>
      <c r="B162" t="s">
        <v>75</v>
      </c>
      <c r="C162" t="s">
        <v>91</v>
      </c>
      <c r="D162" t="s">
        <v>94</v>
      </c>
      <c r="E162" t="s">
        <v>712</v>
      </c>
      <c r="F162" t="s">
        <v>713</v>
      </c>
      <c r="G162" t="s">
        <v>714</v>
      </c>
      <c r="H162">
        <v>2761</v>
      </c>
      <c r="I162">
        <v>1541</v>
      </c>
      <c r="J162">
        <v>1509</v>
      </c>
      <c r="K162" s="6">
        <v>0.55810000000000004</v>
      </c>
      <c r="L162" s="6">
        <v>0.54649999999999999</v>
      </c>
      <c r="M162" s="6">
        <v>-1.1599999999999999</v>
      </c>
      <c r="N162" t="s">
        <v>715</v>
      </c>
      <c r="O162" s="6">
        <v>0.55810000000000004</v>
      </c>
      <c r="P162" s="6">
        <v>0.72019999999999995</v>
      </c>
      <c r="Q162">
        <v>17.36</v>
      </c>
      <c r="R162" s="9" t="s">
        <v>759</v>
      </c>
    </row>
    <row r="163" spans="1:18" x14ac:dyDescent="0.25">
      <c r="A163" t="s">
        <v>134</v>
      </c>
      <c r="B163" t="s">
        <v>75</v>
      </c>
      <c r="C163" t="s">
        <v>91</v>
      </c>
      <c r="D163" t="s">
        <v>94</v>
      </c>
      <c r="E163" t="s">
        <v>717</v>
      </c>
      <c r="F163" t="s">
        <v>718</v>
      </c>
      <c r="G163" t="s">
        <v>714</v>
      </c>
      <c r="H163">
        <v>2761</v>
      </c>
      <c r="I163">
        <v>2389</v>
      </c>
      <c r="J163">
        <v>2393</v>
      </c>
      <c r="K163" s="6">
        <v>0.86529999999999996</v>
      </c>
      <c r="L163" s="6">
        <v>0.86670000000000003</v>
      </c>
      <c r="M163" s="6">
        <v>0.14000000000000001</v>
      </c>
      <c r="N163" t="s">
        <v>715</v>
      </c>
      <c r="O163" s="6">
        <v>0.86529999999999996</v>
      </c>
      <c r="P163" s="6">
        <v>0.86599999999999999</v>
      </c>
      <c r="Q163">
        <v>-7.0000000000000007E-2</v>
      </c>
      <c r="R163" s="9" t="s">
        <v>759</v>
      </c>
    </row>
    <row r="164" spans="1:18" x14ac:dyDescent="0.25">
      <c r="A164" t="s">
        <v>134</v>
      </c>
      <c r="B164" t="s">
        <v>75</v>
      </c>
      <c r="C164" t="s">
        <v>91</v>
      </c>
      <c r="D164" t="s">
        <v>94</v>
      </c>
      <c r="E164" t="s">
        <v>719</v>
      </c>
      <c r="F164" t="s">
        <v>718</v>
      </c>
      <c r="G164" t="s">
        <v>714</v>
      </c>
      <c r="H164">
        <v>2761</v>
      </c>
      <c r="I164">
        <v>2389</v>
      </c>
      <c r="J164">
        <v>2393</v>
      </c>
      <c r="K164" s="6">
        <v>0.86529999999999996</v>
      </c>
      <c r="L164" s="6">
        <v>0.86670000000000003</v>
      </c>
      <c r="M164" s="6">
        <v>0.14000000000000001</v>
      </c>
      <c r="N164" t="s">
        <v>715</v>
      </c>
      <c r="O164" s="6">
        <v>0.86529999999999996</v>
      </c>
      <c r="P164" s="6">
        <v>0.86599999999999999</v>
      </c>
      <c r="Q164">
        <v>-7.0000000000000007E-2</v>
      </c>
      <c r="R164" s="9" t="s">
        <v>759</v>
      </c>
    </row>
    <row r="165" spans="1:18" x14ac:dyDescent="0.25">
      <c r="A165" t="s">
        <v>134</v>
      </c>
      <c r="B165" t="s">
        <v>75</v>
      </c>
      <c r="C165" t="s">
        <v>91</v>
      </c>
      <c r="D165" t="s">
        <v>94</v>
      </c>
      <c r="E165" t="s">
        <v>752</v>
      </c>
      <c r="F165" t="s">
        <v>753</v>
      </c>
      <c r="G165" t="s">
        <v>714</v>
      </c>
      <c r="H165">
        <v>2761</v>
      </c>
      <c r="I165">
        <v>984</v>
      </c>
      <c r="J165">
        <v>984</v>
      </c>
      <c r="K165" s="6">
        <v>0.35639999999999999</v>
      </c>
      <c r="L165" s="6">
        <v>0.35639999999999999</v>
      </c>
      <c r="M165" s="6">
        <v>0</v>
      </c>
      <c r="N165" t="s">
        <v>715</v>
      </c>
      <c r="O165" s="6">
        <v>0.35639999999999999</v>
      </c>
      <c r="P165" s="6">
        <v>0.18579999999999999</v>
      </c>
      <c r="Q165">
        <v>-17.059999999999999</v>
      </c>
      <c r="R165" s="9" t="s">
        <v>759</v>
      </c>
    </row>
    <row r="166" spans="1:18" x14ac:dyDescent="0.25">
      <c r="A166" t="s">
        <v>134</v>
      </c>
      <c r="B166" t="s">
        <v>75</v>
      </c>
      <c r="C166" t="s">
        <v>91</v>
      </c>
      <c r="D166" t="s">
        <v>94</v>
      </c>
      <c r="E166" t="s">
        <v>720</v>
      </c>
      <c r="F166" t="s">
        <v>721</v>
      </c>
      <c r="G166" t="s">
        <v>714</v>
      </c>
      <c r="H166">
        <v>2761</v>
      </c>
      <c r="I166">
        <v>341</v>
      </c>
      <c r="J166">
        <v>340</v>
      </c>
      <c r="K166" s="6">
        <v>0.1235</v>
      </c>
      <c r="L166" s="6">
        <v>0.1231</v>
      </c>
      <c r="M166" s="6">
        <v>-0.04</v>
      </c>
      <c r="N166" t="s">
        <v>715</v>
      </c>
      <c r="O166" s="6">
        <v>0.1235</v>
      </c>
      <c r="P166" s="6">
        <v>5.6099999999999997E-2</v>
      </c>
      <c r="Q166">
        <v>-6.7</v>
      </c>
      <c r="R166" s="9" t="s">
        <v>759</v>
      </c>
    </row>
    <row r="167" spans="1:18" x14ac:dyDescent="0.25">
      <c r="A167" t="s">
        <v>134</v>
      </c>
      <c r="B167" t="s">
        <v>75</v>
      </c>
      <c r="C167" t="s">
        <v>91</v>
      </c>
      <c r="D167" t="s">
        <v>94</v>
      </c>
      <c r="E167" t="s">
        <v>722</v>
      </c>
      <c r="F167" t="s">
        <v>723</v>
      </c>
      <c r="G167" t="s">
        <v>714</v>
      </c>
      <c r="H167">
        <v>2761</v>
      </c>
      <c r="I167">
        <v>1541</v>
      </c>
      <c r="J167">
        <v>1509</v>
      </c>
      <c r="K167" s="6">
        <v>0.55810000000000004</v>
      </c>
      <c r="L167" s="6">
        <v>0.54649999999999999</v>
      </c>
      <c r="M167" s="6">
        <v>-1.1599999999999999</v>
      </c>
      <c r="N167" t="s">
        <v>715</v>
      </c>
      <c r="O167" s="6">
        <v>0.55810000000000004</v>
      </c>
      <c r="P167" s="6">
        <v>0.72019999999999995</v>
      </c>
      <c r="Q167">
        <v>17.36</v>
      </c>
      <c r="R167" s="9" t="s">
        <v>759</v>
      </c>
    </row>
    <row r="168" spans="1:18" x14ac:dyDescent="0.25">
      <c r="A168" t="s">
        <v>134</v>
      </c>
      <c r="B168" t="s">
        <v>75</v>
      </c>
      <c r="C168" t="s">
        <v>91</v>
      </c>
      <c r="D168" t="s">
        <v>94</v>
      </c>
      <c r="E168" t="s">
        <v>724</v>
      </c>
      <c r="F168" t="s">
        <v>725</v>
      </c>
      <c r="G168" t="s">
        <v>714</v>
      </c>
      <c r="H168">
        <v>2761</v>
      </c>
      <c r="I168">
        <v>2389</v>
      </c>
      <c r="J168">
        <v>2393</v>
      </c>
      <c r="K168" s="6">
        <v>0.86529999999999996</v>
      </c>
      <c r="L168" s="6">
        <v>0.86670000000000003</v>
      </c>
      <c r="M168" s="6">
        <v>0.14000000000000001</v>
      </c>
      <c r="N168" t="s">
        <v>715</v>
      </c>
      <c r="O168" s="6">
        <v>0.86529999999999996</v>
      </c>
      <c r="P168" s="6">
        <v>0.86599999999999999</v>
      </c>
      <c r="Q168">
        <v>-7.0000000000000007E-2</v>
      </c>
      <c r="R168" s="9" t="s">
        <v>759</v>
      </c>
    </row>
    <row r="169" spans="1:18" x14ac:dyDescent="0.25">
      <c r="A169" t="s">
        <v>134</v>
      </c>
      <c r="B169" t="s">
        <v>75</v>
      </c>
      <c r="C169" t="s">
        <v>91</v>
      </c>
      <c r="D169" t="s">
        <v>94</v>
      </c>
      <c r="E169" t="s">
        <v>726</v>
      </c>
      <c r="F169" t="s">
        <v>727</v>
      </c>
      <c r="G169" t="s">
        <v>714</v>
      </c>
      <c r="H169">
        <v>2761</v>
      </c>
      <c r="I169">
        <v>2389</v>
      </c>
      <c r="J169">
        <v>2393</v>
      </c>
      <c r="K169" s="6">
        <v>0.86529999999999996</v>
      </c>
      <c r="L169" s="6">
        <v>0.86670000000000003</v>
      </c>
      <c r="M169" s="6">
        <v>0.14000000000000001</v>
      </c>
      <c r="N169" t="s">
        <v>715</v>
      </c>
      <c r="O169" s="6">
        <v>0.86529999999999996</v>
      </c>
      <c r="P169" s="6">
        <v>0.86599999999999999</v>
      </c>
      <c r="Q169">
        <v>-7.0000000000000007E-2</v>
      </c>
      <c r="R169" s="9" t="s">
        <v>759</v>
      </c>
    </row>
    <row r="170" spans="1:18" x14ac:dyDescent="0.25">
      <c r="A170" t="s">
        <v>134</v>
      </c>
      <c r="B170" t="s">
        <v>75</v>
      </c>
      <c r="C170" t="s">
        <v>91</v>
      </c>
      <c r="D170" t="s">
        <v>94</v>
      </c>
      <c r="E170" t="s">
        <v>760</v>
      </c>
      <c r="F170" t="s">
        <v>761</v>
      </c>
      <c r="G170" t="s">
        <v>714</v>
      </c>
      <c r="H170">
        <v>2761</v>
      </c>
      <c r="I170">
        <v>6</v>
      </c>
      <c r="J170">
        <v>6</v>
      </c>
      <c r="K170" s="6">
        <v>2.2000000000000001E-3</v>
      </c>
      <c r="L170" s="6">
        <v>2.2000000000000001E-3</v>
      </c>
      <c r="M170" s="6">
        <v>0</v>
      </c>
      <c r="N170" t="s">
        <v>715</v>
      </c>
      <c r="O170" s="6">
        <v>2.2000000000000001E-3</v>
      </c>
      <c r="P170" s="6">
        <v>1E-3</v>
      </c>
      <c r="Q170">
        <v>-0.12</v>
      </c>
      <c r="R170" s="9" t="s">
        <v>759</v>
      </c>
    </row>
    <row r="171" spans="1:18" x14ac:dyDescent="0.25">
      <c r="A171" t="s">
        <v>134</v>
      </c>
      <c r="B171" t="s">
        <v>75</v>
      </c>
      <c r="C171" t="s">
        <v>91</v>
      </c>
      <c r="D171" t="s">
        <v>94</v>
      </c>
      <c r="E171" t="s">
        <v>728</v>
      </c>
      <c r="F171" t="s">
        <v>729</v>
      </c>
      <c r="G171" t="s">
        <v>714</v>
      </c>
      <c r="H171">
        <v>2761</v>
      </c>
      <c r="I171">
        <v>2389</v>
      </c>
      <c r="J171">
        <v>2393</v>
      </c>
      <c r="K171" s="6">
        <v>0.86529999999999996</v>
      </c>
      <c r="L171" s="6">
        <v>0.86670000000000003</v>
      </c>
      <c r="M171" s="6">
        <v>0.14000000000000001</v>
      </c>
      <c r="N171" t="s">
        <v>715</v>
      </c>
      <c r="O171" s="6">
        <v>0.86529999999999996</v>
      </c>
      <c r="P171" s="6">
        <v>0.86599999999999999</v>
      </c>
      <c r="Q171">
        <v>-7.0000000000000007E-2</v>
      </c>
      <c r="R171" s="9" t="s">
        <v>759</v>
      </c>
    </row>
    <row r="172" spans="1:18" x14ac:dyDescent="0.25">
      <c r="A172" t="s">
        <v>134</v>
      </c>
      <c r="B172" t="s">
        <v>75</v>
      </c>
      <c r="C172" t="s">
        <v>91</v>
      </c>
      <c r="D172" t="s">
        <v>94</v>
      </c>
      <c r="E172" t="s">
        <v>730</v>
      </c>
      <c r="F172" t="s">
        <v>731</v>
      </c>
      <c r="G172" t="s">
        <v>732</v>
      </c>
      <c r="H172">
        <v>2761</v>
      </c>
      <c r="I172">
        <v>2389</v>
      </c>
      <c r="J172">
        <v>2393</v>
      </c>
      <c r="K172" s="6">
        <v>0.86529999999999996</v>
      </c>
      <c r="L172" s="6">
        <v>0.86670000000000003</v>
      </c>
      <c r="M172" s="6">
        <v>0.14000000000000001</v>
      </c>
      <c r="N172" t="s">
        <v>715</v>
      </c>
      <c r="O172" s="6">
        <v>0.86529999999999996</v>
      </c>
      <c r="P172" s="6">
        <v>0.86599999999999999</v>
      </c>
      <c r="Q172">
        <v>-7.0000000000000007E-2</v>
      </c>
      <c r="R172" s="9" t="s">
        <v>759</v>
      </c>
    </row>
    <row r="173" spans="1:18" x14ac:dyDescent="0.25">
      <c r="A173" t="s">
        <v>134</v>
      </c>
      <c r="B173" t="s">
        <v>75</v>
      </c>
      <c r="C173" t="s">
        <v>91</v>
      </c>
      <c r="D173" t="s">
        <v>94</v>
      </c>
      <c r="E173" t="s">
        <v>749</v>
      </c>
      <c r="F173" t="s">
        <v>731</v>
      </c>
      <c r="G173" t="s">
        <v>732</v>
      </c>
      <c r="H173">
        <v>2761</v>
      </c>
      <c r="I173">
        <v>662</v>
      </c>
      <c r="J173">
        <v>662</v>
      </c>
      <c r="K173" s="6">
        <v>0.23980000000000001</v>
      </c>
      <c r="L173" s="6">
        <v>0.23980000000000001</v>
      </c>
      <c r="M173" s="6">
        <v>0</v>
      </c>
      <c r="N173" t="s">
        <v>715</v>
      </c>
      <c r="O173" s="6">
        <v>0.23980000000000001</v>
      </c>
      <c r="P173" s="6">
        <v>0.24529999999999999</v>
      </c>
      <c r="Q173">
        <v>0.56000000000000005</v>
      </c>
      <c r="R173" s="9" t="s">
        <v>759</v>
      </c>
    </row>
    <row r="174" spans="1:18" x14ac:dyDescent="0.25">
      <c r="A174" t="s">
        <v>134</v>
      </c>
      <c r="B174" t="s">
        <v>75</v>
      </c>
      <c r="C174" t="s">
        <v>91</v>
      </c>
      <c r="D174" t="s">
        <v>94</v>
      </c>
      <c r="E174" t="s">
        <v>750</v>
      </c>
      <c r="F174" t="s">
        <v>731</v>
      </c>
      <c r="G174" t="s">
        <v>732</v>
      </c>
      <c r="H174">
        <v>2761</v>
      </c>
      <c r="I174">
        <v>333</v>
      </c>
      <c r="J174">
        <v>333</v>
      </c>
      <c r="K174" s="6">
        <v>0.1206</v>
      </c>
      <c r="L174" s="6">
        <v>0.1206</v>
      </c>
      <c r="M174" s="6">
        <v>0</v>
      </c>
      <c r="N174" t="s">
        <v>715</v>
      </c>
      <c r="O174" s="6">
        <v>0.1206</v>
      </c>
      <c r="P174" s="6">
        <v>9.5200000000000007E-2</v>
      </c>
      <c r="Q174">
        <v>-2.54</v>
      </c>
      <c r="R174" s="9" t="s">
        <v>759</v>
      </c>
    </row>
    <row r="175" spans="1:18" x14ac:dyDescent="0.25">
      <c r="A175" t="s">
        <v>134</v>
      </c>
      <c r="B175" t="s">
        <v>75</v>
      </c>
      <c r="C175" t="s">
        <v>91</v>
      </c>
      <c r="D175" t="s">
        <v>94</v>
      </c>
      <c r="E175" t="s">
        <v>733</v>
      </c>
      <c r="F175" t="s">
        <v>731</v>
      </c>
      <c r="G175" t="s">
        <v>732</v>
      </c>
      <c r="H175">
        <v>2761</v>
      </c>
      <c r="I175">
        <v>1195</v>
      </c>
      <c r="J175">
        <v>1200</v>
      </c>
      <c r="K175" s="6">
        <v>0.43280000000000002</v>
      </c>
      <c r="L175" s="6">
        <v>0.43459999999999999</v>
      </c>
      <c r="M175" s="6">
        <v>0.18</v>
      </c>
      <c r="N175" t="s">
        <v>715</v>
      </c>
      <c r="O175" s="6">
        <v>0.43280000000000002</v>
      </c>
      <c r="P175" s="6">
        <v>0.441</v>
      </c>
      <c r="Q175">
        <v>0.64</v>
      </c>
      <c r="R175" s="9" t="s">
        <v>759</v>
      </c>
    </row>
    <row r="176" spans="1:18" x14ac:dyDescent="0.25">
      <c r="A176" t="s">
        <v>134</v>
      </c>
      <c r="B176" t="s">
        <v>75</v>
      </c>
      <c r="C176" t="s">
        <v>91</v>
      </c>
      <c r="D176" t="s">
        <v>94</v>
      </c>
      <c r="E176" t="s">
        <v>734</v>
      </c>
      <c r="F176" t="s">
        <v>731</v>
      </c>
      <c r="G176" t="s">
        <v>732</v>
      </c>
      <c r="H176">
        <v>2761</v>
      </c>
      <c r="I176">
        <v>199</v>
      </c>
      <c r="J176">
        <v>198</v>
      </c>
      <c r="K176" s="6">
        <v>7.2099999999999997E-2</v>
      </c>
      <c r="L176" s="6">
        <v>7.17E-2</v>
      </c>
      <c r="M176" s="6">
        <v>-0.04</v>
      </c>
      <c r="N176" t="s">
        <v>715</v>
      </c>
      <c r="O176" s="6">
        <v>7.2099999999999997E-2</v>
      </c>
      <c r="P176" s="6">
        <v>8.4500000000000006E-2</v>
      </c>
      <c r="Q176">
        <v>1.28</v>
      </c>
      <c r="R176" s="9" t="s">
        <v>759</v>
      </c>
    </row>
    <row r="177" spans="1:18" x14ac:dyDescent="0.25">
      <c r="A177" t="s">
        <v>134</v>
      </c>
      <c r="B177" t="s">
        <v>75</v>
      </c>
      <c r="C177" t="s">
        <v>91</v>
      </c>
      <c r="D177" t="s">
        <v>94</v>
      </c>
      <c r="E177" t="s">
        <v>735</v>
      </c>
      <c r="F177" t="s">
        <v>736</v>
      </c>
      <c r="G177" t="s">
        <v>714</v>
      </c>
      <c r="H177">
        <v>2761</v>
      </c>
      <c r="I177">
        <v>2389</v>
      </c>
      <c r="J177">
        <v>2393</v>
      </c>
      <c r="K177" s="6">
        <v>0.86529999999999996</v>
      </c>
      <c r="L177" s="6">
        <v>0.86670000000000003</v>
      </c>
      <c r="M177" s="6">
        <v>0.14000000000000001</v>
      </c>
      <c r="N177" t="s">
        <v>715</v>
      </c>
      <c r="O177" s="6">
        <v>0.86529999999999996</v>
      </c>
      <c r="P177" s="6">
        <v>0.86599999999999999</v>
      </c>
      <c r="Q177">
        <v>-7.0000000000000007E-2</v>
      </c>
      <c r="R177" s="9" t="s">
        <v>759</v>
      </c>
    </row>
    <row r="178" spans="1:18" x14ac:dyDescent="0.25">
      <c r="A178" t="s">
        <v>134</v>
      </c>
      <c r="B178" t="s">
        <v>75</v>
      </c>
      <c r="C178" t="s">
        <v>91</v>
      </c>
      <c r="D178" t="s">
        <v>94</v>
      </c>
      <c r="E178" t="s">
        <v>737</v>
      </c>
      <c r="F178" t="s">
        <v>738</v>
      </c>
      <c r="G178" t="s">
        <v>714</v>
      </c>
      <c r="H178">
        <v>2761</v>
      </c>
      <c r="I178">
        <v>2389</v>
      </c>
      <c r="J178">
        <v>2393</v>
      </c>
      <c r="K178" s="6">
        <v>0.86529999999999996</v>
      </c>
      <c r="L178" s="6">
        <v>0.86670000000000003</v>
      </c>
      <c r="M178" s="6">
        <v>0.14000000000000001</v>
      </c>
      <c r="N178" t="s">
        <v>715</v>
      </c>
      <c r="O178" s="6">
        <v>0.86529999999999996</v>
      </c>
      <c r="P178" s="6">
        <v>0.86599999999999999</v>
      </c>
      <c r="Q178">
        <v>-7.0000000000000007E-2</v>
      </c>
      <c r="R178" s="9" t="s">
        <v>759</v>
      </c>
    </row>
    <row r="179" spans="1:18" x14ac:dyDescent="0.25">
      <c r="A179" t="s">
        <v>134</v>
      </c>
      <c r="B179" t="s">
        <v>75</v>
      </c>
      <c r="C179" t="s">
        <v>91</v>
      </c>
      <c r="D179" t="s">
        <v>94</v>
      </c>
      <c r="E179" t="s">
        <v>739</v>
      </c>
      <c r="F179" t="s">
        <v>740</v>
      </c>
      <c r="G179" t="s">
        <v>732</v>
      </c>
      <c r="H179">
        <v>2761</v>
      </c>
      <c r="I179">
        <v>2389</v>
      </c>
      <c r="J179">
        <v>2393</v>
      </c>
      <c r="K179" s="6">
        <v>0.86529999999999996</v>
      </c>
      <c r="L179" s="6">
        <v>0.86670000000000003</v>
      </c>
      <c r="M179" s="6">
        <v>0.14000000000000001</v>
      </c>
      <c r="N179" t="s">
        <v>715</v>
      </c>
      <c r="O179" s="6">
        <v>0.86529999999999996</v>
      </c>
      <c r="P179" s="6">
        <v>0.86599999999999999</v>
      </c>
      <c r="Q179">
        <v>-7.0000000000000007E-2</v>
      </c>
      <c r="R179" s="9" t="s">
        <v>759</v>
      </c>
    </row>
    <row r="180" spans="1:18" x14ac:dyDescent="0.25">
      <c r="A180" t="s">
        <v>134</v>
      </c>
      <c r="B180" t="s">
        <v>75</v>
      </c>
      <c r="C180" t="s">
        <v>91</v>
      </c>
      <c r="D180" t="s">
        <v>94</v>
      </c>
      <c r="E180" t="s">
        <v>756</v>
      </c>
      <c r="F180" t="s">
        <v>757</v>
      </c>
      <c r="G180" t="s">
        <v>714</v>
      </c>
      <c r="H180">
        <v>2761</v>
      </c>
      <c r="I180">
        <v>0</v>
      </c>
      <c r="J180">
        <v>3</v>
      </c>
      <c r="K180" s="6">
        <v>0</v>
      </c>
      <c r="L180" s="6">
        <v>1.1000000000000001E-3</v>
      </c>
      <c r="M180" s="6">
        <v>0.11</v>
      </c>
      <c r="N180" t="s">
        <v>744</v>
      </c>
      <c r="O180" s="6">
        <v>0</v>
      </c>
      <c r="P180" s="6">
        <v>5.0000000000000001E-4</v>
      </c>
      <c r="Q180">
        <v>-0.06</v>
      </c>
      <c r="R180" s="9" t="s">
        <v>759</v>
      </c>
    </row>
    <row r="181" spans="1:18" x14ac:dyDescent="0.25">
      <c r="A181" t="s">
        <v>134</v>
      </c>
      <c r="B181" t="s">
        <v>75</v>
      </c>
      <c r="C181" t="s">
        <v>94</v>
      </c>
      <c r="D181" t="s">
        <v>96</v>
      </c>
      <c r="E181" t="s">
        <v>712</v>
      </c>
      <c r="F181" t="s">
        <v>713</v>
      </c>
      <c r="G181" t="s">
        <v>714</v>
      </c>
      <c r="H181">
        <v>6061</v>
      </c>
      <c r="I181">
        <v>4365</v>
      </c>
      <c r="J181">
        <v>4308</v>
      </c>
      <c r="K181" s="6">
        <v>0.72019999999999995</v>
      </c>
      <c r="L181" s="6">
        <v>0.71079999999999999</v>
      </c>
      <c r="M181" s="6">
        <v>-0.94</v>
      </c>
      <c r="N181" t="s">
        <v>715</v>
      </c>
      <c r="O181" s="6">
        <v>0.72019999999999995</v>
      </c>
      <c r="P181" s="6">
        <v>0.71079999999999999</v>
      </c>
      <c r="Q181">
        <v>0</v>
      </c>
      <c r="R181" s="9" t="s">
        <v>762</v>
      </c>
    </row>
    <row r="182" spans="1:18" x14ac:dyDescent="0.25">
      <c r="A182" t="s">
        <v>134</v>
      </c>
      <c r="B182" t="s">
        <v>75</v>
      </c>
      <c r="C182" t="s">
        <v>94</v>
      </c>
      <c r="D182" t="s">
        <v>96</v>
      </c>
      <c r="E182" t="s">
        <v>717</v>
      </c>
      <c r="F182" t="s">
        <v>718</v>
      </c>
      <c r="G182" t="s">
        <v>714</v>
      </c>
      <c r="H182">
        <v>6061</v>
      </c>
      <c r="I182">
        <v>5249</v>
      </c>
      <c r="J182">
        <v>5240</v>
      </c>
      <c r="K182" s="6">
        <v>0.86599999999999999</v>
      </c>
      <c r="L182" s="6">
        <v>0.86450000000000005</v>
      </c>
      <c r="M182" s="6">
        <v>-0.15</v>
      </c>
      <c r="N182" t="s">
        <v>715</v>
      </c>
      <c r="O182" s="6">
        <v>0.86599999999999999</v>
      </c>
      <c r="P182" s="6">
        <v>0.86450000000000005</v>
      </c>
      <c r="Q182">
        <v>0</v>
      </c>
      <c r="R182" s="9" t="s">
        <v>762</v>
      </c>
    </row>
    <row r="183" spans="1:18" x14ac:dyDescent="0.25">
      <c r="A183" t="s">
        <v>134</v>
      </c>
      <c r="B183" t="s">
        <v>75</v>
      </c>
      <c r="C183" t="s">
        <v>94</v>
      </c>
      <c r="D183" t="s">
        <v>96</v>
      </c>
      <c r="E183" t="s">
        <v>719</v>
      </c>
      <c r="F183" t="s">
        <v>718</v>
      </c>
      <c r="G183" t="s">
        <v>714</v>
      </c>
      <c r="H183">
        <v>6061</v>
      </c>
      <c r="I183">
        <v>5249</v>
      </c>
      <c r="J183">
        <v>5240</v>
      </c>
      <c r="K183" s="6">
        <v>0.86599999999999999</v>
      </c>
      <c r="L183" s="6">
        <v>0.86450000000000005</v>
      </c>
      <c r="M183" s="6">
        <v>-0.15</v>
      </c>
      <c r="N183" t="s">
        <v>715</v>
      </c>
      <c r="O183" s="6">
        <v>0.86599999999999999</v>
      </c>
      <c r="P183" s="6">
        <v>0.86450000000000005</v>
      </c>
      <c r="Q183">
        <v>0</v>
      </c>
      <c r="R183" s="9" t="s">
        <v>762</v>
      </c>
    </row>
    <row r="184" spans="1:18" x14ac:dyDescent="0.25">
      <c r="A184" t="s">
        <v>134</v>
      </c>
      <c r="B184" t="s">
        <v>75</v>
      </c>
      <c r="C184" t="s">
        <v>94</v>
      </c>
      <c r="D184" t="s">
        <v>96</v>
      </c>
      <c r="E184" t="s">
        <v>742</v>
      </c>
      <c r="F184" t="s">
        <v>743</v>
      </c>
      <c r="G184" t="s">
        <v>714</v>
      </c>
      <c r="H184">
        <v>6061</v>
      </c>
      <c r="I184">
        <v>0</v>
      </c>
      <c r="J184">
        <v>1094</v>
      </c>
      <c r="K184" s="6">
        <v>0</v>
      </c>
      <c r="L184" s="6">
        <v>0.18049999999999999</v>
      </c>
      <c r="M184" s="6">
        <v>18.05</v>
      </c>
      <c r="N184" t="s">
        <v>744</v>
      </c>
      <c r="O184" s="6">
        <v>0</v>
      </c>
      <c r="P184" s="6">
        <v>0.18049999999999999</v>
      </c>
      <c r="Q184">
        <v>0</v>
      </c>
      <c r="R184" s="9" t="s">
        <v>762</v>
      </c>
    </row>
    <row r="185" spans="1:18" x14ac:dyDescent="0.25">
      <c r="A185" t="s">
        <v>134</v>
      </c>
      <c r="B185" t="s">
        <v>75</v>
      </c>
      <c r="C185" t="s">
        <v>94</v>
      </c>
      <c r="D185" t="s">
        <v>96</v>
      </c>
      <c r="E185" t="s">
        <v>752</v>
      </c>
      <c r="F185" t="s">
        <v>753</v>
      </c>
      <c r="G185" t="s">
        <v>714</v>
      </c>
      <c r="H185">
        <v>6061</v>
      </c>
      <c r="I185">
        <v>1126</v>
      </c>
      <c r="J185">
        <v>1131</v>
      </c>
      <c r="K185" s="6">
        <v>0.18579999999999999</v>
      </c>
      <c r="L185" s="6">
        <v>0.18659999999999999</v>
      </c>
      <c r="M185" s="6">
        <v>0.08</v>
      </c>
      <c r="N185" t="s">
        <v>715</v>
      </c>
      <c r="O185" s="6">
        <v>0.18579999999999999</v>
      </c>
      <c r="P185" s="6">
        <v>0.18659999999999999</v>
      </c>
      <c r="Q185">
        <v>0</v>
      </c>
      <c r="R185" s="9" t="s">
        <v>762</v>
      </c>
    </row>
    <row r="186" spans="1:18" x14ac:dyDescent="0.25">
      <c r="A186" t="s">
        <v>134</v>
      </c>
      <c r="B186" t="s">
        <v>75</v>
      </c>
      <c r="C186" t="s">
        <v>94</v>
      </c>
      <c r="D186" t="s">
        <v>96</v>
      </c>
      <c r="E186" t="s">
        <v>720</v>
      </c>
      <c r="F186" t="s">
        <v>721</v>
      </c>
      <c r="G186" t="s">
        <v>714</v>
      </c>
      <c r="H186">
        <v>6061</v>
      </c>
      <c r="I186">
        <v>340</v>
      </c>
      <c r="J186">
        <v>337</v>
      </c>
      <c r="K186" s="6">
        <v>5.6099999999999997E-2</v>
      </c>
      <c r="L186" s="6">
        <v>5.5599999999999997E-2</v>
      </c>
      <c r="M186" s="6">
        <v>-0.05</v>
      </c>
      <c r="N186" t="s">
        <v>715</v>
      </c>
      <c r="O186" s="6">
        <v>5.6099999999999997E-2</v>
      </c>
      <c r="P186" s="6">
        <v>5.5599999999999997E-2</v>
      </c>
      <c r="Q186">
        <v>0</v>
      </c>
      <c r="R186" s="9" t="s">
        <v>762</v>
      </c>
    </row>
    <row r="187" spans="1:18" x14ac:dyDescent="0.25">
      <c r="A187" t="s">
        <v>134</v>
      </c>
      <c r="B187" t="s">
        <v>75</v>
      </c>
      <c r="C187" t="s">
        <v>94</v>
      </c>
      <c r="D187" t="s">
        <v>96</v>
      </c>
      <c r="E187" t="s">
        <v>722</v>
      </c>
      <c r="F187" t="s">
        <v>723</v>
      </c>
      <c r="G187" t="s">
        <v>714</v>
      </c>
      <c r="H187">
        <v>6061</v>
      </c>
      <c r="I187">
        <v>4365</v>
      </c>
      <c r="J187">
        <v>4308</v>
      </c>
      <c r="K187" s="6">
        <v>0.72019999999999995</v>
      </c>
      <c r="L187" s="6">
        <v>0.71079999999999999</v>
      </c>
      <c r="M187" s="6">
        <v>-0.94</v>
      </c>
      <c r="N187" t="s">
        <v>715</v>
      </c>
      <c r="O187" s="6">
        <v>0.72019999999999995</v>
      </c>
      <c r="P187" s="6">
        <v>0.71079999999999999</v>
      </c>
      <c r="Q187">
        <v>0</v>
      </c>
      <c r="R187" s="9" t="s">
        <v>762</v>
      </c>
    </row>
    <row r="188" spans="1:18" x14ac:dyDescent="0.25">
      <c r="A188" t="s">
        <v>134</v>
      </c>
      <c r="B188" t="s">
        <v>75</v>
      </c>
      <c r="C188" t="s">
        <v>94</v>
      </c>
      <c r="D188" t="s">
        <v>96</v>
      </c>
      <c r="E188" t="s">
        <v>724</v>
      </c>
      <c r="F188" t="s">
        <v>725</v>
      </c>
      <c r="G188" t="s">
        <v>714</v>
      </c>
      <c r="H188">
        <v>6061</v>
      </c>
      <c r="I188">
        <v>5249</v>
      </c>
      <c r="J188">
        <v>5240</v>
      </c>
      <c r="K188" s="6">
        <v>0.86599999999999999</v>
      </c>
      <c r="L188" s="6">
        <v>0.86450000000000005</v>
      </c>
      <c r="M188" s="6">
        <v>-0.15</v>
      </c>
      <c r="N188" t="s">
        <v>715</v>
      </c>
      <c r="O188" s="6">
        <v>0.86599999999999999</v>
      </c>
      <c r="P188" s="6">
        <v>0.86450000000000005</v>
      </c>
      <c r="Q188">
        <v>0</v>
      </c>
      <c r="R188" s="9" t="s">
        <v>762</v>
      </c>
    </row>
    <row r="189" spans="1:18" x14ac:dyDescent="0.25">
      <c r="A189" t="s">
        <v>134</v>
      </c>
      <c r="B189" t="s">
        <v>75</v>
      </c>
      <c r="C189" t="s">
        <v>94</v>
      </c>
      <c r="D189" t="s">
        <v>96</v>
      </c>
      <c r="E189" t="s">
        <v>745</v>
      </c>
      <c r="F189" t="s">
        <v>746</v>
      </c>
      <c r="G189" t="s">
        <v>714</v>
      </c>
      <c r="H189">
        <v>6061</v>
      </c>
      <c r="I189">
        <v>0</v>
      </c>
      <c r="J189">
        <v>1097</v>
      </c>
      <c r="K189" s="6">
        <v>0</v>
      </c>
      <c r="L189" s="6">
        <v>0.18099999999999999</v>
      </c>
      <c r="M189" s="6">
        <v>18.100000000000001</v>
      </c>
      <c r="N189" t="s">
        <v>744</v>
      </c>
      <c r="O189" s="6">
        <v>0</v>
      </c>
      <c r="P189" s="6">
        <v>0.18099999999999999</v>
      </c>
      <c r="Q189">
        <v>0</v>
      </c>
      <c r="R189" s="9" t="s">
        <v>762</v>
      </c>
    </row>
    <row r="190" spans="1:18" x14ac:dyDescent="0.25">
      <c r="A190" t="s">
        <v>134</v>
      </c>
      <c r="B190" t="s">
        <v>75</v>
      </c>
      <c r="C190" t="s">
        <v>94</v>
      </c>
      <c r="D190" t="s">
        <v>96</v>
      </c>
      <c r="E190" t="s">
        <v>726</v>
      </c>
      <c r="F190" t="s">
        <v>727</v>
      </c>
      <c r="G190" t="s">
        <v>714</v>
      </c>
      <c r="H190">
        <v>6061</v>
      </c>
      <c r="I190">
        <v>5249</v>
      </c>
      <c r="J190">
        <v>5240</v>
      </c>
      <c r="K190" s="6">
        <v>0.86599999999999999</v>
      </c>
      <c r="L190" s="6">
        <v>0.86450000000000005</v>
      </c>
      <c r="M190" s="6">
        <v>-0.15</v>
      </c>
      <c r="N190" t="s">
        <v>715</v>
      </c>
      <c r="O190" s="6">
        <v>0.86599999999999999</v>
      </c>
      <c r="P190" s="6">
        <v>0.86450000000000005</v>
      </c>
      <c r="Q190">
        <v>0</v>
      </c>
      <c r="R190" s="9" t="s">
        <v>762</v>
      </c>
    </row>
    <row r="191" spans="1:18" x14ac:dyDescent="0.25">
      <c r="A191" t="s">
        <v>134</v>
      </c>
      <c r="B191" t="s">
        <v>75</v>
      </c>
      <c r="C191" t="s">
        <v>94</v>
      </c>
      <c r="D191" t="s">
        <v>96</v>
      </c>
      <c r="E191" t="s">
        <v>760</v>
      </c>
      <c r="F191" t="s">
        <v>761</v>
      </c>
      <c r="G191" t="s">
        <v>714</v>
      </c>
      <c r="H191">
        <v>6061</v>
      </c>
      <c r="I191">
        <v>6</v>
      </c>
      <c r="J191">
        <v>6</v>
      </c>
      <c r="K191" s="6">
        <v>1E-3</v>
      </c>
      <c r="L191" s="6">
        <v>1E-3</v>
      </c>
      <c r="M191" s="6">
        <v>0</v>
      </c>
      <c r="N191" t="s">
        <v>715</v>
      </c>
      <c r="O191" s="6">
        <v>1E-3</v>
      </c>
      <c r="P191" s="6">
        <v>1E-3</v>
      </c>
      <c r="Q191">
        <v>0</v>
      </c>
      <c r="R191" s="9" t="s">
        <v>762</v>
      </c>
    </row>
    <row r="192" spans="1:18" x14ac:dyDescent="0.25">
      <c r="A192" t="s">
        <v>134</v>
      </c>
      <c r="B192" t="s">
        <v>75</v>
      </c>
      <c r="C192" t="s">
        <v>94</v>
      </c>
      <c r="D192" t="s">
        <v>96</v>
      </c>
      <c r="E192" t="s">
        <v>728</v>
      </c>
      <c r="F192" t="s">
        <v>729</v>
      </c>
      <c r="G192" t="s">
        <v>714</v>
      </c>
      <c r="H192">
        <v>6061</v>
      </c>
      <c r="I192">
        <v>5249</v>
      </c>
      <c r="J192">
        <v>5240</v>
      </c>
      <c r="K192" s="6">
        <v>0.86599999999999999</v>
      </c>
      <c r="L192" s="6">
        <v>0.86450000000000005</v>
      </c>
      <c r="M192" s="6">
        <v>-0.15</v>
      </c>
      <c r="N192" t="s">
        <v>715</v>
      </c>
      <c r="O192" s="6">
        <v>0.86599999999999999</v>
      </c>
      <c r="P192" s="6">
        <v>0.86450000000000005</v>
      </c>
      <c r="Q192">
        <v>0</v>
      </c>
      <c r="R192" s="9" t="s">
        <v>762</v>
      </c>
    </row>
    <row r="193" spans="1:18" x14ac:dyDescent="0.25">
      <c r="A193" t="s">
        <v>134</v>
      </c>
      <c r="B193" t="s">
        <v>75</v>
      </c>
      <c r="C193" t="s">
        <v>94</v>
      </c>
      <c r="D193" t="s">
        <v>96</v>
      </c>
      <c r="E193" t="s">
        <v>730</v>
      </c>
      <c r="F193" t="s">
        <v>731</v>
      </c>
      <c r="G193" t="s">
        <v>732</v>
      </c>
      <c r="H193">
        <v>6061</v>
      </c>
      <c r="I193">
        <v>5249</v>
      </c>
      <c r="J193">
        <v>5240</v>
      </c>
      <c r="K193" s="6">
        <v>0.86599999999999999</v>
      </c>
      <c r="L193" s="6">
        <v>0.86450000000000005</v>
      </c>
      <c r="M193" s="6">
        <v>-0.15</v>
      </c>
      <c r="N193" t="s">
        <v>715</v>
      </c>
      <c r="O193" s="6">
        <v>0.86599999999999999</v>
      </c>
      <c r="P193" s="6">
        <v>0.86450000000000005</v>
      </c>
      <c r="Q193">
        <v>0</v>
      </c>
      <c r="R193" s="9" t="s">
        <v>762</v>
      </c>
    </row>
    <row r="194" spans="1:18" x14ac:dyDescent="0.25">
      <c r="A194" t="s">
        <v>134</v>
      </c>
      <c r="B194" t="s">
        <v>75</v>
      </c>
      <c r="C194" t="s">
        <v>94</v>
      </c>
      <c r="D194" t="s">
        <v>96</v>
      </c>
      <c r="E194" t="s">
        <v>749</v>
      </c>
      <c r="F194" t="s">
        <v>731</v>
      </c>
      <c r="G194" t="s">
        <v>732</v>
      </c>
      <c r="H194">
        <v>6061</v>
      </c>
      <c r="I194">
        <v>1487</v>
      </c>
      <c r="J194">
        <v>1487</v>
      </c>
      <c r="K194" s="6">
        <v>0.24529999999999999</v>
      </c>
      <c r="L194" s="6">
        <v>0.24529999999999999</v>
      </c>
      <c r="M194" s="6">
        <v>0</v>
      </c>
      <c r="N194" t="s">
        <v>715</v>
      </c>
      <c r="O194" s="6">
        <v>0.24529999999999999</v>
      </c>
      <c r="P194" s="6">
        <v>0.24529999999999999</v>
      </c>
      <c r="Q194">
        <v>0</v>
      </c>
      <c r="R194" s="9" t="s">
        <v>762</v>
      </c>
    </row>
    <row r="195" spans="1:18" x14ac:dyDescent="0.25">
      <c r="A195" t="s">
        <v>134</v>
      </c>
      <c r="B195" t="s">
        <v>75</v>
      </c>
      <c r="C195" t="s">
        <v>94</v>
      </c>
      <c r="D195" t="s">
        <v>96</v>
      </c>
      <c r="E195" t="s">
        <v>750</v>
      </c>
      <c r="F195" t="s">
        <v>731</v>
      </c>
      <c r="G195" t="s">
        <v>732</v>
      </c>
      <c r="H195">
        <v>6061</v>
      </c>
      <c r="I195">
        <v>577</v>
      </c>
      <c r="J195">
        <v>577</v>
      </c>
      <c r="K195" s="6">
        <v>9.5200000000000007E-2</v>
      </c>
      <c r="L195" s="6">
        <v>9.5200000000000007E-2</v>
      </c>
      <c r="M195" s="6">
        <v>0</v>
      </c>
      <c r="N195" t="s">
        <v>715</v>
      </c>
      <c r="O195" s="6">
        <v>9.5200000000000007E-2</v>
      </c>
      <c r="P195" s="6">
        <v>9.5200000000000007E-2</v>
      </c>
      <c r="Q195">
        <v>0</v>
      </c>
      <c r="R195" s="9" t="s">
        <v>762</v>
      </c>
    </row>
    <row r="196" spans="1:18" x14ac:dyDescent="0.25">
      <c r="A196" t="s">
        <v>134</v>
      </c>
      <c r="B196" t="s">
        <v>75</v>
      </c>
      <c r="C196" t="s">
        <v>94</v>
      </c>
      <c r="D196" t="s">
        <v>96</v>
      </c>
      <c r="E196" t="s">
        <v>733</v>
      </c>
      <c r="F196" t="s">
        <v>731</v>
      </c>
      <c r="G196" t="s">
        <v>732</v>
      </c>
      <c r="H196">
        <v>6061</v>
      </c>
      <c r="I196">
        <v>2673</v>
      </c>
      <c r="J196">
        <v>2666</v>
      </c>
      <c r="K196" s="6">
        <v>0.441</v>
      </c>
      <c r="L196" s="6">
        <v>0.43990000000000001</v>
      </c>
      <c r="M196" s="6">
        <v>-0.12</v>
      </c>
      <c r="N196" t="s">
        <v>715</v>
      </c>
      <c r="O196" s="6">
        <v>0.441</v>
      </c>
      <c r="P196" s="6">
        <v>0.43990000000000001</v>
      </c>
      <c r="Q196">
        <v>0</v>
      </c>
      <c r="R196" s="9" t="s">
        <v>762</v>
      </c>
    </row>
    <row r="197" spans="1:18" x14ac:dyDescent="0.25">
      <c r="A197" t="s">
        <v>134</v>
      </c>
      <c r="B197" t="s">
        <v>75</v>
      </c>
      <c r="C197" t="s">
        <v>94</v>
      </c>
      <c r="D197" t="s">
        <v>96</v>
      </c>
      <c r="E197" t="s">
        <v>734</v>
      </c>
      <c r="F197" t="s">
        <v>731</v>
      </c>
      <c r="G197" t="s">
        <v>732</v>
      </c>
      <c r="H197">
        <v>6061</v>
      </c>
      <c r="I197">
        <v>512</v>
      </c>
      <c r="J197">
        <v>510</v>
      </c>
      <c r="K197" s="6">
        <v>8.4500000000000006E-2</v>
      </c>
      <c r="L197" s="6">
        <v>8.4099999999999994E-2</v>
      </c>
      <c r="M197" s="6">
        <v>-0.03</v>
      </c>
      <c r="N197" t="s">
        <v>715</v>
      </c>
      <c r="O197" s="6">
        <v>8.4500000000000006E-2</v>
      </c>
      <c r="P197" s="6">
        <v>8.4099999999999994E-2</v>
      </c>
      <c r="Q197">
        <v>0</v>
      </c>
      <c r="R197" s="9" t="s">
        <v>762</v>
      </c>
    </row>
    <row r="198" spans="1:18" x14ac:dyDescent="0.25">
      <c r="A198" t="s">
        <v>134</v>
      </c>
      <c r="B198" t="s">
        <v>75</v>
      </c>
      <c r="C198" t="s">
        <v>94</v>
      </c>
      <c r="D198" t="s">
        <v>96</v>
      </c>
      <c r="E198" t="s">
        <v>735</v>
      </c>
      <c r="F198" t="s">
        <v>736</v>
      </c>
      <c r="G198" t="s">
        <v>714</v>
      </c>
      <c r="H198">
        <v>6061</v>
      </c>
      <c r="I198">
        <v>5249</v>
      </c>
      <c r="J198">
        <v>5240</v>
      </c>
      <c r="K198" s="6">
        <v>0.86599999999999999</v>
      </c>
      <c r="L198" s="6">
        <v>0.86450000000000005</v>
      </c>
      <c r="M198" s="6">
        <v>-0.15</v>
      </c>
      <c r="N198" t="s">
        <v>715</v>
      </c>
      <c r="O198" s="6">
        <v>0.86599999999999999</v>
      </c>
      <c r="P198" s="6">
        <v>0.86450000000000005</v>
      </c>
      <c r="Q198">
        <v>0</v>
      </c>
      <c r="R198" s="9" t="s">
        <v>762</v>
      </c>
    </row>
    <row r="199" spans="1:18" x14ac:dyDescent="0.25">
      <c r="A199" t="s">
        <v>134</v>
      </c>
      <c r="B199" t="s">
        <v>75</v>
      </c>
      <c r="C199" t="s">
        <v>94</v>
      </c>
      <c r="D199" t="s">
        <v>96</v>
      </c>
      <c r="E199" t="s">
        <v>737</v>
      </c>
      <c r="F199" t="s">
        <v>738</v>
      </c>
      <c r="G199" t="s">
        <v>714</v>
      </c>
      <c r="H199">
        <v>6061</v>
      </c>
      <c r="I199">
        <v>5249</v>
      </c>
      <c r="J199">
        <v>5240</v>
      </c>
      <c r="K199" s="6">
        <v>0.86599999999999999</v>
      </c>
      <c r="L199" s="6">
        <v>0.86450000000000005</v>
      </c>
      <c r="M199" s="6">
        <v>-0.15</v>
      </c>
      <c r="N199" t="s">
        <v>715</v>
      </c>
      <c r="O199" s="6">
        <v>0.86599999999999999</v>
      </c>
      <c r="P199" s="6">
        <v>0.86450000000000005</v>
      </c>
      <c r="Q199">
        <v>0</v>
      </c>
      <c r="R199" s="9" t="s">
        <v>762</v>
      </c>
    </row>
    <row r="200" spans="1:18" x14ac:dyDescent="0.25">
      <c r="A200" t="s">
        <v>134</v>
      </c>
      <c r="B200" t="s">
        <v>75</v>
      </c>
      <c r="C200" t="s">
        <v>94</v>
      </c>
      <c r="D200" t="s">
        <v>96</v>
      </c>
      <c r="E200" t="s">
        <v>739</v>
      </c>
      <c r="F200" t="s">
        <v>740</v>
      </c>
      <c r="G200" t="s">
        <v>732</v>
      </c>
      <c r="H200">
        <v>6061</v>
      </c>
      <c r="I200">
        <v>5249</v>
      </c>
      <c r="J200">
        <v>5240</v>
      </c>
      <c r="K200" s="6">
        <v>0.86599999999999999</v>
      </c>
      <c r="L200" s="6">
        <v>0.86450000000000005</v>
      </c>
      <c r="M200" s="6">
        <v>-0.15</v>
      </c>
      <c r="N200" t="s">
        <v>715</v>
      </c>
      <c r="O200" s="6">
        <v>0.86599999999999999</v>
      </c>
      <c r="P200" s="6">
        <v>0.86450000000000005</v>
      </c>
      <c r="Q200">
        <v>0</v>
      </c>
      <c r="R200" s="9" t="s">
        <v>762</v>
      </c>
    </row>
    <row r="201" spans="1:18" x14ac:dyDescent="0.25">
      <c r="A201" t="s">
        <v>134</v>
      </c>
      <c r="B201" t="s">
        <v>75</v>
      </c>
      <c r="C201" t="s">
        <v>94</v>
      </c>
      <c r="D201" t="s">
        <v>96</v>
      </c>
      <c r="E201" t="s">
        <v>756</v>
      </c>
      <c r="F201" t="s">
        <v>757</v>
      </c>
      <c r="G201" t="s">
        <v>714</v>
      </c>
      <c r="H201">
        <v>6061</v>
      </c>
      <c r="I201">
        <v>3</v>
      </c>
      <c r="J201">
        <v>0</v>
      </c>
      <c r="K201" s="6">
        <v>5.0000000000000001E-4</v>
      </c>
      <c r="L201" s="6">
        <v>0</v>
      </c>
      <c r="M201" s="6">
        <v>-0.05</v>
      </c>
      <c r="N201" t="s">
        <v>758</v>
      </c>
      <c r="O201" s="6">
        <v>5.0000000000000001E-4</v>
      </c>
      <c r="P201" s="6">
        <v>0</v>
      </c>
      <c r="Q201">
        <v>0</v>
      </c>
      <c r="R201" s="9" t="s">
        <v>762</v>
      </c>
    </row>
    <row r="202" spans="1:18" x14ac:dyDescent="0.25">
      <c r="A202" t="s">
        <v>134</v>
      </c>
      <c r="B202" t="s">
        <v>75</v>
      </c>
      <c r="C202" t="s">
        <v>96</v>
      </c>
      <c r="D202" t="s">
        <v>6</v>
      </c>
      <c r="E202" t="s">
        <v>712</v>
      </c>
      <c r="F202" t="s">
        <v>713</v>
      </c>
      <c r="G202" t="s">
        <v>714</v>
      </c>
      <c r="H202">
        <v>6015</v>
      </c>
      <c r="I202">
        <v>4308</v>
      </c>
      <c r="J202">
        <v>4247</v>
      </c>
      <c r="K202" s="6">
        <v>0.71619999999999995</v>
      </c>
      <c r="L202" s="6">
        <v>0.70609999999999995</v>
      </c>
      <c r="M202" s="6">
        <v>-1.01</v>
      </c>
      <c r="N202" t="s">
        <v>715</v>
      </c>
      <c r="O202" s="6">
        <v>0.71079999999999999</v>
      </c>
      <c r="P202" s="6">
        <v>0.70609999999999995</v>
      </c>
      <c r="Q202">
        <v>0.54</v>
      </c>
      <c r="R202" s="9" t="s">
        <v>763</v>
      </c>
    </row>
    <row r="203" spans="1:18" x14ac:dyDescent="0.25">
      <c r="A203" t="s">
        <v>134</v>
      </c>
      <c r="B203" t="s">
        <v>75</v>
      </c>
      <c r="C203" t="s">
        <v>96</v>
      </c>
      <c r="D203" t="s">
        <v>6</v>
      </c>
      <c r="E203" t="s">
        <v>717</v>
      </c>
      <c r="F203" t="s">
        <v>718</v>
      </c>
      <c r="G203" t="s">
        <v>714</v>
      </c>
      <c r="H203">
        <v>6015</v>
      </c>
      <c r="I203">
        <v>5212</v>
      </c>
      <c r="J203">
        <v>5206</v>
      </c>
      <c r="K203" s="6">
        <v>0.86650000000000005</v>
      </c>
      <c r="L203" s="6">
        <v>0.86550000000000005</v>
      </c>
      <c r="M203" s="6">
        <v>-0.1</v>
      </c>
      <c r="N203" t="s">
        <v>715</v>
      </c>
      <c r="O203" s="6">
        <v>0.86450000000000005</v>
      </c>
      <c r="P203" s="6">
        <v>0.86550000000000005</v>
      </c>
      <c r="Q203">
        <v>0.2</v>
      </c>
      <c r="R203" s="9" t="s">
        <v>763</v>
      </c>
    </row>
    <row r="204" spans="1:18" x14ac:dyDescent="0.25">
      <c r="A204" t="s">
        <v>134</v>
      </c>
      <c r="B204" t="s">
        <v>75</v>
      </c>
      <c r="C204" t="s">
        <v>96</v>
      </c>
      <c r="D204" t="s">
        <v>6</v>
      </c>
      <c r="E204" t="s">
        <v>719</v>
      </c>
      <c r="F204" t="s">
        <v>718</v>
      </c>
      <c r="G204" t="s">
        <v>714</v>
      </c>
      <c r="H204">
        <v>6015</v>
      </c>
      <c r="I204">
        <v>5212</v>
      </c>
      <c r="J204">
        <v>5206</v>
      </c>
      <c r="K204" s="6">
        <v>0.86650000000000005</v>
      </c>
      <c r="L204" s="6">
        <v>0.86550000000000005</v>
      </c>
      <c r="M204" s="6">
        <v>-0.1</v>
      </c>
      <c r="N204" t="s">
        <v>715</v>
      </c>
      <c r="O204" s="6">
        <v>0.86450000000000005</v>
      </c>
      <c r="P204" s="6">
        <v>0.86550000000000005</v>
      </c>
      <c r="Q204">
        <v>0.2</v>
      </c>
      <c r="R204" s="9" t="s">
        <v>763</v>
      </c>
    </row>
    <row r="205" spans="1:18" x14ac:dyDescent="0.25">
      <c r="A205" t="s">
        <v>134</v>
      </c>
      <c r="B205" t="s">
        <v>75</v>
      </c>
      <c r="C205" t="s">
        <v>96</v>
      </c>
      <c r="D205" t="s">
        <v>6</v>
      </c>
      <c r="E205" t="s">
        <v>742</v>
      </c>
      <c r="F205" t="s">
        <v>743</v>
      </c>
      <c r="G205" t="s">
        <v>714</v>
      </c>
      <c r="H205">
        <v>6015</v>
      </c>
      <c r="I205">
        <v>1090</v>
      </c>
      <c r="J205">
        <v>1561</v>
      </c>
      <c r="K205" s="6">
        <v>0.1812</v>
      </c>
      <c r="L205" s="6">
        <v>0.25950000000000001</v>
      </c>
      <c r="M205" s="6">
        <v>7.83</v>
      </c>
      <c r="N205" t="s">
        <v>747</v>
      </c>
      <c r="O205" s="6">
        <v>0.18049999999999999</v>
      </c>
      <c r="P205" s="6">
        <v>0.25950000000000001</v>
      </c>
      <c r="Q205">
        <v>7.0000000000000007E-2</v>
      </c>
      <c r="R205" s="9" t="s">
        <v>763</v>
      </c>
    </row>
    <row r="206" spans="1:18" x14ac:dyDescent="0.25">
      <c r="A206" t="s">
        <v>134</v>
      </c>
      <c r="B206" t="s">
        <v>75</v>
      </c>
      <c r="C206" t="s">
        <v>96</v>
      </c>
      <c r="D206" t="s">
        <v>6</v>
      </c>
      <c r="E206" t="s">
        <v>752</v>
      </c>
      <c r="F206" t="s">
        <v>753</v>
      </c>
      <c r="G206" t="s">
        <v>714</v>
      </c>
      <c r="H206">
        <v>6015</v>
      </c>
      <c r="I206">
        <v>1112</v>
      </c>
      <c r="J206">
        <v>1111</v>
      </c>
      <c r="K206" s="6">
        <v>0.18490000000000001</v>
      </c>
      <c r="L206" s="6">
        <v>0.1847</v>
      </c>
      <c r="M206" s="6">
        <v>-0.02</v>
      </c>
      <c r="N206" t="s">
        <v>715</v>
      </c>
      <c r="O206" s="6">
        <v>0.18659999999999999</v>
      </c>
      <c r="P206" s="6">
        <v>0.1847</v>
      </c>
      <c r="Q206">
        <v>-0.17</v>
      </c>
      <c r="R206" s="9" t="s">
        <v>763</v>
      </c>
    </row>
    <row r="207" spans="1:18" x14ac:dyDescent="0.25">
      <c r="A207" t="s">
        <v>134</v>
      </c>
      <c r="B207" t="s">
        <v>75</v>
      </c>
      <c r="C207" t="s">
        <v>96</v>
      </c>
      <c r="D207" t="s">
        <v>6</v>
      </c>
      <c r="E207" t="s">
        <v>720</v>
      </c>
      <c r="F207" t="s">
        <v>721</v>
      </c>
      <c r="G207" t="s">
        <v>714</v>
      </c>
      <c r="H207">
        <v>6015</v>
      </c>
      <c r="I207">
        <v>316</v>
      </c>
      <c r="J207">
        <v>314</v>
      </c>
      <c r="K207" s="6">
        <v>5.2499999999999998E-2</v>
      </c>
      <c r="L207" s="6">
        <v>5.2200000000000003E-2</v>
      </c>
      <c r="M207" s="6">
        <v>-0.03</v>
      </c>
      <c r="N207" t="s">
        <v>715</v>
      </c>
      <c r="O207" s="6">
        <v>5.5599999999999997E-2</v>
      </c>
      <c r="P207" s="6">
        <v>5.2200000000000003E-2</v>
      </c>
      <c r="Q207">
        <v>-0.31</v>
      </c>
      <c r="R207" s="9" t="s">
        <v>763</v>
      </c>
    </row>
    <row r="208" spans="1:18" x14ac:dyDescent="0.25">
      <c r="A208" t="s">
        <v>134</v>
      </c>
      <c r="B208" t="s">
        <v>75</v>
      </c>
      <c r="C208" t="s">
        <v>96</v>
      </c>
      <c r="D208" t="s">
        <v>6</v>
      </c>
      <c r="E208" t="s">
        <v>722</v>
      </c>
      <c r="F208" t="s">
        <v>723</v>
      </c>
      <c r="G208" t="s">
        <v>714</v>
      </c>
      <c r="H208">
        <v>6015</v>
      </c>
      <c r="I208">
        <v>4308</v>
      </c>
      <c r="J208">
        <v>4247</v>
      </c>
      <c r="K208" s="6">
        <v>0.71619999999999995</v>
      </c>
      <c r="L208" s="6">
        <v>0.70609999999999995</v>
      </c>
      <c r="M208" s="6">
        <v>-1.01</v>
      </c>
      <c r="N208" t="s">
        <v>715</v>
      </c>
      <c r="O208" s="6">
        <v>0.71079999999999999</v>
      </c>
      <c r="P208" s="6">
        <v>0.70609999999999995</v>
      </c>
      <c r="Q208">
        <v>0.54</v>
      </c>
      <c r="R208" s="9" t="s">
        <v>763</v>
      </c>
    </row>
    <row r="209" spans="1:18" x14ac:dyDescent="0.25">
      <c r="A209" t="s">
        <v>134</v>
      </c>
      <c r="B209" t="s">
        <v>75</v>
      </c>
      <c r="C209" t="s">
        <v>96</v>
      </c>
      <c r="D209" t="s">
        <v>6</v>
      </c>
      <c r="E209" t="s">
        <v>724</v>
      </c>
      <c r="F209" t="s">
        <v>725</v>
      </c>
      <c r="G209" t="s">
        <v>714</v>
      </c>
      <c r="H209">
        <v>6015</v>
      </c>
      <c r="I209">
        <v>5212</v>
      </c>
      <c r="J209">
        <v>5206</v>
      </c>
      <c r="K209" s="6">
        <v>0.86650000000000005</v>
      </c>
      <c r="L209" s="6">
        <v>0.86550000000000005</v>
      </c>
      <c r="M209" s="6">
        <v>-0.1</v>
      </c>
      <c r="N209" t="s">
        <v>715</v>
      </c>
      <c r="O209" s="6">
        <v>0.86450000000000005</v>
      </c>
      <c r="P209" s="6">
        <v>0.86550000000000005</v>
      </c>
      <c r="Q209">
        <v>0.2</v>
      </c>
      <c r="R209" s="9" t="s">
        <v>763</v>
      </c>
    </row>
    <row r="210" spans="1:18" x14ac:dyDescent="0.25">
      <c r="A210" t="s">
        <v>134</v>
      </c>
      <c r="B210" t="s">
        <v>75</v>
      </c>
      <c r="C210" t="s">
        <v>96</v>
      </c>
      <c r="D210" t="s">
        <v>6</v>
      </c>
      <c r="E210" t="s">
        <v>745</v>
      </c>
      <c r="F210" t="s">
        <v>746</v>
      </c>
      <c r="G210" t="s">
        <v>714</v>
      </c>
      <c r="H210">
        <v>6015</v>
      </c>
      <c r="I210">
        <v>1093</v>
      </c>
      <c r="J210">
        <v>1564</v>
      </c>
      <c r="K210" s="6">
        <v>0.1817</v>
      </c>
      <c r="L210" s="6">
        <v>0.26</v>
      </c>
      <c r="M210" s="6">
        <v>7.83</v>
      </c>
      <c r="N210" t="s">
        <v>747</v>
      </c>
      <c r="O210" s="6">
        <v>0.18099999999999999</v>
      </c>
      <c r="P210" s="6">
        <v>0.26</v>
      </c>
      <c r="Q210">
        <v>7.0000000000000007E-2</v>
      </c>
      <c r="R210" s="9" t="s">
        <v>763</v>
      </c>
    </row>
    <row r="211" spans="1:18" x14ac:dyDescent="0.25">
      <c r="A211" t="s">
        <v>134</v>
      </c>
      <c r="B211" t="s">
        <v>75</v>
      </c>
      <c r="C211" t="s">
        <v>96</v>
      </c>
      <c r="D211" t="s">
        <v>6</v>
      </c>
      <c r="E211" t="s">
        <v>726</v>
      </c>
      <c r="F211" t="s">
        <v>727</v>
      </c>
      <c r="G211" t="s">
        <v>714</v>
      </c>
      <c r="H211">
        <v>6015</v>
      </c>
      <c r="I211">
        <v>5212</v>
      </c>
      <c r="J211">
        <v>5206</v>
      </c>
      <c r="K211" s="6">
        <v>0.86650000000000005</v>
      </c>
      <c r="L211" s="6">
        <v>0.86550000000000005</v>
      </c>
      <c r="M211" s="6">
        <v>-0.1</v>
      </c>
      <c r="N211" t="s">
        <v>715</v>
      </c>
      <c r="O211" s="6">
        <v>0.86450000000000005</v>
      </c>
      <c r="P211" s="6">
        <v>0.86550000000000005</v>
      </c>
      <c r="Q211">
        <v>0.2</v>
      </c>
      <c r="R211" s="9" t="s">
        <v>763</v>
      </c>
    </row>
    <row r="212" spans="1:18" x14ac:dyDescent="0.25">
      <c r="A212" t="s">
        <v>134</v>
      </c>
      <c r="B212" t="s">
        <v>75</v>
      </c>
      <c r="C212" t="s">
        <v>96</v>
      </c>
      <c r="D212" t="s">
        <v>6</v>
      </c>
      <c r="E212" t="s">
        <v>760</v>
      </c>
      <c r="F212" t="s">
        <v>761</v>
      </c>
      <c r="G212" t="s">
        <v>714</v>
      </c>
      <c r="H212">
        <v>6015</v>
      </c>
      <c r="I212">
        <v>6</v>
      </c>
      <c r="J212">
        <v>6</v>
      </c>
      <c r="K212" s="6">
        <v>1E-3</v>
      </c>
      <c r="L212" s="6">
        <v>1E-3</v>
      </c>
      <c r="M212" s="6">
        <v>0</v>
      </c>
      <c r="N212" t="s">
        <v>715</v>
      </c>
      <c r="O212" s="6">
        <v>1E-3</v>
      </c>
      <c r="P212" s="6">
        <v>1E-3</v>
      </c>
      <c r="Q212">
        <v>0</v>
      </c>
      <c r="R212" s="9" t="s">
        <v>763</v>
      </c>
    </row>
    <row r="213" spans="1:18" x14ac:dyDescent="0.25">
      <c r="A213" t="s">
        <v>134</v>
      </c>
      <c r="B213" t="s">
        <v>75</v>
      </c>
      <c r="C213" t="s">
        <v>96</v>
      </c>
      <c r="D213" t="s">
        <v>6</v>
      </c>
      <c r="E213" t="s">
        <v>728</v>
      </c>
      <c r="F213" t="s">
        <v>729</v>
      </c>
      <c r="G213" t="s">
        <v>714</v>
      </c>
      <c r="H213">
        <v>6015</v>
      </c>
      <c r="I213">
        <v>5212</v>
      </c>
      <c r="J213">
        <v>5206</v>
      </c>
      <c r="K213" s="6">
        <v>0.86650000000000005</v>
      </c>
      <c r="L213" s="6">
        <v>0.86550000000000005</v>
      </c>
      <c r="M213" s="6">
        <v>-0.1</v>
      </c>
      <c r="N213" t="s">
        <v>715</v>
      </c>
      <c r="O213" s="6">
        <v>0.86450000000000005</v>
      </c>
      <c r="P213" s="6">
        <v>0.86550000000000005</v>
      </c>
      <c r="Q213">
        <v>0.2</v>
      </c>
      <c r="R213" s="9" t="s">
        <v>763</v>
      </c>
    </row>
    <row r="214" spans="1:18" x14ac:dyDescent="0.25">
      <c r="A214" t="s">
        <v>134</v>
      </c>
      <c r="B214" t="s">
        <v>75</v>
      </c>
      <c r="C214" t="s">
        <v>96</v>
      </c>
      <c r="D214" t="s">
        <v>6</v>
      </c>
      <c r="E214" t="s">
        <v>730</v>
      </c>
      <c r="F214" t="s">
        <v>731</v>
      </c>
      <c r="G214" t="s">
        <v>732</v>
      </c>
      <c r="H214">
        <v>6015</v>
      </c>
      <c r="I214">
        <v>5212</v>
      </c>
      <c r="J214">
        <v>5206</v>
      </c>
      <c r="K214" s="6">
        <v>0.86650000000000005</v>
      </c>
      <c r="L214" s="6">
        <v>0.86550000000000005</v>
      </c>
      <c r="M214" s="6">
        <v>-0.1</v>
      </c>
      <c r="N214" t="s">
        <v>715</v>
      </c>
      <c r="O214" s="6">
        <v>0.86450000000000005</v>
      </c>
      <c r="P214" s="6">
        <v>0.86550000000000005</v>
      </c>
      <c r="Q214">
        <v>0.2</v>
      </c>
      <c r="R214" s="9" t="s">
        <v>763</v>
      </c>
    </row>
    <row r="215" spans="1:18" x14ac:dyDescent="0.25">
      <c r="A215" t="s">
        <v>134</v>
      </c>
      <c r="B215" t="s">
        <v>75</v>
      </c>
      <c r="C215" t="s">
        <v>96</v>
      </c>
      <c r="D215" t="s">
        <v>6</v>
      </c>
      <c r="E215" t="s">
        <v>749</v>
      </c>
      <c r="F215" t="s">
        <v>731</v>
      </c>
      <c r="G215" t="s">
        <v>732</v>
      </c>
      <c r="H215">
        <v>6015</v>
      </c>
      <c r="I215">
        <v>1482</v>
      </c>
      <c r="J215">
        <v>1478</v>
      </c>
      <c r="K215" s="6">
        <v>0.24640000000000001</v>
      </c>
      <c r="L215" s="6">
        <v>0.2457</v>
      </c>
      <c r="M215" s="6">
        <v>-7.0000000000000007E-2</v>
      </c>
      <c r="N215" t="s">
        <v>715</v>
      </c>
      <c r="O215" s="6">
        <v>0.24529999999999999</v>
      </c>
      <c r="P215" s="6">
        <v>0.2457</v>
      </c>
      <c r="Q215">
        <v>0.1</v>
      </c>
      <c r="R215" s="9" t="s">
        <v>763</v>
      </c>
    </row>
    <row r="216" spans="1:18" x14ac:dyDescent="0.25">
      <c r="A216" t="s">
        <v>134</v>
      </c>
      <c r="B216" t="s">
        <v>75</v>
      </c>
      <c r="C216" t="s">
        <v>96</v>
      </c>
      <c r="D216" t="s">
        <v>6</v>
      </c>
      <c r="E216" t="s">
        <v>750</v>
      </c>
      <c r="F216" t="s">
        <v>731</v>
      </c>
      <c r="G216" t="s">
        <v>732</v>
      </c>
      <c r="H216">
        <v>6015</v>
      </c>
      <c r="I216">
        <v>577</v>
      </c>
      <c r="J216">
        <v>576</v>
      </c>
      <c r="K216" s="6">
        <v>9.5899999999999999E-2</v>
      </c>
      <c r="L216" s="6">
        <v>9.5799999999999996E-2</v>
      </c>
      <c r="M216" s="6">
        <v>-0.02</v>
      </c>
      <c r="N216" t="s">
        <v>715</v>
      </c>
      <c r="O216" s="6">
        <v>9.5200000000000007E-2</v>
      </c>
      <c r="P216" s="6">
        <v>9.5799999999999996E-2</v>
      </c>
      <c r="Q216">
        <v>7.0000000000000007E-2</v>
      </c>
      <c r="R216" s="9" t="s">
        <v>763</v>
      </c>
    </row>
    <row r="217" spans="1:18" x14ac:dyDescent="0.25">
      <c r="A217" t="s">
        <v>134</v>
      </c>
      <c r="B217" t="s">
        <v>75</v>
      </c>
      <c r="C217" t="s">
        <v>96</v>
      </c>
      <c r="D217" t="s">
        <v>6</v>
      </c>
      <c r="E217" t="s">
        <v>733</v>
      </c>
      <c r="F217" t="s">
        <v>731</v>
      </c>
      <c r="G217" t="s">
        <v>732</v>
      </c>
      <c r="H217">
        <v>6015</v>
      </c>
      <c r="I217">
        <v>2646</v>
      </c>
      <c r="J217">
        <v>2648</v>
      </c>
      <c r="K217" s="6">
        <v>0.43990000000000001</v>
      </c>
      <c r="L217" s="6">
        <v>0.44019999999999998</v>
      </c>
      <c r="M217" s="6">
        <v>0.03</v>
      </c>
      <c r="N217" t="s">
        <v>715</v>
      </c>
      <c r="O217" s="6">
        <v>0.43990000000000001</v>
      </c>
      <c r="P217" s="6">
        <v>0.44019999999999998</v>
      </c>
      <c r="Q217">
        <v>0</v>
      </c>
      <c r="R217" s="9" t="s">
        <v>763</v>
      </c>
    </row>
    <row r="218" spans="1:18" x14ac:dyDescent="0.25">
      <c r="A218" t="s">
        <v>134</v>
      </c>
      <c r="B218" t="s">
        <v>75</v>
      </c>
      <c r="C218" t="s">
        <v>96</v>
      </c>
      <c r="D218" t="s">
        <v>6</v>
      </c>
      <c r="E218" t="s">
        <v>734</v>
      </c>
      <c r="F218" t="s">
        <v>731</v>
      </c>
      <c r="G218" t="s">
        <v>732</v>
      </c>
      <c r="H218">
        <v>6015</v>
      </c>
      <c r="I218">
        <v>507</v>
      </c>
      <c r="J218">
        <v>504</v>
      </c>
      <c r="K218" s="6">
        <v>8.43E-2</v>
      </c>
      <c r="L218" s="6">
        <v>8.3799999999999999E-2</v>
      </c>
      <c r="M218" s="6">
        <v>-0.05</v>
      </c>
      <c r="N218" t="s">
        <v>715</v>
      </c>
      <c r="O218" s="6">
        <v>8.4099999999999994E-2</v>
      </c>
      <c r="P218" s="6">
        <v>8.3799999999999999E-2</v>
      </c>
      <c r="Q218">
        <v>0.01</v>
      </c>
      <c r="R218" s="9" t="s">
        <v>763</v>
      </c>
    </row>
    <row r="219" spans="1:18" x14ac:dyDescent="0.25">
      <c r="A219" t="s">
        <v>134</v>
      </c>
      <c r="B219" t="s">
        <v>75</v>
      </c>
      <c r="C219" t="s">
        <v>96</v>
      </c>
      <c r="D219" t="s">
        <v>6</v>
      </c>
      <c r="E219" t="s">
        <v>735</v>
      </c>
      <c r="F219" t="s">
        <v>736</v>
      </c>
      <c r="G219" t="s">
        <v>714</v>
      </c>
      <c r="H219">
        <v>6015</v>
      </c>
      <c r="I219">
        <v>5212</v>
      </c>
      <c r="J219">
        <v>5206</v>
      </c>
      <c r="K219" s="6">
        <v>0.86650000000000005</v>
      </c>
      <c r="L219" s="6">
        <v>0.86550000000000005</v>
      </c>
      <c r="M219" s="6">
        <v>-0.1</v>
      </c>
      <c r="N219" t="s">
        <v>715</v>
      </c>
      <c r="O219" s="6">
        <v>0.86450000000000005</v>
      </c>
      <c r="P219" s="6">
        <v>0.86550000000000005</v>
      </c>
      <c r="Q219">
        <v>0.2</v>
      </c>
      <c r="R219" s="9" t="s">
        <v>763</v>
      </c>
    </row>
    <row r="220" spans="1:18" x14ac:dyDescent="0.25">
      <c r="A220" t="s">
        <v>134</v>
      </c>
      <c r="B220" t="s">
        <v>75</v>
      </c>
      <c r="C220" t="s">
        <v>96</v>
      </c>
      <c r="D220" t="s">
        <v>6</v>
      </c>
      <c r="E220" t="s">
        <v>737</v>
      </c>
      <c r="F220" t="s">
        <v>738</v>
      </c>
      <c r="G220" t="s">
        <v>714</v>
      </c>
      <c r="H220">
        <v>6015</v>
      </c>
      <c r="I220">
        <v>5212</v>
      </c>
      <c r="J220">
        <v>5206</v>
      </c>
      <c r="K220" s="6">
        <v>0.86650000000000005</v>
      </c>
      <c r="L220" s="6">
        <v>0.86550000000000005</v>
      </c>
      <c r="M220" s="6">
        <v>-0.1</v>
      </c>
      <c r="N220" t="s">
        <v>715</v>
      </c>
      <c r="O220" s="6">
        <v>0.86450000000000005</v>
      </c>
      <c r="P220" s="6">
        <v>0.86550000000000005</v>
      </c>
      <c r="Q220">
        <v>0.2</v>
      </c>
      <c r="R220" s="9" t="s">
        <v>763</v>
      </c>
    </row>
    <row r="221" spans="1:18" x14ac:dyDescent="0.25">
      <c r="A221" t="s">
        <v>134</v>
      </c>
      <c r="B221" t="s">
        <v>75</v>
      </c>
      <c r="C221" t="s">
        <v>96</v>
      </c>
      <c r="D221" t="s">
        <v>6</v>
      </c>
      <c r="E221" t="s">
        <v>739</v>
      </c>
      <c r="F221" t="s">
        <v>740</v>
      </c>
      <c r="G221" t="s">
        <v>732</v>
      </c>
      <c r="H221">
        <v>6015</v>
      </c>
      <c r="I221">
        <v>5212</v>
      </c>
      <c r="J221">
        <v>5206</v>
      </c>
      <c r="K221" s="6">
        <v>0.86650000000000005</v>
      </c>
      <c r="L221" s="6">
        <v>0.86550000000000005</v>
      </c>
      <c r="M221" s="6">
        <v>-0.1</v>
      </c>
      <c r="N221" t="s">
        <v>715</v>
      </c>
      <c r="O221" s="6">
        <v>0.86450000000000005</v>
      </c>
      <c r="P221" s="6">
        <v>0.86550000000000005</v>
      </c>
      <c r="Q221">
        <v>0.2</v>
      </c>
      <c r="R221" s="9" t="s">
        <v>763</v>
      </c>
    </row>
    <row r="222" spans="1:18" x14ac:dyDescent="0.25">
      <c r="A222" t="s">
        <v>134</v>
      </c>
      <c r="B222" t="s">
        <v>77</v>
      </c>
      <c r="C222" t="s">
        <v>90</v>
      </c>
      <c r="D222" t="s">
        <v>91</v>
      </c>
      <c r="E222" t="s">
        <v>712</v>
      </c>
      <c r="F222" t="s">
        <v>713</v>
      </c>
      <c r="G222" t="s">
        <v>714</v>
      </c>
      <c r="H222">
        <v>200</v>
      </c>
      <c r="I222">
        <v>189</v>
      </c>
      <c r="J222">
        <v>190</v>
      </c>
      <c r="K222" s="6">
        <v>0.94499999999999995</v>
      </c>
      <c r="L222" s="6">
        <v>0.95</v>
      </c>
      <c r="M222" s="6">
        <v>0.5</v>
      </c>
      <c r="N222" t="s">
        <v>715</v>
      </c>
      <c r="O222" s="6">
        <v>0.94499999999999995</v>
      </c>
      <c r="P222" s="6">
        <v>0.90480000000000005</v>
      </c>
      <c r="Q222">
        <v>-4.5199999999999996</v>
      </c>
      <c r="R222" s="9" t="s">
        <v>764</v>
      </c>
    </row>
    <row r="223" spans="1:18" x14ac:dyDescent="0.25">
      <c r="A223" t="s">
        <v>134</v>
      </c>
      <c r="B223" t="s">
        <v>77</v>
      </c>
      <c r="C223" t="s">
        <v>90</v>
      </c>
      <c r="D223" t="s">
        <v>91</v>
      </c>
      <c r="E223" t="s">
        <v>717</v>
      </c>
      <c r="F223" t="s">
        <v>718</v>
      </c>
      <c r="G223" t="s">
        <v>714</v>
      </c>
      <c r="H223">
        <v>200</v>
      </c>
      <c r="I223">
        <v>189</v>
      </c>
      <c r="J223">
        <v>190</v>
      </c>
      <c r="K223" s="6">
        <v>0.94499999999999995</v>
      </c>
      <c r="L223" s="6">
        <v>0.95</v>
      </c>
      <c r="M223" s="6">
        <v>0.5</v>
      </c>
      <c r="N223" t="s">
        <v>715</v>
      </c>
      <c r="O223" s="6">
        <v>0.94499999999999995</v>
      </c>
      <c r="P223" s="6">
        <v>0.94289999999999996</v>
      </c>
      <c r="Q223">
        <v>-0.71</v>
      </c>
      <c r="R223" s="9" t="s">
        <v>764</v>
      </c>
    </row>
    <row r="224" spans="1:18" x14ac:dyDescent="0.25">
      <c r="A224" t="s">
        <v>134</v>
      </c>
      <c r="B224" t="s">
        <v>77</v>
      </c>
      <c r="C224" t="s">
        <v>90</v>
      </c>
      <c r="D224" t="s">
        <v>91</v>
      </c>
      <c r="E224" t="s">
        <v>719</v>
      </c>
      <c r="F224" t="s">
        <v>718</v>
      </c>
      <c r="G224" t="s">
        <v>714</v>
      </c>
      <c r="H224">
        <v>200</v>
      </c>
      <c r="I224">
        <v>189</v>
      </c>
      <c r="J224">
        <v>190</v>
      </c>
      <c r="K224" s="6">
        <v>0.94499999999999995</v>
      </c>
      <c r="L224" s="6">
        <v>0.95</v>
      </c>
      <c r="M224" s="6">
        <v>0.5</v>
      </c>
      <c r="N224" t="s">
        <v>715</v>
      </c>
      <c r="O224" s="6">
        <v>0.94499999999999995</v>
      </c>
      <c r="P224" s="6">
        <v>0.94289999999999996</v>
      </c>
      <c r="Q224">
        <v>-0.71</v>
      </c>
      <c r="R224" s="9" t="s">
        <v>764</v>
      </c>
    </row>
    <row r="225" spans="1:18" x14ac:dyDescent="0.25">
      <c r="A225" t="s">
        <v>134</v>
      </c>
      <c r="B225" t="s">
        <v>77</v>
      </c>
      <c r="C225" t="s">
        <v>90</v>
      </c>
      <c r="D225" t="s">
        <v>91</v>
      </c>
      <c r="E225" t="s">
        <v>720</v>
      </c>
      <c r="F225" t="s">
        <v>721</v>
      </c>
      <c r="G225" t="s">
        <v>714</v>
      </c>
      <c r="H225">
        <v>200</v>
      </c>
      <c r="I225">
        <v>5</v>
      </c>
      <c r="J225">
        <v>5</v>
      </c>
      <c r="K225" s="6">
        <v>2.5000000000000001E-2</v>
      </c>
      <c r="L225" s="6">
        <v>2.5000000000000001E-2</v>
      </c>
      <c r="M225" s="6">
        <v>0</v>
      </c>
      <c r="N225" t="s">
        <v>715</v>
      </c>
      <c r="O225" s="6">
        <v>2.5000000000000001E-2</v>
      </c>
      <c r="P225" s="6">
        <v>2.3800000000000002E-2</v>
      </c>
      <c r="Q225">
        <v>-0.12</v>
      </c>
      <c r="R225" s="9" t="s">
        <v>764</v>
      </c>
    </row>
    <row r="226" spans="1:18" x14ac:dyDescent="0.25">
      <c r="A226" t="s">
        <v>134</v>
      </c>
      <c r="B226" t="s">
        <v>77</v>
      </c>
      <c r="C226" t="s">
        <v>90</v>
      </c>
      <c r="D226" t="s">
        <v>91</v>
      </c>
      <c r="E226" t="s">
        <v>722</v>
      </c>
      <c r="F226" t="s">
        <v>723</v>
      </c>
      <c r="G226" t="s">
        <v>714</v>
      </c>
      <c r="H226">
        <v>200</v>
      </c>
      <c r="I226">
        <v>189</v>
      </c>
      <c r="J226">
        <v>190</v>
      </c>
      <c r="K226" s="6">
        <v>0.94499999999999995</v>
      </c>
      <c r="L226" s="6">
        <v>0.95</v>
      </c>
      <c r="M226" s="6">
        <v>0.5</v>
      </c>
      <c r="N226" t="s">
        <v>715</v>
      </c>
      <c r="O226" s="6">
        <v>0.94499999999999995</v>
      </c>
      <c r="P226" s="6">
        <v>0.90480000000000005</v>
      </c>
      <c r="Q226">
        <v>-4.5199999999999996</v>
      </c>
      <c r="R226" s="9" t="s">
        <v>764</v>
      </c>
    </row>
    <row r="227" spans="1:18" x14ac:dyDescent="0.25">
      <c r="A227" t="s">
        <v>134</v>
      </c>
      <c r="B227" t="s">
        <v>77</v>
      </c>
      <c r="C227" t="s">
        <v>90</v>
      </c>
      <c r="D227" t="s">
        <v>91</v>
      </c>
      <c r="E227" t="s">
        <v>724</v>
      </c>
      <c r="F227" t="s">
        <v>725</v>
      </c>
      <c r="G227" t="s">
        <v>714</v>
      </c>
      <c r="H227">
        <v>200</v>
      </c>
      <c r="I227">
        <v>189</v>
      </c>
      <c r="J227">
        <v>190</v>
      </c>
      <c r="K227" s="6">
        <v>0.94499999999999995</v>
      </c>
      <c r="L227" s="6">
        <v>0.95</v>
      </c>
      <c r="M227" s="6">
        <v>0.5</v>
      </c>
      <c r="N227" t="s">
        <v>715</v>
      </c>
      <c r="O227" s="6">
        <v>0.94499999999999995</v>
      </c>
      <c r="P227" s="6">
        <v>0.94289999999999996</v>
      </c>
      <c r="Q227">
        <v>-0.71</v>
      </c>
      <c r="R227" s="9" t="s">
        <v>764</v>
      </c>
    </row>
    <row r="228" spans="1:18" x14ac:dyDescent="0.25">
      <c r="A228" t="s">
        <v>134</v>
      </c>
      <c r="B228" t="s">
        <v>77</v>
      </c>
      <c r="C228" t="s">
        <v>90</v>
      </c>
      <c r="D228" t="s">
        <v>91</v>
      </c>
      <c r="E228" t="s">
        <v>726</v>
      </c>
      <c r="F228" t="s">
        <v>727</v>
      </c>
      <c r="G228" t="s">
        <v>714</v>
      </c>
      <c r="H228">
        <v>200</v>
      </c>
      <c r="I228">
        <v>189</v>
      </c>
      <c r="J228">
        <v>190</v>
      </c>
      <c r="K228" s="6">
        <v>0.94499999999999995</v>
      </c>
      <c r="L228" s="6">
        <v>0.95</v>
      </c>
      <c r="M228" s="6">
        <v>0.5</v>
      </c>
      <c r="N228" t="s">
        <v>715</v>
      </c>
      <c r="O228" s="6">
        <v>0.94499999999999995</v>
      </c>
      <c r="P228" s="6">
        <v>0.94289999999999996</v>
      </c>
      <c r="Q228">
        <v>-0.71</v>
      </c>
      <c r="R228" s="9" t="s">
        <v>764</v>
      </c>
    </row>
    <row r="229" spans="1:18" x14ac:dyDescent="0.25">
      <c r="A229" t="s">
        <v>134</v>
      </c>
      <c r="B229" t="s">
        <v>77</v>
      </c>
      <c r="C229" t="s">
        <v>90</v>
      </c>
      <c r="D229" t="s">
        <v>91</v>
      </c>
      <c r="E229" t="s">
        <v>728</v>
      </c>
      <c r="F229" t="s">
        <v>729</v>
      </c>
      <c r="G229" t="s">
        <v>714</v>
      </c>
      <c r="H229">
        <v>200</v>
      </c>
      <c r="I229">
        <v>189</v>
      </c>
      <c r="J229">
        <v>190</v>
      </c>
      <c r="K229" s="6">
        <v>0.94499999999999995</v>
      </c>
      <c r="L229" s="6">
        <v>0.95</v>
      </c>
      <c r="M229" s="6">
        <v>0.5</v>
      </c>
      <c r="N229" t="s">
        <v>715</v>
      </c>
      <c r="O229" s="6">
        <v>0.94499999999999995</v>
      </c>
      <c r="P229" s="6">
        <v>0.94289999999999996</v>
      </c>
      <c r="Q229">
        <v>-0.71</v>
      </c>
      <c r="R229" s="9" t="s">
        <v>764</v>
      </c>
    </row>
    <row r="230" spans="1:18" x14ac:dyDescent="0.25">
      <c r="A230" t="s">
        <v>134</v>
      </c>
      <c r="B230" t="s">
        <v>77</v>
      </c>
      <c r="C230" t="s">
        <v>90</v>
      </c>
      <c r="D230" t="s">
        <v>91</v>
      </c>
      <c r="E230" t="s">
        <v>730</v>
      </c>
      <c r="F230" t="s">
        <v>731</v>
      </c>
      <c r="G230" t="s">
        <v>732</v>
      </c>
      <c r="H230">
        <v>200</v>
      </c>
      <c r="I230">
        <v>189</v>
      </c>
      <c r="J230">
        <v>190</v>
      </c>
      <c r="K230" s="6">
        <v>0.94499999999999995</v>
      </c>
      <c r="L230" s="6">
        <v>0.95</v>
      </c>
      <c r="M230" s="6">
        <v>0.5</v>
      </c>
      <c r="N230" t="s">
        <v>715</v>
      </c>
      <c r="O230" s="6">
        <v>0.94499999999999995</v>
      </c>
      <c r="P230" s="6">
        <v>0.94289999999999996</v>
      </c>
      <c r="Q230">
        <v>-0.71</v>
      </c>
      <c r="R230" s="9" t="s">
        <v>764</v>
      </c>
    </row>
    <row r="231" spans="1:18" x14ac:dyDescent="0.25">
      <c r="A231" t="s">
        <v>134</v>
      </c>
      <c r="B231" t="s">
        <v>77</v>
      </c>
      <c r="C231" t="s">
        <v>90</v>
      </c>
      <c r="D231" t="s">
        <v>91</v>
      </c>
      <c r="E231" t="s">
        <v>733</v>
      </c>
      <c r="F231" t="s">
        <v>731</v>
      </c>
      <c r="G231" t="s">
        <v>732</v>
      </c>
      <c r="H231">
        <v>200</v>
      </c>
      <c r="I231">
        <v>40</v>
      </c>
      <c r="J231">
        <v>40</v>
      </c>
      <c r="K231" s="6">
        <v>0.2</v>
      </c>
      <c r="L231" s="6">
        <v>0.2</v>
      </c>
      <c r="M231" s="6">
        <v>0</v>
      </c>
      <c r="N231" t="s">
        <v>715</v>
      </c>
      <c r="O231" s="6">
        <v>0.2</v>
      </c>
      <c r="P231" s="6">
        <v>0.1905</v>
      </c>
      <c r="Q231">
        <v>-0.95</v>
      </c>
      <c r="R231" s="9" t="s">
        <v>764</v>
      </c>
    </row>
    <row r="232" spans="1:18" x14ac:dyDescent="0.25">
      <c r="A232" t="s">
        <v>134</v>
      </c>
      <c r="B232" t="s">
        <v>77</v>
      </c>
      <c r="C232" t="s">
        <v>90</v>
      </c>
      <c r="D232" t="s">
        <v>91</v>
      </c>
      <c r="E232" t="s">
        <v>734</v>
      </c>
      <c r="F232" t="s">
        <v>731</v>
      </c>
      <c r="G232" t="s">
        <v>732</v>
      </c>
      <c r="H232">
        <v>200</v>
      </c>
      <c r="I232">
        <v>149</v>
      </c>
      <c r="J232">
        <v>150</v>
      </c>
      <c r="K232" s="6">
        <v>0.745</v>
      </c>
      <c r="L232" s="6">
        <v>0.75</v>
      </c>
      <c r="M232" s="6">
        <v>0.5</v>
      </c>
      <c r="N232" t="s">
        <v>715</v>
      </c>
      <c r="O232" s="6">
        <v>0.745</v>
      </c>
      <c r="P232" s="6">
        <v>0.75239999999999996</v>
      </c>
      <c r="Q232">
        <v>0.24</v>
      </c>
      <c r="R232" s="9" t="s">
        <v>764</v>
      </c>
    </row>
    <row r="233" spans="1:18" x14ac:dyDescent="0.25">
      <c r="A233" t="s">
        <v>134</v>
      </c>
      <c r="B233" t="s">
        <v>77</v>
      </c>
      <c r="C233" t="s">
        <v>90</v>
      </c>
      <c r="D233" t="s">
        <v>91</v>
      </c>
      <c r="E233" t="s">
        <v>735</v>
      </c>
      <c r="F233" t="s">
        <v>736</v>
      </c>
      <c r="G233" t="s">
        <v>714</v>
      </c>
      <c r="H233">
        <v>200</v>
      </c>
      <c r="I233">
        <v>189</v>
      </c>
      <c r="J233">
        <v>190</v>
      </c>
      <c r="K233" s="6">
        <v>0.94499999999999995</v>
      </c>
      <c r="L233" s="6">
        <v>0.95</v>
      </c>
      <c r="M233" s="6">
        <v>0.5</v>
      </c>
      <c r="N233" t="s">
        <v>715</v>
      </c>
      <c r="O233" s="6">
        <v>0.94499999999999995</v>
      </c>
      <c r="P233" s="6">
        <v>0.94289999999999996</v>
      </c>
      <c r="Q233">
        <v>-0.71</v>
      </c>
      <c r="R233" s="9" t="s">
        <v>764</v>
      </c>
    </row>
    <row r="234" spans="1:18" x14ac:dyDescent="0.25">
      <c r="A234" t="s">
        <v>134</v>
      </c>
      <c r="B234" t="s">
        <v>77</v>
      </c>
      <c r="C234" t="s">
        <v>90</v>
      </c>
      <c r="D234" t="s">
        <v>91</v>
      </c>
      <c r="E234" t="s">
        <v>737</v>
      </c>
      <c r="F234" t="s">
        <v>738</v>
      </c>
      <c r="G234" t="s">
        <v>714</v>
      </c>
      <c r="H234">
        <v>200</v>
      </c>
      <c r="I234">
        <v>189</v>
      </c>
      <c r="J234">
        <v>190</v>
      </c>
      <c r="K234" s="6">
        <v>0.94499999999999995</v>
      </c>
      <c r="L234" s="6">
        <v>0.95</v>
      </c>
      <c r="M234" s="6">
        <v>0.5</v>
      </c>
      <c r="N234" t="s">
        <v>715</v>
      </c>
      <c r="O234" s="6">
        <v>0.94499999999999995</v>
      </c>
      <c r="P234" s="6">
        <v>0.94289999999999996</v>
      </c>
      <c r="Q234">
        <v>-0.71</v>
      </c>
      <c r="R234" s="9" t="s">
        <v>764</v>
      </c>
    </row>
    <row r="235" spans="1:18" x14ac:dyDescent="0.25">
      <c r="A235" t="s">
        <v>134</v>
      </c>
      <c r="B235" t="s">
        <v>77</v>
      </c>
      <c r="C235" t="s">
        <v>90</v>
      </c>
      <c r="D235" t="s">
        <v>91</v>
      </c>
      <c r="E235" t="s">
        <v>739</v>
      </c>
      <c r="F235" t="s">
        <v>740</v>
      </c>
      <c r="G235" t="s">
        <v>732</v>
      </c>
      <c r="H235">
        <v>200</v>
      </c>
      <c r="I235">
        <v>189</v>
      </c>
      <c r="J235">
        <v>190</v>
      </c>
      <c r="K235" s="6">
        <v>0.94499999999999995</v>
      </c>
      <c r="L235" s="6">
        <v>0.95</v>
      </c>
      <c r="M235" s="6">
        <v>0.5</v>
      </c>
      <c r="N235" t="s">
        <v>715</v>
      </c>
      <c r="O235" s="6">
        <v>0.94499999999999995</v>
      </c>
      <c r="P235" s="6">
        <v>0.94289999999999996</v>
      </c>
      <c r="Q235">
        <v>-0.71</v>
      </c>
      <c r="R235" s="9" t="s">
        <v>764</v>
      </c>
    </row>
    <row r="236" spans="1:18" x14ac:dyDescent="0.25">
      <c r="A236" t="s">
        <v>134</v>
      </c>
      <c r="B236" t="s">
        <v>77</v>
      </c>
      <c r="C236" t="s">
        <v>91</v>
      </c>
      <c r="D236" t="s">
        <v>94</v>
      </c>
      <c r="E236" t="s">
        <v>712</v>
      </c>
      <c r="F236" t="s">
        <v>713</v>
      </c>
      <c r="G236" t="s">
        <v>714</v>
      </c>
      <c r="H236">
        <v>210</v>
      </c>
      <c r="I236">
        <v>190</v>
      </c>
      <c r="J236">
        <v>190</v>
      </c>
      <c r="K236" s="6">
        <v>0.90480000000000005</v>
      </c>
      <c r="L236" s="6">
        <v>0.90480000000000005</v>
      </c>
      <c r="M236" s="6">
        <v>0</v>
      </c>
      <c r="N236" t="s">
        <v>715</v>
      </c>
      <c r="O236" s="6">
        <v>0.90480000000000005</v>
      </c>
      <c r="P236" s="6">
        <v>0.92549999999999999</v>
      </c>
      <c r="Q236">
        <v>2.0699999999999998</v>
      </c>
      <c r="R236" s="9" t="s">
        <v>765</v>
      </c>
    </row>
    <row r="237" spans="1:18" x14ac:dyDescent="0.25">
      <c r="A237" t="s">
        <v>134</v>
      </c>
      <c r="B237" t="s">
        <v>77</v>
      </c>
      <c r="C237" t="s">
        <v>91</v>
      </c>
      <c r="D237" t="s">
        <v>94</v>
      </c>
      <c r="E237" t="s">
        <v>717</v>
      </c>
      <c r="F237" t="s">
        <v>718</v>
      </c>
      <c r="G237" t="s">
        <v>714</v>
      </c>
      <c r="H237">
        <v>210</v>
      </c>
      <c r="I237">
        <v>198</v>
      </c>
      <c r="J237">
        <v>199</v>
      </c>
      <c r="K237" s="6">
        <v>0.94289999999999996</v>
      </c>
      <c r="L237" s="6">
        <v>0.9476</v>
      </c>
      <c r="M237" s="6">
        <v>0.48</v>
      </c>
      <c r="N237" t="s">
        <v>715</v>
      </c>
      <c r="O237" s="6">
        <v>0.94289999999999996</v>
      </c>
      <c r="P237" s="6">
        <v>0.94179999999999997</v>
      </c>
      <c r="Q237">
        <v>-0.57999999999999996</v>
      </c>
      <c r="R237" s="9" t="s">
        <v>765</v>
      </c>
    </row>
    <row r="238" spans="1:18" x14ac:dyDescent="0.25">
      <c r="A238" t="s">
        <v>134</v>
      </c>
      <c r="B238" t="s">
        <v>77</v>
      </c>
      <c r="C238" t="s">
        <v>91</v>
      </c>
      <c r="D238" t="s">
        <v>94</v>
      </c>
      <c r="E238" t="s">
        <v>719</v>
      </c>
      <c r="F238" t="s">
        <v>718</v>
      </c>
      <c r="G238" t="s">
        <v>714</v>
      </c>
      <c r="H238">
        <v>210</v>
      </c>
      <c r="I238">
        <v>198</v>
      </c>
      <c r="J238">
        <v>199</v>
      </c>
      <c r="K238" s="6">
        <v>0.94289999999999996</v>
      </c>
      <c r="L238" s="6">
        <v>0.9476</v>
      </c>
      <c r="M238" s="6">
        <v>0.48</v>
      </c>
      <c r="N238" t="s">
        <v>715</v>
      </c>
      <c r="O238" s="6">
        <v>0.94289999999999996</v>
      </c>
      <c r="P238" s="6">
        <v>0.94179999999999997</v>
      </c>
      <c r="Q238">
        <v>-0.57999999999999996</v>
      </c>
      <c r="R238" s="9" t="s">
        <v>765</v>
      </c>
    </row>
    <row r="239" spans="1:18" x14ac:dyDescent="0.25">
      <c r="A239" t="s">
        <v>134</v>
      </c>
      <c r="B239" t="s">
        <v>77</v>
      </c>
      <c r="C239" t="s">
        <v>91</v>
      </c>
      <c r="D239" t="s">
        <v>94</v>
      </c>
      <c r="E239" t="s">
        <v>720</v>
      </c>
      <c r="F239" t="s">
        <v>721</v>
      </c>
      <c r="G239" t="s">
        <v>714</v>
      </c>
      <c r="H239">
        <v>210</v>
      </c>
      <c r="I239">
        <v>5</v>
      </c>
      <c r="J239">
        <v>5</v>
      </c>
      <c r="K239" s="6">
        <v>2.3800000000000002E-2</v>
      </c>
      <c r="L239" s="6">
        <v>2.3800000000000002E-2</v>
      </c>
      <c r="M239" s="6">
        <v>0</v>
      </c>
      <c r="N239" t="s">
        <v>715</v>
      </c>
      <c r="O239" s="6">
        <v>2.3800000000000002E-2</v>
      </c>
      <c r="P239" s="6">
        <v>9.1000000000000004E-3</v>
      </c>
      <c r="Q239">
        <v>-1.47</v>
      </c>
      <c r="R239" s="9" t="s">
        <v>765</v>
      </c>
    </row>
    <row r="240" spans="1:18" x14ac:dyDescent="0.25">
      <c r="A240" t="s">
        <v>134</v>
      </c>
      <c r="B240" t="s">
        <v>77</v>
      </c>
      <c r="C240" t="s">
        <v>91</v>
      </c>
      <c r="D240" t="s">
        <v>94</v>
      </c>
      <c r="E240" t="s">
        <v>722</v>
      </c>
      <c r="F240" t="s">
        <v>723</v>
      </c>
      <c r="G240" t="s">
        <v>714</v>
      </c>
      <c r="H240">
        <v>210</v>
      </c>
      <c r="I240">
        <v>190</v>
      </c>
      <c r="J240">
        <v>190</v>
      </c>
      <c r="K240" s="6">
        <v>0.90480000000000005</v>
      </c>
      <c r="L240" s="6">
        <v>0.90480000000000005</v>
      </c>
      <c r="M240" s="6">
        <v>0</v>
      </c>
      <c r="N240" t="s">
        <v>715</v>
      </c>
      <c r="O240" s="6">
        <v>0.90480000000000005</v>
      </c>
      <c r="P240" s="6">
        <v>0.92549999999999999</v>
      </c>
      <c r="Q240">
        <v>2.0699999999999998</v>
      </c>
      <c r="R240" s="9" t="s">
        <v>765</v>
      </c>
    </row>
    <row r="241" spans="1:18" x14ac:dyDescent="0.25">
      <c r="A241" t="s">
        <v>134</v>
      </c>
      <c r="B241" t="s">
        <v>77</v>
      </c>
      <c r="C241" t="s">
        <v>91</v>
      </c>
      <c r="D241" t="s">
        <v>94</v>
      </c>
      <c r="E241" t="s">
        <v>724</v>
      </c>
      <c r="F241" t="s">
        <v>725</v>
      </c>
      <c r="G241" t="s">
        <v>714</v>
      </c>
      <c r="H241">
        <v>210</v>
      </c>
      <c r="I241">
        <v>198</v>
      </c>
      <c r="J241">
        <v>199</v>
      </c>
      <c r="K241" s="6">
        <v>0.94289999999999996</v>
      </c>
      <c r="L241" s="6">
        <v>0.9476</v>
      </c>
      <c r="M241" s="6">
        <v>0.48</v>
      </c>
      <c r="N241" t="s">
        <v>715</v>
      </c>
      <c r="O241" s="6">
        <v>0.94289999999999996</v>
      </c>
      <c r="P241" s="6">
        <v>0.94179999999999997</v>
      </c>
      <c r="Q241">
        <v>-0.57999999999999996</v>
      </c>
      <c r="R241" s="9" t="s">
        <v>765</v>
      </c>
    </row>
    <row r="242" spans="1:18" x14ac:dyDescent="0.25">
      <c r="A242" t="s">
        <v>134</v>
      </c>
      <c r="B242" t="s">
        <v>77</v>
      </c>
      <c r="C242" t="s">
        <v>91</v>
      </c>
      <c r="D242" t="s">
        <v>94</v>
      </c>
      <c r="E242" t="s">
        <v>726</v>
      </c>
      <c r="F242" t="s">
        <v>727</v>
      </c>
      <c r="G242" t="s">
        <v>714</v>
      </c>
      <c r="H242">
        <v>210</v>
      </c>
      <c r="I242">
        <v>198</v>
      </c>
      <c r="J242">
        <v>199</v>
      </c>
      <c r="K242" s="6">
        <v>0.94289999999999996</v>
      </c>
      <c r="L242" s="6">
        <v>0.9476</v>
      </c>
      <c r="M242" s="6">
        <v>0.48</v>
      </c>
      <c r="N242" t="s">
        <v>715</v>
      </c>
      <c r="O242" s="6">
        <v>0.94289999999999996</v>
      </c>
      <c r="P242" s="6">
        <v>0.94179999999999997</v>
      </c>
      <c r="Q242">
        <v>-0.57999999999999996</v>
      </c>
      <c r="R242" s="9" t="s">
        <v>765</v>
      </c>
    </row>
    <row r="243" spans="1:18" x14ac:dyDescent="0.25">
      <c r="A243" t="s">
        <v>134</v>
      </c>
      <c r="B243" t="s">
        <v>77</v>
      </c>
      <c r="C243" t="s">
        <v>91</v>
      </c>
      <c r="D243" t="s">
        <v>94</v>
      </c>
      <c r="E243" t="s">
        <v>728</v>
      </c>
      <c r="F243" t="s">
        <v>729</v>
      </c>
      <c r="G243" t="s">
        <v>714</v>
      </c>
      <c r="H243">
        <v>210</v>
      </c>
      <c r="I243">
        <v>198</v>
      </c>
      <c r="J243">
        <v>199</v>
      </c>
      <c r="K243" s="6">
        <v>0.94289999999999996</v>
      </c>
      <c r="L243" s="6">
        <v>0.9476</v>
      </c>
      <c r="M243" s="6">
        <v>0.48</v>
      </c>
      <c r="N243" t="s">
        <v>715</v>
      </c>
      <c r="O243" s="6">
        <v>0.94289999999999996</v>
      </c>
      <c r="P243" s="6">
        <v>0.94179999999999997</v>
      </c>
      <c r="Q243">
        <v>-0.57999999999999996</v>
      </c>
      <c r="R243" s="9" t="s">
        <v>765</v>
      </c>
    </row>
    <row r="244" spans="1:18" x14ac:dyDescent="0.25">
      <c r="A244" t="s">
        <v>134</v>
      </c>
      <c r="B244" t="s">
        <v>77</v>
      </c>
      <c r="C244" t="s">
        <v>91</v>
      </c>
      <c r="D244" t="s">
        <v>94</v>
      </c>
      <c r="E244" t="s">
        <v>730</v>
      </c>
      <c r="F244" t="s">
        <v>731</v>
      </c>
      <c r="G244" t="s">
        <v>732</v>
      </c>
      <c r="H244">
        <v>210</v>
      </c>
      <c r="I244">
        <v>198</v>
      </c>
      <c r="J244">
        <v>199</v>
      </c>
      <c r="K244" s="6">
        <v>0.94289999999999996</v>
      </c>
      <c r="L244" s="6">
        <v>0.9476</v>
      </c>
      <c r="M244" s="6">
        <v>0.48</v>
      </c>
      <c r="N244" t="s">
        <v>715</v>
      </c>
      <c r="O244" s="6">
        <v>0.94289999999999996</v>
      </c>
      <c r="P244" s="6">
        <v>0.94179999999999997</v>
      </c>
      <c r="Q244">
        <v>-0.57999999999999996</v>
      </c>
      <c r="R244" s="9" t="s">
        <v>765</v>
      </c>
    </row>
    <row r="245" spans="1:18" x14ac:dyDescent="0.25">
      <c r="A245" t="s">
        <v>134</v>
      </c>
      <c r="B245" t="s">
        <v>77</v>
      </c>
      <c r="C245" t="s">
        <v>91</v>
      </c>
      <c r="D245" t="s">
        <v>94</v>
      </c>
      <c r="E245" t="s">
        <v>733</v>
      </c>
      <c r="F245" t="s">
        <v>731</v>
      </c>
      <c r="G245" t="s">
        <v>732</v>
      </c>
      <c r="H245">
        <v>210</v>
      </c>
      <c r="I245">
        <v>40</v>
      </c>
      <c r="J245">
        <v>40</v>
      </c>
      <c r="K245" s="6">
        <v>0.1905</v>
      </c>
      <c r="L245" s="6">
        <v>0.1905</v>
      </c>
      <c r="M245" s="6">
        <v>0</v>
      </c>
      <c r="N245" t="s">
        <v>715</v>
      </c>
      <c r="O245" s="6">
        <v>0.1905</v>
      </c>
      <c r="P245" s="6">
        <v>0.1164</v>
      </c>
      <c r="Q245">
        <v>-7.41</v>
      </c>
      <c r="R245" s="9" t="s">
        <v>765</v>
      </c>
    </row>
    <row r="246" spans="1:18" x14ac:dyDescent="0.25">
      <c r="A246" t="s">
        <v>134</v>
      </c>
      <c r="B246" t="s">
        <v>77</v>
      </c>
      <c r="C246" t="s">
        <v>91</v>
      </c>
      <c r="D246" t="s">
        <v>94</v>
      </c>
      <c r="E246" t="s">
        <v>734</v>
      </c>
      <c r="F246" t="s">
        <v>731</v>
      </c>
      <c r="G246" t="s">
        <v>732</v>
      </c>
      <c r="H246">
        <v>210</v>
      </c>
      <c r="I246">
        <v>158</v>
      </c>
      <c r="J246">
        <v>159</v>
      </c>
      <c r="K246" s="6">
        <v>0.75239999999999996</v>
      </c>
      <c r="L246" s="6">
        <v>0.7571</v>
      </c>
      <c r="M246" s="6">
        <v>0.48</v>
      </c>
      <c r="N246" t="s">
        <v>715</v>
      </c>
      <c r="O246" s="6">
        <v>0.75239999999999996</v>
      </c>
      <c r="P246" s="6">
        <v>0.82550000000000001</v>
      </c>
      <c r="Q246">
        <v>6.83</v>
      </c>
      <c r="R246" s="9" t="s">
        <v>765</v>
      </c>
    </row>
    <row r="247" spans="1:18" x14ac:dyDescent="0.25">
      <c r="A247" t="s">
        <v>134</v>
      </c>
      <c r="B247" t="s">
        <v>77</v>
      </c>
      <c r="C247" t="s">
        <v>91</v>
      </c>
      <c r="D247" t="s">
        <v>94</v>
      </c>
      <c r="E247" t="s">
        <v>735</v>
      </c>
      <c r="F247" t="s">
        <v>736</v>
      </c>
      <c r="G247" t="s">
        <v>714</v>
      </c>
      <c r="H247">
        <v>210</v>
      </c>
      <c r="I247">
        <v>198</v>
      </c>
      <c r="J247">
        <v>199</v>
      </c>
      <c r="K247" s="6">
        <v>0.94289999999999996</v>
      </c>
      <c r="L247" s="6">
        <v>0.9476</v>
      </c>
      <c r="M247" s="6">
        <v>0.48</v>
      </c>
      <c r="N247" t="s">
        <v>715</v>
      </c>
      <c r="O247" s="6">
        <v>0.94289999999999996</v>
      </c>
      <c r="P247" s="6">
        <v>0.94179999999999997</v>
      </c>
      <c r="Q247">
        <v>-0.57999999999999996</v>
      </c>
      <c r="R247" s="9" t="s">
        <v>765</v>
      </c>
    </row>
    <row r="248" spans="1:18" x14ac:dyDescent="0.25">
      <c r="A248" t="s">
        <v>134</v>
      </c>
      <c r="B248" t="s">
        <v>77</v>
      </c>
      <c r="C248" t="s">
        <v>91</v>
      </c>
      <c r="D248" t="s">
        <v>94</v>
      </c>
      <c r="E248" t="s">
        <v>737</v>
      </c>
      <c r="F248" t="s">
        <v>738</v>
      </c>
      <c r="G248" t="s">
        <v>714</v>
      </c>
      <c r="H248">
        <v>210</v>
      </c>
      <c r="I248">
        <v>198</v>
      </c>
      <c r="J248">
        <v>199</v>
      </c>
      <c r="K248" s="6">
        <v>0.94289999999999996</v>
      </c>
      <c r="L248" s="6">
        <v>0.9476</v>
      </c>
      <c r="M248" s="6">
        <v>0.48</v>
      </c>
      <c r="N248" t="s">
        <v>715</v>
      </c>
      <c r="O248" s="6">
        <v>0.94289999999999996</v>
      </c>
      <c r="P248" s="6">
        <v>0.94179999999999997</v>
      </c>
      <c r="Q248">
        <v>-0.57999999999999996</v>
      </c>
      <c r="R248" s="9" t="s">
        <v>765</v>
      </c>
    </row>
    <row r="249" spans="1:18" x14ac:dyDescent="0.25">
      <c r="A249" t="s">
        <v>134</v>
      </c>
      <c r="B249" t="s">
        <v>77</v>
      </c>
      <c r="C249" t="s">
        <v>91</v>
      </c>
      <c r="D249" t="s">
        <v>94</v>
      </c>
      <c r="E249" t="s">
        <v>739</v>
      </c>
      <c r="F249" t="s">
        <v>740</v>
      </c>
      <c r="G249" t="s">
        <v>732</v>
      </c>
      <c r="H249">
        <v>210</v>
      </c>
      <c r="I249">
        <v>198</v>
      </c>
      <c r="J249">
        <v>199</v>
      </c>
      <c r="K249" s="6">
        <v>0.94289999999999996</v>
      </c>
      <c r="L249" s="6">
        <v>0.9476</v>
      </c>
      <c r="M249" s="6">
        <v>0.48</v>
      </c>
      <c r="N249" t="s">
        <v>715</v>
      </c>
      <c r="O249" s="6">
        <v>0.94289999999999996</v>
      </c>
      <c r="P249" s="6">
        <v>0.94179999999999997</v>
      </c>
      <c r="Q249">
        <v>-0.57999999999999996</v>
      </c>
      <c r="R249" s="9" t="s">
        <v>765</v>
      </c>
    </row>
    <row r="250" spans="1:18" x14ac:dyDescent="0.25">
      <c r="A250" t="s">
        <v>134</v>
      </c>
      <c r="B250" t="s">
        <v>77</v>
      </c>
      <c r="C250" t="s">
        <v>94</v>
      </c>
      <c r="D250" t="s">
        <v>96</v>
      </c>
      <c r="E250" t="s">
        <v>712</v>
      </c>
      <c r="F250" t="s">
        <v>713</v>
      </c>
      <c r="G250" t="s">
        <v>714</v>
      </c>
      <c r="H250">
        <v>550</v>
      </c>
      <c r="I250">
        <v>509</v>
      </c>
      <c r="J250">
        <v>508</v>
      </c>
      <c r="K250" s="6">
        <v>0.92549999999999999</v>
      </c>
      <c r="L250" s="6">
        <v>0.92359999999999998</v>
      </c>
      <c r="M250" s="6">
        <v>-0.18</v>
      </c>
      <c r="N250" t="s">
        <v>715</v>
      </c>
      <c r="O250" s="6">
        <v>0.92549999999999999</v>
      </c>
      <c r="P250" s="6">
        <v>0.92359999999999998</v>
      </c>
      <c r="Q250">
        <v>0</v>
      </c>
      <c r="R250" s="9" t="s">
        <v>766</v>
      </c>
    </row>
    <row r="251" spans="1:18" x14ac:dyDescent="0.25">
      <c r="A251" t="s">
        <v>134</v>
      </c>
      <c r="B251" t="s">
        <v>77</v>
      </c>
      <c r="C251" t="s">
        <v>94</v>
      </c>
      <c r="D251" t="s">
        <v>96</v>
      </c>
      <c r="E251" t="s">
        <v>717</v>
      </c>
      <c r="F251" t="s">
        <v>718</v>
      </c>
      <c r="G251" t="s">
        <v>714</v>
      </c>
      <c r="H251">
        <v>550</v>
      </c>
      <c r="I251">
        <v>518</v>
      </c>
      <c r="J251">
        <v>517</v>
      </c>
      <c r="K251" s="6">
        <v>0.94179999999999997</v>
      </c>
      <c r="L251" s="6">
        <v>0.94</v>
      </c>
      <c r="M251" s="6">
        <v>-0.18</v>
      </c>
      <c r="N251" t="s">
        <v>715</v>
      </c>
      <c r="O251" s="6">
        <v>0.94179999999999997</v>
      </c>
      <c r="P251" s="6">
        <v>0.94</v>
      </c>
      <c r="Q251">
        <v>0</v>
      </c>
      <c r="R251" s="9" t="s">
        <v>766</v>
      </c>
    </row>
    <row r="252" spans="1:18" x14ac:dyDescent="0.25">
      <c r="A252" t="s">
        <v>134</v>
      </c>
      <c r="B252" t="s">
        <v>77</v>
      </c>
      <c r="C252" t="s">
        <v>94</v>
      </c>
      <c r="D252" t="s">
        <v>96</v>
      </c>
      <c r="E252" t="s">
        <v>719</v>
      </c>
      <c r="F252" t="s">
        <v>718</v>
      </c>
      <c r="G252" t="s">
        <v>714</v>
      </c>
      <c r="H252">
        <v>550</v>
      </c>
      <c r="I252">
        <v>518</v>
      </c>
      <c r="J252">
        <v>517</v>
      </c>
      <c r="K252" s="6">
        <v>0.94179999999999997</v>
      </c>
      <c r="L252" s="6">
        <v>0.94</v>
      </c>
      <c r="M252" s="6">
        <v>-0.18</v>
      </c>
      <c r="N252" t="s">
        <v>715</v>
      </c>
      <c r="O252" s="6">
        <v>0.94179999999999997</v>
      </c>
      <c r="P252" s="6">
        <v>0.94</v>
      </c>
      <c r="Q252">
        <v>0</v>
      </c>
      <c r="R252" s="9" t="s">
        <v>766</v>
      </c>
    </row>
    <row r="253" spans="1:18" x14ac:dyDescent="0.25">
      <c r="A253" t="s">
        <v>134</v>
      </c>
      <c r="B253" t="s">
        <v>77</v>
      </c>
      <c r="C253" t="s">
        <v>94</v>
      </c>
      <c r="D253" t="s">
        <v>96</v>
      </c>
      <c r="E253" t="s">
        <v>742</v>
      </c>
      <c r="F253" t="s">
        <v>743</v>
      </c>
      <c r="G253" t="s">
        <v>714</v>
      </c>
      <c r="H253">
        <v>550</v>
      </c>
      <c r="I253">
        <v>0</v>
      </c>
      <c r="J253">
        <v>46</v>
      </c>
      <c r="K253" s="6">
        <v>0</v>
      </c>
      <c r="L253" s="6">
        <v>8.3599999999999994E-2</v>
      </c>
      <c r="M253" s="6">
        <v>8.36</v>
      </c>
      <c r="N253" t="s">
        <v>744</v>
      </c>
      <c r="O253" s="6">
        <v>0</v>
      </c>
      <c r="P253" s="6">
        <v>8.3599999999999994E-2</v>
      </c>
      <c r="Q253">
        <v>0</v>
      </c>
      <c r="R253" s="9" t="s">
        <v>766</v>
      </c>
    </row>
    <row r="254" spans="1:18" x14ac:dyDescent="0.25">
      <c r="A254" t="s">
        <v>134</v>
      </c>
      <c r="B254" t="s">
        <v>77</v>
      </c>
      <c r="C254" t="s">
        <v>94</v>
      </c>
      <c r="D254" t="s">
        <v>96</v>
      </c>
      <c r="E254" t="s">
        <v>752</v>
      </c>
      <c r="F254" t="s">
        <v>753</v>
      </c>
      <c r="G254" t="s">
        <v>714</v>
      </c>
      <c r="H254">
        <v>550</v>
      </c>
      <c r="I254">
        <v>5</v>
      </c>
      <c r="J254">
        <v>5</v>
      </c>
      <c r="K254" s="6">
        <v>9.1000000000000004E-3</v>
      </c>
      <c r="L254" s="6">
        <v>9.1000000000000004E-3</v>
      </c>
      <c r="M254" s="6">
        <v>0</v>
      </c>
      <c r="N254" t="s">
        <v>715</v>
      </c>
      <c r="O254" s="6">
        <v>9.1000000000000004E-3</v>
      </c>
      <c r="P254" s="6">
        <v>9.1000000000000004E-3</v>
      </c>
      <c r="Q254">
        <v>0</v>
      </c>
      <c r="R254" s="9" t="s">
        <v>766</v>
      </c>
    </row>
    <row r="255" spans="1:18" x14ac:dyDescent="0.25">
      <c r="A255" t="s">
        <v>134</v>
      </c>
      <c r="B255" t="s">
        <v>77</v>
      </c>
      <c r="C255" t="s">
        <v>94</v>
      </c>
      <c r="D255" t="s">
        <v>96</v>
      </c>
      <c r="E255" t="s">
        <v>720</v>
      </c>
      <c r="F255" t="s">
        <v>721</v>
      </c>
      <c r="G255" t="s">
        <v>714</v>
      </c>
      <c r="H255">
        <v>550</v>
      </c>
      <c r="I255">
        <v>5</v>
      </c>
      <c r="J255">
        <v>5</v>
      </c>
      <c r="K255" s="6">
        <v>9.1000000000000004E-3</v>
      </c>
      <c r="L255" s="6">
        <v>9.1000000000000004E-3</v>
      </c>
      <c r="M255" s="6">
        <v>0</v>
      </c>
      <c r="N255" t="s">
        <v>715</v>
      </c>
      <c r="O255" s="6">
        <v>9.1000000000000004E-3</v>
      </c>
      <c r="P255" s="6">
        <v>9.1000000000000004E-3</v>
      </c>
      <c r="Q255">
        <v>0</v>
      </c>
      <c r="R255" s="9" t="s">
        <v>766</v>
      </c>
    </row>
    <row r="256" spans="1:18" x14ac:dyDescent="0.25">
      <c r="A256" t="s">
        <v>134</v>
      </c>
      <c r="B256" t="s">
        <v>77</v>
      </c>
      <c r="C256" t="s">
        <v>94</v>
      </c>
      <c r="D256" t="s">
        <v>96</v>
      </c>
      <c r="E256" t="s">
        <v>722</v>
      </c>
      <c r="F256" t="s">
        <v>723</v>
      </c>
      <c r="G256" t="s">
        <v>714</v>
      </c>
      <c r="H256">
        <v>550</v>
      </c>
      <c r="I256">
        <v>509</v>
      </c>
      <c r="J256">
        <v>508</v>
      </c>
      <c r="K256" s="6">
        <v>0.92549999999999999</v>
      </c>
      <c r="L256" s="6">
        <v>0.92359999999999998</v>
      </c>
      <c r="M256" s="6">
        <v>-0.18</v>
      </c>
      <c r="N256" t="s">
        <v>715</v>
      </c>
      <c r="O256" s="6">
        <v>0.92549999999999999</v>
      </c>
      <c r="P256" s="6">
        <v>0.92359999999999998</v>
      </c>
      <c r="Q256">
        <v>0</v>
      </c>
      <c r="R256" s="9" t="s">
        <v>766</v>
      </c>
    </row>
    <row r="257" spans="1:18" x14ac:dyDescent="0.25">
      <c r="A257" t="s">
        <v>134</v>
      </c>
      <c r="B257" t="s">
        <v>77</v>
      </c>
      <c r="C257" t="s">
        <v>94</v>
      </c>
      <c r="D257" t="s">
        <v>96</v>
      </c>
      <c r="E257" t="s">
        <v>724</v>
      </c>
      <c r="F257" t="s">
        <v>725</v>
      </c>
      <c r="G257" t="s">
        <v>714</v>
      </c>
      <c r="H257">
        <v>550</v>
      </c>
      <c r="I257">
        <v>518</v>
      </c>
      <c r="J257">
        <v>517</v>
      </c>
      <c r="K257" s="6">
        <v>0.94179999999999997</v>
      </c>
      <c r="L257" s="6">
        <v>0.94</v>
      </c>
      <c r="M257" s="6">
        <v>-0.18</v>
      </c>
      <c r="N257" t="s">
        <v>715</v>
      </c>
      <c r="O257" s="6">
        <v>0.94179999999999997</v>
      </c>
      <c r="P257" s="6">
        <v>0.94</v>
      </c>
      <c r="Q257">
        <v>0</v>
      </c>
      <c r="R257" s="9" t="s">
        <v>766</v>
      </c>
    </row>
    <row r="258" spans="1:18" x14ac:dyDescent="0.25">
      <c r="A258" t="s">
        <v>134</v>
      </c>
      <c r="B258" t="s">
        <v>77</v>
      </c>
      <c r="C258" t="s">
        <v>94</v>
      </c>
      <c r="D258" t="s">
        <v>96</v>
      </c>
      <c r="E258" t="s">
        <v>745</v>
      </c>
      <c r="F258" t="s">
        <v>746</v>
      </c>
      <c r="G258" t="s">
        <v>714</v>
      </c>
      <c r="H258">
        <v>550</v>
      </c>
      <c r="I258">
        <v>0</v>
      </c>
      <c r="J258">
        <v>46</v>
      </c>
      <c r="K258" s="6">
        <v>0</v>
      </c>
      <c r="L258" s="6">
        <v>8.3599999999999994E-2</v>
      </c>
      <c r="M258" s="6">
        <v>8.36</v>
      </c>
      <c r="N258" t="s">
        <v>744</v>
      </c>
      <c r="O258" s="6">
        <v>0</v>
      </c>
      <c r="P258" s="6">
        <v>8.3599999999999994E-2</v>
      </c>
      <c r="Q258">
        <v>0</v>
      </c>
      <c r="R258" s="9" t="s">
        <v>766</v>
      </c>
    </row>
    <row r="259" spans="1:18" x14ac:dyDescent="0.25">
      <c r="A259" t="s">
        <v>134</v>
      </c>
      <c r="B259" t="s">
        <v>77</v>
      </c>
      <c r="C259" t="s">
        <v>94</v>
      </c>
      <c r="D259" t="s">
        <v>96</v>
      </c>
      <c r="E259" t="s">
        <v>726</v>
      </c>
      <c r="F259" t="s">
        <v>727</v>
      </c>
      <c r="G259" t="s">
        <v>714</v>
      </c>
      <c r="H259">
        <v>550</v>
      </c>
      <c r="I259">
        <v>518</v>
      </c>
      <c r="J259">
        <v>517</v>
      </c>
      <c r="K259" s="6">
        <v>0.94179999999999997</v>
      </c>
      <c r="L259" s="6">
        <v>0.94</v>
      </c>
      <c r="M259" s="6">
        <v>-0.18</v>
      </c>
      <c r="N259" t="s">
        <v>715</v>
      </c>
      <c r="O259" s="6">
        <v>0.94179999999999997</v>
      </c>
      <c r="P259" s="6">
        <v>0.94</v>
      </c>
      <c r="Q259">
        <v>0</v>
      </c>
      <c r="R259" s="9" t="s">
        <v>766</v>
      </c>
    </row>
    <row r="260" spans="1:18" x14ac:dyDescent="0.25">
      <c r="A260" t="s">
        <v>134</v>
      </c>
      <c r="B260" t="s">
        <v>77</v>
      </c>
      <c r="C260" t="s">
        <v>94</v>
      </c>
      <c r="D260" t="s">
        <v>96</v>
      </c>
      <c r="E260" t="s">
        <v>728</v>
      </c>
      <c r="F260" t="s">
        <v>729</v>
      </c>
      <c r="G260" t="s">
        <v>714</v>
      </c>
      <c r="H260">
        <v>550</v>
      </c>
      <c r="I260">
        <v>518</v>
      </c>
      <c r="J260">
        <v>517</v>
      </c>
      <c r="K260" s="6">
        <v>0.94179999999999997</v>
      </c>
      <c r="L260" s="6">
        <v>0.94</v>
      </c>
      <c r="M260" s="6">
        <v>-0.18</v>
      </c>
      <c r="N260" t="s">
        <v>715</v>
      </c>
      <c r="O260" s="6">
        <v>0.94179999999999997</v>
      </c>
      <c r="P260" s="6">
        <v>0.94</v>
      </c>
      <c r="Q260">
        <v>0</v>
      </c>
      <c r="R260" s="9" t="s">
        <v>766</v>
      </c>
    </row>
    <row r="261" spans="1:18" x14ac:dyDescent="0.25">
      <c r="A261" t="s">
        <v>134</v>
      </c>
      <c r="B261" t="s">
        <v>77</v>
      </c>
      <c r="C261" t="s">
        <v>94</v>
      </c>
      <c r="D261" t="s">
        <v>96</v>
      </c>
      <c r="E261" t="s">
        <v>730</v>
      </c>
      <c r="F261" t="s">
        <v>731</v>
      </c>
      <c r="G261" t="s">
        <v>732</v>
      </c>
      <c r="H261">
        <v>550</v>
      </c>
      <c r="I261">
        <v>518</v>
      </c>
      <c r="J261">
        <v>517</v>
      </c>
      <c r="K261" s="6">
        <v>0.94179999999999997</v>
      </c>
      <c r="L261" s="6">
        <v>0.94</v>
      </c>
      <c r="M261" s="6">
        <v>-0.18</v>
      </c>
      <c r="N261" t="s">
        <v>715</v>
      </c>
      <c r="O261" s="6">
        <v>0.94179999999999997</v>
      </c>
      <c r="P261" s="6">
        <v>0.94</v>
      </c>
      <c r="Q261">
        <v>0</v>
      </c>
      <c r="R261" s="9" t="s">
        <v>766</v>
      </c>
    </row>
    <row r="262" spans="1:18" x14ac:dyDescent="0.25">
      <c r="A262" t="s">
        <v>134</v>
      </c>
      <c r="B262" t="s">
        <v>77</v>
      </c>
      <c r="C262" t="s">
        <v>94</v>
      </c>
      <c r="D262" t="s">
        <v>96</v>
      </c>
      <c r="E262" t="s">
        <v>733</v>
      </c>
      <c r="F262" t="s">
        <v>731</v>
      </c>
      <c r="G262" t="s">
        <v>732</v>
      </c>
      <c r="H262">
        <v>550</v>
      </c>
      <c r="I262">
        <v>64</v>
      </c>
      <c r="J262">
        <v>64</v>
      </c>
      <c r="K262" s="6">
        <v>0.1164</v>
      </c>
      <c r="L262" s="6">
        <v>0.1164</v>
      </c>
      <c r="M262" s="6">
        <v>0</v>
      </c>
      <c r="N262" t="s">
        <v>715</v>
      </c>
      <c r="O262" s="6">
        <v>0.1164</v>
      </c>
      <c r="P262" s="6">
        <v>0.1164</v>
      </c>
      <c r="Q262">
        <v>0</v>
      </c>
      <c r="R262" s="9" t="s">
        <v>766</v>
      </c>
    </row>
    <row r="263" spans="1:18" x14ac:dyDescent="0.25">
      <c r="A263" t="s">
        <v>134</v>
      </c>
      <c r="B263" t="s">
        <v>77</v>
      </c>
      <c r="C263" t="s">
        <v>94</v>
      </c>
      <c r="D263" t="s">
        <v>96</v>
      </c>
      <c r="E263" t="s">
        <v>734</v>
      </c>
      <c r="F263" t="s">
        <v>731</v>
      </c>
      <c r="G263" t="s">
        <v>732</v>
      </c>
      <c r="H263">
        <v>550</v>
      </c>
      <c r="I263">
        <v>454</v>
      </c>
      <c r="J263">
        <v>453</v>
      </c>
      <c r="K263" s="6">
        <v>0.82550000000000001</v>
      </c>
      <c r="L263" s="6">
        <v>0.8236</v>
      </c>
      <c r="M263" s="6">
        <v>-0.18</v>
      </c>
      <c r="N263" t="s">
        <v>715</v>
      </c>
      <c r="O263" s="6">
        <v>0.82550000000000001</v>
      </c>
      <c r="P263" s="6">
        <v>0.8236</v>
      </c>
      <c r="Q263">
        <v>0</v>
      </c>
      <c r="R263" s="9" t="s">
        <v>766</v>
      </c>
    </row>
    <row r="264" spans="1:18" x14ac:dyDescent="0.25">
      <c r="A264" t="s">
        <v>134</v>
      </c>
      <c r="B264" t="s">
        <v>77</v>
      </c>
      <c r="C264" t="s">
        <v>94</v>
      </c>
      <c r="D264" t="s">
        <v>96</v>
      </c>
      <c r="E264" t="s">
        <v>735</v>
      </c>
      <c r="F264" t="s">
        <v>736</v>
      </c>
      <c r="G264" t="s">
        <v>714</v>
      </c>
      <c r="H264">
        <v>550</v>
      </c>
      <c r="I264">
        <v>518</v>
      </c>
      <c r="J264">
        <v>517</v>
      </c>
      <c r="K264" s="6">
        <v>0.94179999999999997</v>
      </c>
      <c r="L264" s="6">
        <v>0.94</v>
      </c>
      <c r="M264" s="6">
        <v>-0.18</v>
      </c>
      <c r="N264" t="s">
        <v>715</v>
      </c>
      <c r="O264" s="6">
        <v>0.94179999999999997</v>
      </c>
      <c r="P264" s="6">
        <v>0.94</v>
      </c>
      <c r="Q264">
        <v>0</v>
      </c>
      <c r="R264" s="9" t="s">
        <v>766</v>
      </c>
    </row>
    <row r="265" spans="1:18" x14ac:dyDescent="0.25">
      <c r="A265" t="s">
        <v>134</v>
      </c>
      <c r="B265" t="s">
        <v>77</v>
      </c>
      <c r="C265" t="s">
        <v>94</v>
      </c>
      <c r="D265" t="s">
        <v>96</v>
      </c>
      <c r="E265" t="s">
        <v>737</v>
      </c>
      <c r="F265" t="s">
        <v>738</v>
      </c>
      <c r="G265" t="s">
        <v>714</v>
      </c>
      <c r="H265">
        <v>550</v>
      </c>
      <c r="I265">
        <v>518</v>
      </c>
      <c r="J265">
        <v>517</v>
      </c>
      <c r="K265" s="6">
        <v>0.94179999999999997</v>
      </c>
      <c r="L265" s="6">
        <v>0.94</v>
      </c>
      <c r="M265" s="6">
        <v>-0.18</v>
      </c>
      <c r="N265" t="s">
        <v>715</v>
      </c>
      <c r="O265" s="6">
        <v>0.94179999999999997</v>
      </c>
      <c r="P265" s="6">
        <v>0.94</v>
      </c>
      <c r="Q265">
        <v>0</v>
      </c>
      <c r="R265" s="9" t="s">
        <v>766</v>
      </c>
    </row>
    <row r="266" spans="1:18" x14ac:dyDescent="0.25">
      <c r="A266" t="s">
        <v>134</v>
      </c>
      <c r="B266" t="s">
        <v>77</v>
      </c>
      <c r="C266" t="s">
        <v>94</v>
      </c>
      <c r="D266" t="s">
        <v>96</v>
      </c>
      <c r="E266" t="s">
        <v>739</v>
      </c>
      <c r="F266" t="s">
        <v>740</v>
      </c>
      <c r="G266" t="s">
        <v>732</v>
      </c>
      <c r="H266">
        <v>550</v>
      </c>
      <c r="I266">
        <v>518</v>
      </c>
      <c r="J266">
        <v>517</v>
      </c>
      <c r="K266" s="6">
        <v>0.94179999999999997</v>
      </c>
      <c r="L266" s="6">
        <v>0.94</v>
      </c>
      <c r="M266" s="6">
        <v>-0.18</v>
      </c>
      <c r="N266" t="s">
        <v>715</v>
      </c>
      <c r="O266" s="6">
        <v>0.94179999999999997</v>
      </c>
      <c r="P266" s="6">
        <v>0.94</v>
      </c>
      <c r="Q266">
        <v>0</v>
      </c>
      <c r="R266" s="9" t="s">
        <v>766</v>
      </c>
    </row>
    <row r="267" spans="1:18" x14ac:dyDescent="0.25">
      <c r="A267" t="s">
        <v>134</v>
      </c>
      <c r="B267" t="s">
        <v>77</v>
      </c>
      <c r="C267" t="s">
        <v>96</v>
      </c>
      <c r="D267" t="s">
        <v>6</v>
      </c>
      <c r="E267" t="s">
        <v>712</v>
      </c>
      <c r="F267" t="s">
        <v>713</v>
      </c>
      <c r="G267" t="s">
        <v>714</v>
      </c>
      <c r="H267">
        <v>550</v>
      </c>
      <c r="I267">
        <v>508</v>
      </c>
      <c r="J267">
        <v>508</v>
      </c>
      <c r="K267" s="6">
        <v>0.92359999999999998</v>
      </c>
      <c r="L267" s="6">
        <v>0.92359999999999998</v>
      </c>
      <c r="M267" s="6">
        <v>0</v>
      </c>
      <c r="N267" t="s">
        <v>715</v>
      </c>
      <c r="O267" s="6">
        <v>0.92359999999999998</v>
      </c>
      <c r="P267" s="6">
        <v>0.92359999999999998</v>
      </c>
      <c r="Q267">
        <v>0</v>
      </c>
      <c r="R267" s="9" t="s">
        <v>766</v>
      </c>
    </row>
    <row r="268" spans="1:18" x14ac:dyDescent="0.25">
      <c r="A268" t="s">
        <v>134</v>
      </c>
      <c r="B268" t="s">
        <v>77</v>
      </c>
      <c r="C268" t="s">
        <v>96</v>
      </c>
      <c r="D268" t="s">
        <v>6</v>
      </c>
      <c r="E268" t="s">
        <v>717</v>
      </c>
      <c r="F268" t="s">
        <v>718</v>
      </c>
      <c r="G268" t="s">
        <v>714</v>
      </c>
      <c r="H268">
        <v>550</v>
      </c>
      <c r="I268">
        <v>517</v>
      </c>
      <c r="J268">
        <v>517</v>
      </c>
      <c r="K268" s="6">
        <v>0.94</v>
      </c>
      <c r="L268" s="6">
        <v>0.94</v>
      </c>
      <c r="M268" s="6">
        <v>0</v>
      </c>
      <c r="N268" t="s">
        <v>715</v>
      </c>
      <c r="O268" s="6">
        <v>0.94</v>
      </c>
      <c r="P268" s="6">
        <v>0.94</v>
      </c>
      <c r="Q268">
        <v>0</v>
      </c>
      <c r="R268" s="9" t="s">
        <v>766</v>
      </c>
    </row>
    <row r="269" spans="1:18" x14ac:dyDescent="0.25">
      <c r="A269" t="s">
        <v>134</v>
      </c>
      <c r="B269" t="s">
        <v>77</v>
      </c>
      <c r="C269" t="s">
        <v>96</v>
      </c>
      <c r="D269" t="s">
        <v>6</v>
      </c>
      <c r="E269" t="s">
        <v>719</v>
      </c>
      <c r="F269" t="s">
        <v>718</v>
      </c>
      <c r="G269" t="s">
        <v>714</v>
      </c>
      <c r="H269">
        <v>550</v>
      </c>
      <c r="I269">
        <v>517</v>
      </c>
      <c r="J269">
        <v>517</v>
      </c>
      <c r="K269" s="6">
        <v>0.94</v>
      </c>
      <c r="L269" s="6">
        <v>0.94</v>
      </c>
      <c r="M269" s="6">
        <v>0</v>
      </c>
      <c r="N269" t="s">
        <v>715</v>
      </c>
      <c r="O269" s="6">
        <v>0.94</v>
      </c>
      <c r="P269" s="6">
        <v>0.94</v>
      </c>
      <c r="Q269">
        <v>0</v>
      </c>
      <c r="R269" s="9" t="s">
        <v>766</v>
      </c>
    </row>
    <row r="270" spans="1:18" x14ac:dyDescent="0.25">
      <c r="A270" t="s">
        <v>134</v>
      </c>
      <c r="B270" t="s">
        <v>77</v>
      </c>
      <c r="C270" t="s">
        <v>96</v>
      </c>
      <c r="D270" t="s">
        <v>6</v>
      </c>
      <c r="E270" t="s">
        <v>742</v>
      </c>
      <c r="F270" t="s">
        <v>743</v>
      </c>
      <c r="G270" t="s">
        <v>714</v>
      </c>
      <c r="H270">
        <v>550</v>
      </c>
      <c r="I270">
        <v>46</v>
      </c>
      <c r="J270">
        <v>46</v>
      </c>
      <c r="K270" s="6">
        <v>8.3599999999999994E-2</v>
      </c>
      <c r="L270" s="6">
        <v>8.3599999999999994E-2</v>
      </c>
      <c r="M270" s="6">
        <v>0</v>
      </c>
      <c r="N270" t="s">
        <v>715</v>
      </c>
      <c r="O270" s="6">
        <v>8.3599999999999994E-2</v>
      </c>
      <c r="P270" s="6">
        <v>8.3599999999999994E-2</v>
      </c>
      <c r="Q270">
        <v>0</v>
      </c>
      <c r="R270" s="9" t="s">
        <v>766</v>
      </c>
    </row>
    <row r="271" spans="1:18" x14ac:dyDescent="0.25">
      <c r="A271" t="s">
        <v>134</v>
      </c>
      <c r="B271" t="s">
        <v>77</v>
      </c>
      <c r="C271" t="s">
        <v>96</v>
      </c>
      <c r="D271" t="s">
        <v>6</v>
      </c>
      <c r="E271" t="s">
        <v>752</v>
      </c>
      <c r="F271" t="s">
        <v>753</v>
      </c>
      <c r="G271" t="s">
        <v>714</v>
      </c>
      <c r="H271">
        <v>550</v>
      </c>
      <c r="I271">
        <v>5</v>
      </c>
      <c r="J271">
        <v>5</v>
      </c>
      <c r="K271" s="6">
        <v>9.1000000000000004E-3</v>
      </c>
      <c r="L271" s="6">
        <v>9.1000000000000004E-3</v>
      </c>
      <c r="M271" s="6">
        <v>0</v>
      </c>
      <c r="N271" t="s">
        <v>715</v>
      </c>
      <c r="O271" s="6">
        <v>9.1000000000000004E-3</v>
      </c>
      <c r="P271" s="6">
        <v>9.1000000000000004E-3</v>
      </c>
      <c r="Q271">
        <v>0</v>
      </c>
      <c r="R271" s="9" t="s">
        <v>766</v>
      </c>
    </row>
    <row r="272" spans="1:18" x14ac:dyDescent="0.25">
      <c r="A272" t="s">
        <v>134</v>
      </c>
      <c r="B272" t="s">
        <v>77</v>
      </c>
      <c r="C272" t="s">
        <v>96</v>
      </c>
      <c r="D272" t="s">
        <v>6</v>
      </c>
      <c r="E272" t="s">
        <v>720</v>
      </c>
      <c r="F272" t="s">
        <v>721</v>
      </c>
      <c r="G272" t="s">
        <v>714</v>
      </c>
      <c r="H272">
        <v>550</v>
      </c>
      <c r="I272">
        <v>5</v>
      </c>
      <c r="J272">
        <v>5</v>
      </c>
      <c r="K272" s="6">
        <v>9.1000000000000004E-3</v>
      </c>
      <c r="L272" s="6">
        <v>9.1000000000000004E-3</v>
      </c>
      <c r="M272" s="6">
        <v>0</v>
      </c>
      <c r="N272" t="s">
        <v>715</v>
      </c>
      <c r="O272" s="6">
        <v>9.1000000000000004E-3</v>
      </c>
      <c r="P272" s="6">
        <v>9.1000000000000004E-3</v>
      </c>
      <c r="Q272">
        <v>0</v>
      </c>
      <c r="R272" s="9" t="s">
        <v>766</v>
      </c>
    </row>
    <row r="273" spans="1:18" x14ac:dyDescent="0.25">
      <c r="A273" t="s">
        <v>134</v>
      </c>
      <c r="B273" t="s">
        <v>77</v>
      </c>
      <c r="C273" t="s">
        <v>96</v>
      </c>
      <c r="D273" t="s">
        <v>6</v>
      </c>
      <c r="E273" t="s">
        <v>722</v>
      </c>
      <c r="F273" t="s">
        <v>723</v>
      </c>
      <c r="G273" t="s">
        <v>714</v>
      </c>
      <c r="H273">
        <v>550</v>
      </c>
      <c r="I273">
        <v>508</v>
      </c>
      <c r="J273">
        <v>508</v>
      </c>
      <c r="K273" s="6">
        <v>0.92359999999999998</v>
      </c>
      <c r="L273" s="6">
        <v>0.92359999999999998</v>
      </c>
      <c r="M273" s="6">
        <v>0</v>
      </c>
      <c r="N273" t="s">
        <v>715</v>
      </c>
      <c r="O273" s="6">
        <v>0.92359999999999998</v>
      </c>
      <c r="P273" s="6">
        <v>0.92359999999999998</v>
      </c>
      <c r="Q273">
        <v>0</v>
      </c>
      <c r="R273" s="9" t="s">
        <v>766</v>
      </c>
    </row>
    <row r="274" spans="1:18" x14ac:dyDescent="0.25">
      <c r="A274" t="s">
        <v>134</v>
      </c>
      <c r="B274" t="s">
        <v>77</v>
      </c>
      <c r="C274" t="s">
        <v>96</v>
      </c>
      <c r="D274" t="s">
        <v>6</v>
      </c>
      <c r="E274" t="s">
        <v>724</v>
      </c>
      <c r="F274" t="s">
        <v>725</v>
      </c>
      <c r="G274" t="s">
        <v>714</v>
      </c>
      <c r="H274">
        <v>550</v>
      </c>
      <c r="I274">
        <v>517</v>
      </c>
      <c r="J274">
        <v>517</v>
      </c>
      <c r="K274" s="6">
        <v>0.94</v>
      </c>
      <c r="L274" s="6">
        <v>0.94</v>
      </c>
      <c r="M274" s="6">
        <v>0</v>
      </c>
      <c r="N274" t="s">
        <v>715</v>
      </c>
      <c r="O274" s="6">
        <v>0.94</v>
      </c>
      <c r="P274" s="6">
        <v>0.94</v>
      </c>
      <c r="Q274">
        <v>0</v>
      </c>
      <c r="R274" s="9" t="s">
        <v>766</v>
      </c>
    </row>
    <row r="275" spans="1:18" x14ac:dyDescent="0.25">
      <c r="A275" t="s">
        <v>134</v>
      </c>
      <c r="B275" t="s">
        <v>77</v>
      </c>
      <c r="C275" t="s">
        <v>96</v>
      </c>
      <c r="D275" t="s">
        <v>6</v>
      </c>
      <c r="E275" t="s">
        <v>745</v>
      </c>
      <c r="F275" t="s">
        <v>746</v>
      </c>
      <c r="G275" t="s">
        <v>714</v>
      </c>
      <c r="H275">
        <v>550</v>
      </c>
      <c r="I275">
        <v>46</v>
      </c>
      <c r="J275">
        <v>46</v>
      </c>
      <c r="K275" s="6">
        <v>8.3599999999999994E-2</v>
      </c>
      <c r="L275" s="6">
        <v>8.3599999999999994E-2</v>
      </c>
      <c r="M275" s="6">
        <v>0</v>
      </c>
      <c r="N275" t="s">
        <v>715</v>
      </c>
      <c r="O275" s="6">
        <v>8.3599999999999994E-2</v>
      </c>
      <c r="P275" s="6">
        <v>8.3599999999999994E-2</v>
      </c>
      <c r="Q275">
        <v>0</v>
      </c>
      <c r="R275" s="9" t="s">
        <v>766</v>
      </c>
    </row>
    <row r="276" spans="1:18" x14ac:dyDescent="0.25">
      <c r="A276" t="s">
        <v>134</v>
      </c>
      <c r="B276" t="s">
        <v>77</v>
      </c>
      <c r="C276" t="s">
        <v>96</v>
      </c>
      <c r="D276" t="s">
        <v>6</v>
      </c>
      <c r="E276" t="s">
        <v>726</v>
      </c>
      <c r="F276" t="s">
        <v>727</v>
      </c>
      <c r="G276" t="s">
        <v>714</v>
      </c>
      <c r="H276">
        <v>550</v>
      </c>
      <c r="I276">
        <v>517</v>
      </c>
      <c r="J276">
        <v>517</v>
      </c>
      <c r="K276" s="6">
        <v>0.94</v>
      </c>
      <c r="L276" s="6">
        <v>0.94</v>
      </c>
      <c r="M276" s="6">
        <v>0</v>
      </c>
      <c r="N276" t="s">
        <v>715</v>
      </c>
      <c r="O276" s="6">
        <v>0.94</v>
      </c>
      <c r="P276" s="6">
        <v>0.94</v>
      </c>
      <c r="Q276">
        <v>0</v>
      </c>
      <c r="R276" s="9" t="s">
        <v>766</v>
      </c>
    </row>
    <row r="277" spans="1:18" x14ac:dyDescent="0.25">
      <c r="A277" t="s">
        <v>134</v>
      </c>
      <c r="B277" t="s">
        <v>77</v>
      </c>
      <c r="C277" t="s">
        <v>96</v>
      </c>
      <c r="D277" t="s">
        <v>6</v>
      </c>
      <c r="E277" t="s">
        <v>728</v>
      </c>
      <c r="F277" t="s">
        <v>729</v>
      </c>
      <c r="G277" t="s">
        <v>714</v>
      </c>
      <c r="H277">
        <v>550</v>
      </c>
      <c r="I277">
        <v>517</v>
      </c>
      <c r="J277">
        <v>517</v>
      </c>
      <c r="K277" s="6">
        <v>0.94</v>
      </c>
      <c r="L277" s="6">
        <v>0.94</v>
      </c>
      <c r="M277" s="6">
        <v>0</v>
      </c>
      <c r="N277" t="s">
        <v>715</v>
      </c>
      <c r="O277" s="6">
        <v>0.94</v>
      </c>
      <c r="P277" s="6">
        <v>0.94</v>
      </c>
      <c r="Q277">
        <v>0</v>
      </c>
      <c r="R277" s="9" t="s">
        <v>766</v>
      </c>
    </row>
    <row r="278" spans="1:18" x14ac:dyDescent="0.25">
      <c r="A278" t="s">
        <v>134</v>
      </c>
      <c r="B278" t="s">
        <v>77</v>
      </c>
      <c r="C278" t="s">
        <v>96</v>
      </c>
      <c r="D278" t="s">
        <v>6</v>
      </c>
      <c r="E278" t="s">
        <v>730</v>
      </c>
      <c r="F278" t="s">
        <v>731</v>
      </c>
      <c r="G278" t="s">
        <v>732</v>
      </c>
      <c r="H278">
        <v>550</v>
      </c>
      <c r="I278">
        <v>517</v>
      </c>
      <c r="J278">
        <v>517</v>
      </c>
      <c r="K278" s="6">
        <v>0.94</v>
      </c>
      <c r="L278" s="6">
        <v>0.94</v>
      </c>
      <c r="M278" s="6">
        <v>0</v>
      </c>
      <c r="N278" t="s">
        <v>715</v>
      </c>
      <c r="O278" s="6">
        <v>0.94</v>
      </c>
      <c r="P278" s="6">
        <v>0.94</v>
      </c>
      <c r="Q278">
        <v>0</v>
      </c>
      <c r="R278" s="9" t="s">
        <v>766</v>
      </c>
    </row>
    <row r="279" spans="1:18" x14ac:dyDescent="0.25">
      <c r="A279" t="s">
        <v>134</v>
      </c>
      <c r="B279" t="s">
        <v>77</v>
      </c>
      <c r="C279" t="s">
        <v>96</v>
      </c>
      <c r="D279" t="s">
        <v>6</v>
      </c>
      <c r="E279" t="s">
        <v>733</v>
      </c>
      <c r="F279" t="s">
        <v>731</v>
      </c>
      <c r="G279" t="s">
        <v>732</v>
      </c>
      <c r="H279">
        <v>550</v>
      </c>
      <c r="I279">
        <v>64</v>
      </c>
      <c r="J279">
        <v>64</v>
      </c>
      <c r="K279" s="6">
        <v>0.1164</v>
      </c>
      <c r="L279" s="6">
        <v>0.1164</v>
      </c>
      <c r="M279" s="6">
        <v>0</v>
      </c>
      <c r="N279" t="s">
        <v>715</v>
      </c>
      <c r="O279" s="6">
        <v>0.1164</v>
      </c>
      <c r="P279" s="6">
        <v>0.1164</v>
      </c>
      <c r="Q279">
        <v>0</v>
      </c>
      <c r="R279" s="9" t="s">
        <v>766</v>
      </c>
    </row>
    <row r="280" spans="1:18" x14ac:dyDescent="0.25">
      <c r="A280" t="s">
        <v>134</v>
      </c>
      <c r="B280" t="s">
        <v>77</v>
      </c>
      <c r="C280" t="s">
        <v>96</v>
      </c>
      <c r="D280" t="s">
        <v>6</v>
      </c>
      <c r="E280" t="s">
        <v>734</v>
      </c>
      <c r="F280" t="s">
        <v>731</v>
      </c>
      <c r="G280" t="s">
        <v>732</v>
      </c>
      <c r="H280">
        <v>550</v>
      </c>
      <c r="I280">
        <v>453</v>
      </c>
      <c r="J280">
        <v>453</v>
      </c>
      <c r="K280" s="6">
        <v>0.8236</v>
      </c>
      <c r="L280" s="6">
        <v>0.8236</v>
      </c>
      <c r="M280" s="6">
        <v>0</v>
      </c>
      <c r="N280" t="s">
        <v>715</v>
      </c>
      <c r="O280" s="6">
        <v>0.8236</v>
      </c>
      <c r="P280" s="6">
        <v>0.8236</v>
      </c>
      <c r="Q280">
        <v>0</v>
      </c>
      <c r="R280" s="9" t="s">
        <v>766</v>
      </c>
    </row>
    <row r="281" spans="1:18" x14ac:dyDescent="0.25">
      <c r="A281" t="s">
        <v>134</v>
      </c>
      <c r="B281" t="s">
        <v>77</v>
      </c>
      <c r="C281" t="s">
        <v>96</v>
      </c>
      <c r="D281" t="s">
        <v>6</v>
      </c>
      <c r="E281" t="s">
        <v>735</v>
      </c>
      <c r="F281" t="s">
        <v>736</v>
      </c>
      <c r="G281" t="s">
        <v>714</v>
      </c>
      <c r="H281">
        <v>550</v>
      </c>
      <c r="I281">
        <v>517</v>
      </c>
      <c r="J281">
        <v>517</v>
      </c>
      <c r="K281" s="6">
        <v>0.94</v>
      </c>
      <c r="L281" s="6">
        <v>0.94</v>
      </c>
      <c r="M281" s="6">
        <v>0</v>
      </c>
      <c r="N281" t="s">
        <v>715</v>
      </c>
      <c r="O281" s="6">
        <v>0.94</v>
      </c>
      <c r="P281" s="6">
        <v>0.94</v>
      </c>
      <c r="Q281">
        <v>0</v>
      </c>
      <c r="R281" s="9" t="s">
        <v>766</v>
      </c>
    </row>
    <row r="282" spans="1:18" x14ac:dyDescent="0.25">
      <c r="A282" t="s">
        <v>134</v>
      </c>
      <c r="B282" t="s">
        <v>77</v>
      </c>
      <c r="C282" t="s">
        <v>96</v>
      </c>
      <c r="D282" t="s">
        <v>6</v>
      </c>
      <c r="E282" t="s">
        <v>737</v>
      </c>
      <c r="F282" t="s">
        <v>738</v>
      </c>
      <c r="G282" t="s">
        <v>714</v>
      </c>
      <c r="H282">
        <v>550</v>
      </c>
      <c r="I282">
        <v>517</v>
      </c>
      <c r="J282">
        <v>517</v>
      </c>
      <c r="K282" s="6">
        <v>0.94</v>
      </c>
      <c r="L282" s="6">
        <v>0.94</v>
      </c>
      <c r="M282" s="6">
        <v>0</v>
      </c>
      <c r="N282" t="s">
        <v>715</v>
      </c>
      <c r="O282" s="6">
        <v>0.94</v>
      </c>
      <c r="P282" s="6">
        <v>0.94</v>
      </c>
      <c r="Q282">
        <v>0</v>
      </c>
      <c r="R282" s="9" t="s">
        <v>766</v>
      </c>
    </row>
    <row r="283" spans="1:18" x14ac:dyDescent="0.25">
      <c r="A283" t="s">
        <v>134</v>
      </c>
      <c r="B283" t="s">
        <v>77</v>
      </c>
      <c r="C283" t="s">
        <v>96</v>
      </c>
      <c r="D283" t="s">
        <v>6</v>
      </c>
      <c r="E283" t="s">
        <v>739</v>
      </c>
      <c r="F283" t="s">
        <v>740</v>
      </c>
      <c r="G283" t="s">
        <v>732</v>
      </c>
      <c r="H283">
        <v>550</v>
      </c>
      <c r="I283">
        <v>517</v>
      </c>
      <c r="J283">
        <v>517</v>
      </c>
      <c r="K283" s="6">
        <v>0.94</v>
      </c>
      <c r="L283" s="6">
        <v>0.94</v>
      </c>
      <c r="M283" s="6">
        <v>0</v>
      </c>
      <c r="N283" t="s">
        <v>715</v>
      </c>
      <c r="O283" s="6">
        <v>0.94</v>
      </c>
      <c r="P283" s="6">
        <v>0.94</v>
      </c>
      <c r="Q283">
        <v>0</v>
      </c>
      <c r="R283" s="9" t="s">
        <v>766</v>
      </c>
    </row>
    <row r="284" spans="1:18" x14ac:dyDescent="0.25">
      <c r="A284" t="s">
        <v>134</v>
      </c>
      <c r="B284" t="s">
        <v>76</v>
      </c>
      <c r="C284" t="s">
        <v>90</v>
      </c>
      <c r="D284" t="s">
        <v>91</v>
      </c>
      <c r="E284" t="s">
        <v>712</v>
      </c>
      <c r="F284" t="s">
        <v>713</v>
      </c>
      <c r="G284" t="s">
        <v>714</v>
      </c>
      <c r="H284">
        <v>511</v>
      </c>
      <c r="I284">
        <v>465</v>
      </c>
      <c r="J284">
        <v>463</v>
      </c>
      <c r="K284" s="6">
        <v>0.91</v>
      </c>
      <c r="L284" s="6">
        <v>0.90610000000000002</v>
      </c>
      <c r="M284" s="6">
        <v>-0.39</v>
      </c>
      <c r="N284" t="s">
        <v>715</v>
      </c>
      <c r="O284" s="6">
        <v>0.91</v>
      </c>
      <c r="P284" s="6">
        <v>0.74199999999999999</v>
      </c>
      <c r="Q284">
        <v>-16.41</v>
      </c>
      <c r="R284" s="9" t="s">
        <v>767</v>
      </c>
    </row>
    <row r="285" spans="1:18" x14ac:dyDescent="0.25">
      <c r="A285" t="s">
        <v>134</v>
      </c>
      <c r="B285" t="s">
        <v>76</v>
      </c>
      <c r="C285" t="s">
        <v>90</v>
      </c>
      <c r="D285" t="s">
        <v>91</v>
      </c>
      <c r="E285" t="s">
        <v>717</v>
      </c>
      <c r="F285" t="s">
        <v>718</v>
      </c>
      <c r="G285" t="s">
        <v>714</v>
      </c>
      <c r="H285">
        <v>511</v>
      </c>
      <c r="I285">
        <v>465</v>
      </c>
      <c r="J285">
        <v>463</v>
      </c>
      <c r="K285" s="6">
        <v>0.91</v>
      </c>
      <c r="L285" s="6">
        <v>0.90610000000000002</v>
      </c>
      <c r="M285" s="6">
        <v>-0.39</v>
      </c>
      <c r="N285" t="s">
        <v>715</v>
      </c>
      <c r="O285" s="6">
        <v>0.91</v>
      </c>
      <c r="P285" s="6">
        <v>0.89100000000000001</v>
      </c>
      <c r="Q285">
        <v>-1.5</v>
      </c>
      <c r="R285" s="9" t="s">
        <v>767</v>
      </c>
    </row>
    <row r="286" spans="1:18" x14ac:dyDescent="0.25">
      <c r="A286" t="s">
        <v>134</v>
      </c>
      <c r="B286" t="s">
        <v>76</v>
      </c>
      <c r="C286" t="s">
        <v>90</v>
      </c>
      <c r="D286" t="s">
        <v>91</v>
      </c>
      <c r="E286" t="s">
        <v>719</v>
      </c>
      <c r="F286" t="s">
        <v>718</v>
      </c>
      <c r="G286" t="s">
        <v>714</v>
      </c>
      <c r="H286">
        <v>511</v>
      </c>
      <c r="I286">
        <v>465</v>
      </c>
      <c r="J286">
        <v>463</v>
      </c>
      <c r="K286" s="6">
        <v>0.91</v>
      </c>
      <c r="L286" s="6">
        <v>0.90610000000000002</v>
      </c>
      <c r="M286" s="6">
        <v>-0.39</v>
      </c>
      <c r="N286" t="s">
        <v>715</v>
      </c>
      <c r="O286" s="6">
        <v>0.91</v>
      </c>
      <c r="P286" s="6">
        <v>0.89100000000000001</v>
      </c>
      <c r="Q286">
        <v>-1.5</v>
      </c>
      <c r="R286" s="9" t="s">
        <v>767</v>
      </c>
    </row>
    <row r="287" spans="1:18" x14ac:dyDescent="0.25">
      <c r="A287" t="s">
        <v>134</v>
      </c>
      <c r="B287" t="s">
        <v>76</v>
      </c>
      <c r="C287" t="s">
        <v>90</v>
      </c>
      <c r="D287" t="s">
        <v>91</v>
      </c>
      <c r="E287" t="s">
        <v>752</v>
      </c>
      <c r="F287" t="s">
        <v>753</v>
      </c>
      <c r="G287" t="s">
        <v>714</v>
      </c>
      <c r="H287">
        <v>511</v>
      </c>
      <c r="I287">
        <v>149</v>
      </c>
      <c r="J287">
        <v>149</v>
      </c>
      <c r="K287" s="6">
        <v>0.29160000000000003</v>
      </c>
      <c r="L287" s="6">
        <v>0.29160000000000003</v>
      </c>
      <c r="M287" s="6">
        <v>0</v>
      </c>
      <c r="N287" t="s">
        <v>715</v>
      </c>
      <c r="O287" s="6">
        <v>0.29160000000000003</v>
      </c>
      <c r="P287" s="6">
        <v>0.34460000000000002</v>
      </c>
      <c r="Q287">
        <v>5.3</v>
      </c>
      <c r="R287" s="9" t="s">
        <v>767</v>
      </c>
    </row>
    <row r="288" spans="1:18" x14ac:dyDescent="0.25">
      <c r="A288" t="s">
        <v>134</v>
      </c>
      <c r="B288" t="s">
        <v>76</v>
      </c>
      <c r="C288" t="s">
        <v>90</v>
      </c>
      <c r="D288" t="s">
        <v>91</v>
      </c>
      <c r="E288" t="s">
        <v>720</v>
      </c>
      <c r="F288" t="s">
        <v>721</v>
      </c>
      <c r="G288" t="s">
        <v>714</v>
      </c>
      <c r="H288">
        <v>511</v>
      </c>
      <c r="I288">
        <v>20</v>
      </c>
      <c r="J288">
        <v>20</v>
      </c>
      <c r="K288" s="6">
        <v>3.9100000000000003E-2</v>
      </c>
      <c r="L288" s="6">
        <v>3.9100000000000003E-2</v>
      </c>
      <c r="M288" s="6">
        <v>0</v>
      </c>
      <c r="N288" t="s">
        <v>715</v>
      </c>
      <c r="O288" s="6">
        <v>3.9100000000000003E-2</v>
      </c>
      <c r="P288" s="6">
        <v>4.0099999999999997E-2</v>
      </c>
      <c r="Q288">
        <v>0.09</v>
      </c>
      <c r="R288" s="9" t="s">
        <v>767</v>
      </c>
    </row>
    <row r="289" spans="1:18" x14ac:dyDescent="0.25">
      <c r="A289" t="s">
        <v>134</v>
      </c>
      <c r="B289" t="s">
        <v>76</v>
      </c>
      <c r="C289" t="s">
        <v>90</v>
      </c>
      <c r="D289" t="s">
        <v>91</v>
      </c>
      <c r="E289" t="s">
        <v>722</v>
      </c>
      <c r="F289" t="s">
        <v>723</v>
      </c>
      <c r="G289" t="s">
        <v>714</v>
      </c>
      <c r="H289">
        <v>511</v>
      </c>
      <c r="I289">
        <v>465</v>
      </c>
      <c r="J289">
        <v>463</v>
      </c>
      <c r="K289" s="6">
        <v>0.91</v>
      </c>
      <c r="L289" s="6">
        <v>0.90610000000000002</v>
      </c>
      <c r="M289" s="6">
        <v>-0.39</v>
      </c>
      <c r="N289" t="s">
        <v>715</v>
      </c>
      <c r="O289" s="6">
        <v>0.91</v>
      </c>
      <c r="P289" s="6">
        <v>0.74199999999999999</v>
      </c>
      <c r="Q289">
        <v>-16.41</v>
      </c>
      <c r="R289" s="9" t="s">
        <v>767</v>
      </c>
    </row>
    <row r="290" spans="1:18" x14ac:dyDescent="0.25">
      <c r="A290" t="s">
        <v>134</v>
      </c>
      <c r="B290" t="s">
        <v>76</v>
      </c>
      <c r="C290" t="s">
        <v>90</v>
      </c>
      <c r="D290" t="s">
        <v>91</v>
      </c>
      <c r="E290" t="s">
        <v>724</v>
      </c>
      <c r="F290" t="s">
        <v>725</v>
      </c>
      <c r="G290" t="s">
        <v>714</v>
      </c>
      <c r="H290">
        <v>511</v>
      </c>
      <c r="I290">
        <v>465</v>
      </c>
      <c r="J290">
        <v>463</v>
      </c>
      <c r="K290" s="6">
        <v>0.91</v>
      </c>
      <c r="L290" s="6">
        <v>0.90610000000000002</v>
      </c>
      <c r="M290" s="6">
        <v>-0.39</v>
      </c>
      <c r="N290" t="s">
        <v>715</v>
      </c>
      <c r="O290" s="6">
        <v>0.91</v>
      </c>
      <c r="P290" s="6">
        <v>0.89100000000000001</v>
      </c>
      <c r="Q290">
        <v>-1.5</v>
      </c>
      <c r="R290" s="9" t="s">
        <v>767</v>
      </c>
    </row>
    <row r="291" spans="1:18" x14ac:dyDescent="0.25">
      <c r="A291" t="s">
        <v>134</v>
      </c>
      <c r="B291" t="s">
        <v>76</v>
      </c>
      <c r="C291" t="s">
        <v>90</v>
      </c>
      <c r="D291" t="s">
        <v>91</v>
      </c>
      <c r="E291" t="s">
        <v>726</v>
      </c>
      <c r="F291" t="s">
        <v>727</v>
      </c>
      <c r="G291" t="s">
        <v>714</v>
      </c>
      <c r="H291">
        <v>511</v>
      </c>
      <c r="I291">
        <v>465</v>
      </c>
      <c r="J291">
        <v>463</v>
      </c>
      <c r="K291" s="6">
        <v>0.91</v>
      </c>
      <c r="L291" s="6">
        <v>0.90610000000000002</v>
      </c>
      <c r="M291" s="6">
        <v>-0.39</v>
      </c>
      <c r="N291" t="s">
        <v>715</v>
      </c>
      <c r="O291" s="6">
        <v>0.91</v>
      </c>
      <c r="P291" s="6">
        <v>0.89100000000000001</v>
      </c>
      <c r="Q291">
        <v>-1.5</v>
      </c>
      <c r="R291" s="9" t="s">
        <v>767</v>
      </c>
    </row>
    <row r="292" spans="1:18" x14ac:dyDescent="0.25">
      <c r="A292" t="s">
        <v>134</v>
      </c>
      <c r="B292" t="s">
        <v>76</v>
      </c>
      <c r="C292" t="s">
        <v>90</v>
      </c>
      <c r="D292" t="s">
        <v>91</v>
      </c>
      <c r="E292" t="s">
        <v>728</v>
      </c>
      <c r="F292" t="s">
        <v>729</v>
      </c>
      <c r="G292" t="s">
        <v>714</v>
      </c>
      <c r="H292">
        <v>511</v>
      </c>
      <c r="I292">
        <v>465</v>
      </c>
      <c r="J292">
        <v>463</v>
      </c>
      <c r="K292" s="6">
        <v>0.91</v>
      </c>
      <c r="L292" s="6">
        <v>0.90610000000000002</v>
      </c>
      <c r="M292" s="6">
        <v>-0.39</v>
      </c>
      <c r="N292" t="s">
        <v>715</v>
      </c>
      <c r="O292" s="6">
        <v>0.91</v>
      </c>
      <c r="P292" s="6">
        <v>0.89100000000000001</v>
      </c>
      <c r="Q292">
        <v>-1.5</v>
      </c>
      <c r="R292" s="9" t="s">
        <v>767</v>
      </c>
    </row>
    <row r="293" spans="1:18" x14ac:dyDescent="0.25">
      <c r="A293" t="s">
        <v>134</v>
      </c>
      <c r="B293" t="s">
        <v>76</v>
      </c>
      <c r="C293" t="s">
        <v>90</v>
      </c>
      <c r="D293" t="s">
        <v>91</v>
      </c>
      <c r="E293" t="s">
        <v>730</v>
      </c>
      <c r="F293" t="s">
        <v>731</v>
      </c>
      <c r="G293" t="s">
        <v>732</v>
      </c>
      <c r="H293">
        <v>511</v>
      </c>
      <c r="I293">
        <v>465</v>
      </c>
      <c r="J293">
        <v>463</v>
      </c>
      <c r="K293" s="6">
        <v>0.91</v>
      </c>
      <c r="L293" s="6">
        <v>0.90610000000000002</v>
      </c>
      <c r="M293" s="6">
        <v>-0.39</v>
      </c>
      <c r="N293" t="s">
        <v>715</v>
      </c>
      <c r="O293" s="6">
        <v>0.91</v>
      </c>
      <c r="P293" s="6">
        <v>0.89100000000000001</v>
      </c>
      <c r="Q293">
        <v>-1.5</v>
      </c>
      <c r="R293" s="9" t="s">
        <v>767</v>
      </c>
    </row>
    <row r="294" spans="1:18" x14ac:dyDescent="0.25">
      <c r="A294" t="s">
        <v>134</v>
      </c>
      <c r="B294" t="s">
        <v>76</v>
      </c>
      <c r="C294" t="s">
        <v>90</v>
      </c>
      <c r="D294" t="s">
        <v>91</v>
      </c>
      <c r="E294" t="s">
        <v>749</v>
      </c>
      <c r="F294" t="s">
        <v>731</v>
      </c>
      <c r="G294" t="s">
        <v>732</v>
      </c>
      <c r="H294">
        <v>511</v>
      </c>
      <c r="I294">
        <v>6</v>
      </c>
      <c r="J294">
        <v>6</v>
      </c>
      <c r="K294" s="6">
        <v>1.17E-2</v>
      </c>
      <c r="L294" s="6">
        <v>1.17E-2</v>
      </c>
      <c r="M294" s="6">
        <v>0</v>
      </c>
      <c r="N294" t="s">
        <v>715</v>
      </c>
      <c r="O294" s="6">
        <v>1.17E-2</v>
      </c>
      <c r="P294" s="6">
        <v>9.5999999999999992E-3</v>
      </c>
      <c r="Q294">
        <v>-0.21</v>
      </c>
      <c r="R294" s="9" t="s">
        <v>767</v>
      </c>
    </row>
    <row r="295" spans="1:18" x14ac:dyDescent="0.25">
      <c r="A295" t="s">
        <v>134</v>
      </c>
      <c r="B295" t="s">
        <v>76</v>
      </c>
      <c r="C295" t="s">
        <v>90</v>
      </c>
      <c r="D295" t="s">
        <v>91</v>
      </c>
      <c r="E295" t="s">
        <v>733</v>
      </c>
      <c r="F295" t="s">
        <v>731</v>
      </c>
      <c r="G295" t="s">
        <v>732</v>
      </c>
      <c r="H295">
        <v>511</v>
      </c>
      <c r="I295">
        <v>357</v>
      </c>
      <c r="J295">
        <v>355</v>
      </c>
      <c r="K295" s="6">
        <v>0.6986</v>
      </c>
      <c r="L295" s="6">
        <v>0.69469999999999998</v>
      </c>
      <c r="M295" s="6">
        <v>-0.39</v>
      </c>
      <c r="N295" t="s">
        <v>715</v>
      </c>
      <c r="O295" s="6">
        <v>0.6986</v>
      </c>
      <c r="P295" s="6">
        <v>0.67789999999999995</v>
      </c>
      <c r="Q295">
        <v>-1.68</v>
      </c>
      <c r="R295" s="9" t="s">
        <v>767</v>
      </c>
    </row>
    <row r="296" spans="1:18" x14ac:dyDescent="0.25">
      <c r="A296" t="s">
        <v>134</v>
      </c>
      <c r="B296" t="s">
        <v>76</v>
      </c>
      <c r="C296" t="s">
        <v>90</v>
      </c>
      <c r="D296" t="s">
        <v>91</v>
      </c>
      <c r="E296" t="s">
        <v>734</v>
      </c>
      <c r="F296" t="s">
        <v>731</v>
      </c>
      <c r="G296" t="s">
        <v>732</v>
      </c>
      <c r="H296">
        <v>511</v>
      </c>
      <c r="I296">
        <v>102</v>
      </c>
      <c r="J296">
        <v>102</v>
      </c>
      <c r="K296" s="6">
        <v>0.1996</v>
      </c>
      <c r="L296" s="6">
        <v>0.1996</v>
      </c>
      <c r="M296" s="6">
        <v>0</v>
      </c>
      <c r="N296" t="s">
        <v>715</v>
      </c>
      <c r="O296" s="6">
        <v>0.1996</v>
      </c>
      <c r="P296" s="6">
        <v>0.20349999999999999</v>
      </c>
      <c r="Q296">
        <v>0.39</v>
      </c>
      <c r="R296" s="9" t="s">
        <v>767</v>
      </c>
    </row>
    <row r="297" spans="1:18" x14ac:dyDescent="0.25">
      <c r="A297" t="s">
        <v>134</v>
      </c>
      <c r="B297" t="s">
        <v>76</v>
      </c>
      <c r="C297" t="s">
        <v>90</v>
      </c>
      <c r="D297" t="s">
        <v>91</v>
      </c>
      <c r="E297" t="s">
        <v>735</v>
      </c>
      <c r="F297" t="s">
        <v>736</v>
      </c>
      <c r="G297" t="s">
        <v>714</v>
      </c>
      <c r="H297">
        <v>511</v>
      </c>
      <c r="I297">
        <v>465</v>
      </c>
      <c r="J297">
        <v>463</v>
      </c>
      <c r="K297" s="6">
        <v>0.91</v>
      </c>
      <c r="L297" s="6">
        <v>0.90610000000000002</v>
      </c>
      <c r="M297" s="6">
        <v>-0.39</v>
      </c>
      <c r="N297" t="s">
        <v>715</v>
      </c>
      <c r="O297" s="6">
        <v>0.91</v>
      </c>
      <c r="P297" s="6">
        <v>0.89100000000000001</v>
      </c>
      <c r="Q297">
        <v>-1.5</v>
      </c>
      <c r="R297" s="9" t="s">
        <v>767</v>
      </c>
    </row>
    <row r="298" spans="1:18" x14ac:dyDescent="0.25">
      <c r="A298" t="s">
        <v>134</v>
      </c>
      <c r="B298" t="s">
        <v>76</v>
      </c>
      <c r="C298" t="s">
        <v>90</v>
      </c>
      <c r="D298" t="s">
        <v>91</v>
      </c>
      <c r="E298" t="s">
        <v>737</v>
      </c>
      <c r="F298" t="s">
        <v>738</v>
      </c>
      <c r="G298" t="s">
        <v>714</v>
      </c>
      <c r="H298">
        <v>511</v>
      </c>
      <c r="I298">
        <v>465</v>
      </c>
      <c r="J298">
        <v>463</v>
      </c>
      <c r="K298" s="6">
        <v>0.91</v>
      </c>
      <c r="L298" s="6">
        <v>0.90610000000000002</v>
      </c>
      <c r="M298" s="6">
        <v>-0.39</v>
      </c>
      <c r="N298" t="s">
        <v>715</v>
      </c>
      <c r="O298" s="6">
        <v>0.91</v>
      </c>
      <c r="P298" s="6">
        <v>0.89100000000000001</v>
      </c>
      <c r="Q298">
        <v>-1.5</v>
      </c>
      <c r="R298" s="9" t="s">
        <v>767</v>
      </c>
    </row>
    <row r="299" spans="1:18" x14ac:dyDescent="0.25">
      <c r="A299" t="s">
        <v>134</v>
      </c>
      <c r="B299" t="s">
        <v>76</v>
      </c>
      <c r="C299" t="s">
        <v>90</v>
      </c>
      <c r="D299" t="s">
        <v>91</v>
      </c>
      <c r="E299" t="s">
        <v>739</v>
      </c>
      <c r="F299" t="s">
        <v>740</v>
      </c>
      <c r="G299" t="s">
        <v>732</v>
      </c>
      <c r="H299">
        <v>511</v>
      </c>
      <c r="I299">
        <v>465</v>
      </c>
      <c r="J299">
        <v>463</v>
      </c>
      <c r="K299" s="6">
        <v>0.91</v>
      </c>
      <c r="L299" s="6">
        <v>0.90610000000000002</v>
      </c>
      <c r="M299" s="6">
        <v>-0.39</v>
      </c>
      <c r="N299" t="s">
        <v>715</v>
      </c>
      <c r="O299" s="6">
        <v>0.91</v>
      </c>
      <c r="P299" s="6">
        <v>0.89100000000000001</v>
      </c>
      <c r="Q299">
        <v>-1.5</v>
      </c>
      <c r="R299" s="9" t="s">
        <v>767</v>
      </c>
    </row>
    <row r="300" spans="1:18" x14ac:dyDescent="0.25">
      <c r="A300" t="s">
        <v>134</v>
      </c>
      <c r="B300" t="s">
        <v>76</v>
      </c>
      <c r="C300" t="s">
        <v>91</v>
      </c>
      <c r="D300" t="s">
        <v>94</v>
      </c>
      <c r="E300" t="s">
        <v>712</v>
      </c>
      <c r="F300" t="s">
        <v>713</v>
      </c>
      <c r="G300" t="s">
        <v>714</v>
      </c>
      <c r="H300">
        <v>618</v>
      </c>
      <c r="I300">
        <v>463</v>
      </c>
      <c r="J300">
        <v>462</v>
      </c>
      <c r="K300" s="6">
        <v>0.74919999999999998</v>
      </c>
      <c r="L300" s="6">
        <v>0.74760000000000004</v>
      </c>
      <c r="M300" s="6">
        <v>-0.16</v>
      </c>
      <c r="N300" t="s">
        <v>715</v>
      </c>
      <c r="O300" s="6">
        <v>0.74199999999999999</v>
      </c>
      <c r="P300" s="6">
        <v>0.8306</v>
      </c>
      <c r="Q300">
        <v>9.02</v>
      </c>
      <c r="R300" s="9" t="s">
        <v>768</v>
      </c>
    </row>
    <row r="301" spans="1:18" x14ac:dyDescent="0.25">
      <c r="A301" t="s">
        <v>134</v>
      </c>
      <c r="B301" t="s">
        <v>76</v>
      </c>
      <c r="C301" t="s">
        <v>91</v>
      </c>
      <c r="D301" t="s">
        <v>94</v>
      </c>
      <c r="E301" t="s">
        <v>717</v>
      </c>
      <c r="F301" t="s">
        <v>718</v>
      </c>
      <c r="G301" t="s">
        <v>714</v>
      </c>
      <c r="H301">
        <v>618</v>
      </c>
      <c r="I301">
        <v>553</v>
      </c>
      <c r="J301">
        <v>545</v>
      </c>
      <c r="K301" s="6">
        <v>0.89480000000000004</v>
      </c>
      <c r="L301" s="6">
        <v>0.88190000000000002</v>
      </c>
      <c r="M301" s="6">
        <v>-1.29</v>
      </c>
      <c r="N301" t="s">
        <v>715</v>
      </c>
      <c r="O301" s="6">
        <v>0.89100000000000001</v>
      </c>
      <c r="P301" s="6">
        <v>0.89629999999999999</v>
      </c>
      <c r="Q301">
        <v>1.82</v>
      </c>
      <c r="R301" s="9" t="s">
        <v>768</v>
      </c>
    </row>
    <row r="302" spans="1:18" x14ac:dyDescent="0.25">
      <c r="A302" t="s">
        <v>134</v>
      </c>
      <c r="B302" t="s">
        <v>76</v>
      </c>
      <c r="C302" t="s">
        <v>91</v>
      </c>
      <c r="D302" t="s">
        <v>94</v>
      </c>
      <c r="E302" t="s">
        <v>719</v>
      </c>
      <c r="F302" t="s">
        <v>718</v>
      </c>
      <c r="G302" t="s">
        <v>714</v>
      </c>
      <c r="H302">
        <v>618</v>
      </c>
      <c r="I302">
        <v>553</v>
      </c>
      <c r="J302">
        <v>545</v>
      </c>
      <c r="K302" s="6">
        <v>0.89480000000000004</v>
      </c>
      <c r="L302" s="6">
        <v>0.88190000000000002</v>
      </c>
      <c r="M302" s="6">
        <v>-1.29</v>
      </c>
      <c r="N302" t="s">
        <v>715</v>
      </c>
      <c r="O302" s="6">
        <v>0.89100000000000001</v>
      </c>
      <c r="P302" s="6">
        <v>0.89629999999999999</v>
      </c>
      <c r="Q302">
        <v>1.82</v>
      </c>
      <c r="R302" s="9" t="s">
        <v>768</v>
      </c>
    </row>
    <row r="303" spans="1:18" x14ac:dyDescent="0.25">
      <c r="A303" t="s">
        <v>134</v>
      </c>
      <c r="B303" t="s">
        <v>76</v>
      </c>
      <c r="C303" t="s">
        <v>91</v>
      </c>
      <c r="D303" t="s">
        <v>94</v>
      </c>
      <c r="E303" t="s">
        <v>752</v>
      </c>
      <c r="F303" t="s">
        <v>753</v>
      </c>
      <c r="G303" t="s">
        <v>714</v>
      </c>
      <c r="H303">
        <v>618</v>
      </c>
      <c r="I303">
        <v>212</v>
      </c>
      <c r="J303">
        <v>209</v>
      </c>
      <c r="K303" s="6">
        <v>0.34300000000000003</v>
      </c>
      <c r="L303" s="6">
        <v>0.3382</v>
      </c>
      <c r="M303" s="6">
        <v>-0.49</v>
      </c>
      <c r="N303" t="s">
        <v>715</v>
      </c>
      <c r="O303" s="6">
        <v>0.34460000000000002</v>
      </c>
      <c r="P303" s="6">
        <v>0.22090000000000001</v>
      </c>
      <c r="Q303">
        <v>-11.88</v>
      </c>
      <c r="R303" s="9" t="s">
        <v>768</v>
      </c>
    </row>
    <row r="304" spans="1:18" x14ac:dyDescent="0.25">
      <c r="A304" t="s">
        <v>134</v>
      </c>
      <c r="B304" t="s">
        <v>76</v>
      </c>
      <c r="C304" t="s">
        <v>91</v>
      </c>
      <c r="D304" t="s">
        <v>94</v>
      </c>
      <c r="E304" t="s">
        <v>720</v>
      </c>
      <c r="F304" t="s">
        <v>721</v>
      </c>
      <c r="G304" t="s">
        <v>714</v>
      </c>
      <c r="H304">
        <v>618</v>
      </c>
      <c r="I304">
        <v>25</v>
      </c>
      <c r="J304">
        <v>25</v>
      </c>
      <c r="K304" s="6">
        <v>4.0500000000000001E-2</v>
      </c>
      <c r="L304" s="6">
        <v>4.0500000000000001E-2</v>
      </c>
      <c r="M304" s="6">
        <v>0</v>
      </c>
      <c r="N304" t="s">
        <v>715</v>
      </c>
      <c r="O304" s="6">
        <v>4.0099999999999997E-2</v>
      </c>
      <c r="P304" s="6">
        <v>1.9800000000000002E-2</v>
      </c>
      <c r="Q304">
        <v>-2.0299999999999998</v>
      </c>
      <c r="R304" s="9" t="s">
        <v>768</v>
      </c>
    </row>
    <row r="305" spans="1:18" x14ac:dyDescent="0.25">
      <c r="A305" t="s">
        <v>134</v>
      </c>
      <c r="B305" t="s">
        <v>76</v>
      </c>
      <c r="C305" t="s">
        <v>91</v>
      </c>
      <c r="D305" t="s">
        <v>94</v>
      </c>
      <c r="E305" t="s">
        <v>722</v>
      </c>
      <c r="F305" t="s">
        <v>723</v>
      </c>
      <c r="G305" t="s">
        <v>714</v>
      </c>
      <c r="H305">
        <v>618</v>
      </c>
      <c r="I305">
        <v>463</v>
      </c>
      <c r="J305">
        <v>462</v>
      </c>
      <c r="K305" s="6">
        <v>0.74919999999999998</v>
      </c>
      <c r="L305" s="6">
        <v>0.74760000000000004</v>
      </c>
      <c r="M305" s="6">
        <v>-0.16</v>
      </c>
      <c r="N305" t="s">
        <v>715</v>
      </c>
      <c r="O305" s="6">
        <v>0.74199999999999999</v>
      </c>
      <c r="P305" s="6">
        <v>0.8306</v>
      </c>
      <c r="Q305">
        <v>9.02</v>
      </c>
      <c r="R305" s="9" t="s">
        <v>768</v>
      </c>
    </row>
    <row r="306" spans="1:18" x14ac:dyDescent="0.25">
      <c r="A306" t="s">
        <v>134</v>
      </c>
      <c r="B306" t="s">
        <v>76</v>
      </c>
      <c r="C306" t="s">
        <v>91</v>
      </c>
      <c r="D306" t="s">
        <v>94</v>
      </c>
      <c r="E306" t="s">
        <v>724</v>
      </c>
      <c r="F306" t="s">
        <v>725</v>
      </c>
      <c r="G306" t="s">
        <v>714</v>
      </c>
      <c r="H306">
        <v>618</v>
      </c>
      <c r="I306">
        <v>553</v>
      </c>
      <c r="J306">
        <v>545</v>
      </c>
      <c r="K306" s="6">
        <v>0.89480000000000004</v>
      </c>
      <c r="L306" s="6">
        <v>0.88190000000000002</v>
      </c>
      <c r="M306" s="6">
        <v>-1.29</v>
      </c>
      <c r="N306" t="s">
        <v>715</v>
      </c>
      <c r="O306" s="6">
        <v>0.89100000000000001</v>
      </c>
      <c r="P306" s="6">
        <v>0.89629999999999999</v>
      </c>
      <c r="Q306">
        <v>1.82</v>
      </c>
      <c r="R306" s="9" t="s">
        <v>768</v>
      </c>
    </row>
    <row r="307" spans="1:18" x14ac:dyDescent="0.25">
      <c r="A307" t="s">
        <v>134</v>
      </c>
      <c r="B307" t="s">
        <v>76</v>
      </c>
      <c r="C307" t="s">
        <v>91</v>
      </c>
      <c r="D307" t="s">
        <v>94</v>
      </c>
      <c r="E307" t="s">
        <v>726</v>
      </c>
      <c r="F307" t="s">
        <v>727</v>
      </c>
      <c r="G307" t="s">
        <v>714</v>
      </c>
      <c r="H307">
        <v>618</v>
      </c>
      <c r="I307">
        <v>553</v>
      </c>
      <c r="J307">
        <v>545</v>
      </c>
      <c r="K307" s="6">
        <v>0.89480000000000004</v>
      </c>
      <c r="L307" s="6">
        <v>0.88190000000000002</v>
      </c>
      <c r="M307" s="6">
        <v>-1.29</v>
      </c>
      <c r="N307" t="s">
        <v>715</v>
      </c>
      <c r="O307" s="6">
        <v>0.89100000000000001</v>
      </c>
      <c r="P307" s="6">
        <v>0.89629999999999999</v>
      </c>
      <c r="Q307">
        <v>1.82</v>
      </c>
      <c r="R307" s="9" t="s">
        <v>768</v>
      </c>
    </row>
    <row r="308" spans="1:18" x14ac:dyDescent="0.25">
      <c r="A308" t="s">
        <v>134</v>
      </c>
      <c r="B308" t="s">
        <v>76</v>
      </c>
      <c r="C308" t="s">
        <v>91</v>
      </c>
      <c r="D308" t="s">
        <v>94</v>
      </c>
      <c r="E308" t="s">
        <v>728</v>
      </c>
      <c r="F308" t="s">
        <v>729</v>
      </c>
      <c r="G308" t="s">
        <v>714</v>
      </c>
      <c r="H308">
        <v>618</v>
      </c>
      <c r="I308">
        <v>553</v>
      </c>
      <c r="J308">
        <v>545</v>
      </c>
      <c r="K308" s="6">
        <v>0.89480000000000004</v>
      </c>
      <c r="L308" s="6">
        <v>0.88190000000000002</v>
      </c>
      <c r="M308" s="6">
        <v>-1.29</v>
      </c>
      <c r="N308" t="s">
        <v>715</v>
      </c>
      <c r="O308" s="6">
        <v>0.89100000000000001</v>
      </c>
      <c r="P308" s="6">
        <v>0.89629999999999999</v>
      </c>
      <c r="Q308">
        <v>1.82</v>
      </c>
      <c r="R308" s="9" t="s">
        <v>768</v>
      </c>
    </row>
    <row r="309" spans="1:18" x14ac:dyDescent="0.25">
      <c r="A309" t="s">
        <v>134</v>
      </c>
      <c r="B309" t="s">
        <v>76</v>
      </c>
      <c r="C309" t="s">
        <v>91</v>
      </c>
      <c r="D309" t="s">
        <v>94</v>
      </c>
      <c r="E309" t="s">
        <v>730</v>
      </c>
      <c r="F309" t="s">
        <v>731</v>
      </c>
      <c r="G309" t="s">
        <v>732</v>
      </c>
      <c r="H309">
        <v>618</v>
      </c>
      <c r="I309">
        <v>553</v>
      </c>
      <c r="J309">
        <v>545</v>
      </c>
      <c r="K309" s="6">
        <v>0.89480000000000004</v>
      </c>
      <c r="L309" s="6">
        <v>0.88190000000000002</v>
      </c>
      <c r="M309" s="6">
        <v>-1.29</v>
      </c>
      <c r="N309" t="s">
        <v>715</v>
      </c>
      <c r="O309" s="6">
        <v>0.89100000000000001</v>
      </c>
      <c r="P309" s="6">
        <v>0.89629999999999999</v>
      </c>
      <c r="Q309">
        <v>1.82</v>
      </c>
      <c r="R309" s="9" t="s">
        <v>768</v>
      </c>
    </row>
    <row r="310" spans="1:18" x14ac:dyDescent="0.25">
      <c r="A310" t="s">
        <v>134</v>
      </c>
      <c r="B310" t="s">
        <v>76</v>
      </c>
      <c r="C310" t="s">
        <v>91</v>
      </c>
      <c r="D310" t="s">
        <v>94</v>
      </c>
      <c r="E310" t="s">
        <v>749</v>
      </c>
      <c r="F310" t="s">
        <v>731</v>
      </c>
      <c r="G310" t="s">
        <v>732</v>
      </c>
      <c r="H310">
        <v>618</v>
      </c>
      <c r="I310">
        <v>6</v>
      </c>
      <c r="J310">
        <v>6</v>
      </c>
      <c r="K310" s="6">
        <v>9.7000000000000003E-3</v>
      </c>
      <c r="L310" s="6">
        <v>9.7000000000000003E-3</v>
      </c>
      <c r="M310" s="6">
        <v>0</v>
      </c>
      <c r="N310" t="s">
        <v>715</v>
      </c>
      <c r="O310" s="6">
        <v>9.5999999999999992E-3</v>
      </c>
      <c r="P310" s="6">
        <v>4.7999999999999996E-3</v>
      </c>
      <c r="Q310">
        <v>-0.49</v>
      </c>
      <c r="R310" s="9" t="s">
        <v>768</v>
      </c>
    </row>
    <row r="311" spans="1:18" x14ac:dyDescent="0.25">
      <c r="A311" t="s">
        <v>134</v>
      </c>
      <c r="B311" t="s">
        <v>76</v>
      </c>
      <c r="C311" t="s">
        <v>91</v>
      </c>
      <c r="D311" t="s">
        <v>94</v>
      </c>
      <c r="E311" t="s">
        <v>733</v>
      </c>
      <c r="F311" t="s">
        <v>731</v>
      </c>
      <c r="G311" t="s">
        <v>732</v>
      </c>
      <c r="H311">
        <v>618</v>
      </c>
      <c r="I311">
        <v>420</v>
      </c>
      <c r="J311">
        <v>415</v>
      </c>
      <c r="K311" s="6">
        <v>0.67959999999999998</v>
      </c>
      <c r="L311" s="6">
        <v>0.67149999999999999</v>
      </c>
      <c r="M311" s="6">
        <v>-0.81</v>
      </c>
      <c r="N311" t="s">
        <v>715</v>
      </c>
      <c r="O311" s="6">
        <v>0.67789999999999995</v>
      </c>
      <c r="P311" s="6">
        <v>0.51859999999999995</v>
      </c>
      <c r="Q311">
        <v>-15.12</v>
      </c>
      <c r="R311" s="9" t="s">
        <v>768</v>
      </c>
    </row>
    <row r="312" spans="1:18" x14ac:dyDescent="0.25">
      <c r="A312" t="s">
        <v>134</v>
      </c>
      <c r="B312" t="s">
        <v>76</v>
      </c>
      <c r="C312" t="s">
        <v>91</v>
      </c>
      <c r="D312" t="s">
        <v>94</v>
      </c>
      <c r="E312" t="s">
        <v>734</v>
      </c>
      <c r="F312" t="s">
        <v>731</v>
      </c>
      <c r="G312" t="s">
        <v>732</v>
      </c>
      <c r="H312">
        <v>618</v>
      </c>
      <c r="I312">
        <v>127</v>
      </c>
      <c r="J312">
        <v>124</v>
      </c>
      <c r="K312" s="6">
        <v>0.20549999999999999</v>
      </c>
      <c r="L312" s="6">
        <v>0.2006</v>
      </c>
      <c r="M312" s="6">
        <v>-0.49</v>
      </c>
      <c r="N312" t="s">
        <v>715</v>
      </c>
      <c r="O312" s="6">
        <v>0.20349999999999999</v>
      </c>
      <c r="P312" s="6">
        <v>0.37290000000000001</v>
      </c>
      <c r="Q312">
        <v>17.43</v>
      </c>
      <c r="R312" s="9" t="s">
        <v>768</v>
      </c>
    </row>
    <row r="313" spans="1:18" x14ac:dyDescent="0.25">
      <c r="A313" t="s">
        <v>134</v>
      </c>
      <c r="B313" t="s">
        <v>76</v>
      </c>
      <c r="C313" t="s">
        <v>91</v>
      </c>
      <c r="D313" t="s">
        <v>94</v>
      </c>
      <c r="E313" t="s">
        <v>735</v>
      </c>
      <c r="F313" t="s">
        <v>736</v>
      </c>
      <c r="G313" t="s">
        <v>714</v>
      </c>
      <c r="H313">
        <v>618</v>
      </c>
      <c r="I313">
        <v>553</v>
      </c>
      <c r="J313">
        <v>545</v>
      </c>
      <c r="K313" s="6">
        <v>0.89480000000000004</v>
      </c>
      <c r="L313" s="6">
        <v>0.88190000000000002</v>
      </c>
      <c r="M313" s="6">
        <v>-1.29</v>
      </c>
      <c r="N313" t="s">
        <v>715</v>
      </c>
      <c r="O313" s="6">
        <v>0.89100000000000001</v>
      </c>
      <c r="P313" s="6">
        <v>0.89629999999999999</v>
      </c>
      <c r="Q313">
        <v>1.82</v>
      </c>
      <c r="R313" s="9" t="s">
        <v>768</v>
      </c>
    </row>
    <row r="314" spans="1:18" x14ac:dyDescent="0.25">
      <c r="A314" t="s">
        <v>134</v>
      </c>
      <c r="B314" t="s">
        <v>76</v>
      </c>
      <c r="C314" t="s">
        <v>91</v>
      </c>
      <c r="D314" t="s">
        <v>94</v>
      </c>
      <c r="E314" t="s">
        <v>737</v>
      </c>
      <c r="F314" t="s">
        <v>738</v>
      </c>
      <c r="G314" t="s">
        <v>714</v>
      </c>
      <c r="H314">
        <v>618</v>
      </c>
      <c r="I314">
        <v>553</v>
      </c>
      <c r="J314">
        <v>545</v>
      </c>
      <c r="K314" s="6">
        <v>0.89480000000000004</v>
      </c>
      <c r="L314" s="6">
        <v>0.88190000000000002</v>
      </c>
      <c r="M314" s="6">
        <v>-1.29</v>
      </c>
      <c r="N314" t="s">
        <v>715</v>
      </c>
      <c r="O314" s="6">
        <v>0.89100000000000001</v>
      </c>
      <c r="P314" s="6">
        <v>0.89629999999999999</v>
      </c>
      <c r="Q314">
        <v>1.82</v>
      </c>
      <c r="R314" s="9" t="s">
        <v>768</v>
      </c>
    </row>
    <row r="315" spans="1:18" x14ac:dyDescent="0.25">
      <c r="A315" t="s">
        <v>134</v>
      </c>
      <c r="B315" t="s">
        <v>76</v>
      </c>
      <c r="C315" t="s">
        <v>91</v>
      </c>
      <c r="D315" t="s">
        <v>94</v>
      </c>
      <c r="E315" t="s">
        <v>739</v>
      </c>
      <c r="F315" t="s">
        <v>740</v>
      </c>
      <c r="G315" t="s">
        <v>732</v>
      </c>
      <c r="H315">
        <v>618</v>
      </c>
      <c r="I315">
        <v>553</v>
      </c>
      <c r="J315">
        <v>545</v>
      </c>
      <c r="K315" s="6">
        <v>0.89480000000000004</v>
      </c>
      <c r="L315" s="6">
        <v>0.88190000000000002</v>
      </c>
      <c r="M315" s="6">
        <v>-1.29</v>
      </c>
      <c r="N315" t="s">
        <v>715</v>
      </c>
      <c r="O315" s="6">
        <v>0.89100000000000001</v>
      </c>
      <c r="P315" s="6">
        <v>0.89629999999999999</v>
      </c>
      <c r="Q315">
        <v>1.82</v>
      </c>
      <c r="R315" s="9" t="s">
        <v>768</v>
      </c>
    </row>
    <row r="316" spans="1:18" x14ac:dyDescent="0.25">
      <c r="A316" t="s">
        <v>134</v>
      </c>
      <c r="B316" t="s">
        <v>76</v>
      </c>
      <c r="C316" t="s">
        <v>91</v>
      </c>
      <c r="D316" t="s">
        <v>94</v>
      </c>
      <c r="E316" t="s">
        <v>756</v>
      </c>
      <c r="F316" t="s">
        <v>757</v>
      </c>
      <c r="G316" t="s">
        <v>714</v>
      </c>
      <c r="H316">
        <v>618</v>
      </c>
      <c r="I316">
        <v>2</v>
      </c>
      <c r="J316">
        <v>0</v>
      </c>
      <c r="K316" s="6">
        <v>3.2000000000000002E-3</v>
      </c>
      <c r="L316" s="6">
        <v>0</v>
      </c>
      <c r="M316" s="6">
        <v>-0.32</v>
      </c>
      <c r="N316" t="s">
        <v>758</v>
      </c>
      <c r="O316" s="6">
        <v>3.2000000000000002E-3</v>
      </c>
      <c r="P316" s="6">
        <v>0</v>
      </c>
      <c r="Q316">
        <v>0</v>
      </c>
      <c r="R316" s="9" t="s">
        <v>768</v>
      </c>
    </row>
    <row r="317" spans="1:18" x14ac:dyDescent="0.25">
      <c r="A317" t="s">
        <v>134</v>
      </c>
      <c r="B317" t="s">
        <v>76</v>
      </c>
      <c r="C317" t="s">
        <v>94</v>
      </c>
      <c r="D317" t="s">
        <v>96</v>
      </c>
      <c r="E317" t="s">
        <v>712</v>
      </c>
      <c r="F317" t="s">
        <v>713</v>
      </c>
      <c r="G317" t="s">
        <v>714</v>
      </c>
      <c r="H317">
        <v>1252</v>
      </c>
      <c r="I317">
        <v>1049</v>
      </c>
      <c r="J317">
        <v>1049</v>
      </c>
      <c r="K317" s="6">
        <v>0.83789999999999998</v>
      </c>
      <c r="L317" s="6">
        <v>0.83789999999999998</v>
      </c>
      <c r="M317" s="6">
        <v>0</v>
      </c>
      <c r="N317" t="s">
        <v>715</v>
      </c>
      <c r="O317" s="6">
        <v>0.8306</v>
      </c>
      <c r="P317" s="6">
        <v>0.82989999999999997</v>
      </c>
      <c r="Q317">
        <v>-7.0000000000000007E-2</v>
      </c>
      <c r="R317" s="9" t="s">
        <v>769</v>
      </c>
    </row>
    <row r="318" spans="1:18" x14ac:dyDescent="0.25">
      <c r="A318" t="s">
        <v>134</v>
      </c>
      <c r="B318" t="s">
        <v>76</v>
      </c>
      <c r="C318" t="s">
        <v>94</v>
      </c>
      <c r="D318" t="s">
        <v>96</v>
      </c>
      <c r="E318" t="s">
        <v>717</v>
      </c>
      <c r="F318" t="s">
        <v>718</v>
      </c>
      <c r="G318" t="s">
        <v>714</v>
      </c>
      <c r="H318">
        <v>1252</v>
      </c>
      <c r="I318">
        <v>1125</v>
      </c>
      <c r="J318">
        <v>1126</v>
      </c>
      <c r="K318" s="6">
        <v>0.89859999999999995</v>
      </c>
      <c r="L318" s="6">
        <v>0.89939999999999998</v>
      </c>
      <c r="M318" s="6">
        <v>0.08</v>
      </c>
      <c r="N318" t="s">
        <v>715</v>
      </c>
      <c r="O318" s="6">
        <v>0.89629999999999999</v>
      </c>
      <c r="P318" s="6">
        <v>0.89790000000000003</v>
      </c>
      <c r="Q318">
        <v>0.09</v>
      </c>
      <c r="R318" s="9" t="s">
        <v>769</v>
      </c>
    </row>
    <row r="319" spans="1:18" x14ac:dyDescent="0.25">
      <c r="A319" t="s">
        <v>134</v>
      </c>
      <c r="B319" t="s">
        <v>76</v>
      </c>
      <c r="C319" t="s">
        <v>94</v>
      </c>
      <c r="D319" t="s">
        <v>96</v>
      </c>
      <c r="E319" t="s">
        <v>719</v>
      </c>
      <c r="F319" t="s">
        <v>718</v>
      </c>
      <c r="G319" t="s">
        <v>714</v>
      </c>
      <c r="H319">
        <v>1252</v>
      </c>
      <c r="I319">
        <v>1125</v>
      </c>
      <c r="J319">
        <v>1126</v>
      </c>
      <c r="K319" s="6">
        <v>0.89859999999999995</v>
      </c>
      <c r="L319" s="6">
        <v>0.89939999999999998</v>
      </c>
      <c r="M319" s="6">
        <v>0.08</v>
      </c>
      <c r="N319" t="s">
        <v>715</v>
      </c>
      <c r="O319" s="6">
        <v>0.89629999999999999</v>
      </c>
      <c r="P319" s="6">
        <v>0.89790000000000003</v>
      </c>
      <c r="Q319">
        <v>0.09</v>
      </c>
      <c r="R319" s="9" t="s">
        <v>769</v>
      </c>
    </row>
    <row r="320" spans="1:18" x14ac:dyDescent="0.25">
      <c r="A320" t="s">
        <v>134</v>
      </c>
      <c r="B320" t="s">
        <v>76</v>
      </c>
      <c r="C320" t="s">
        <v>94</v>
      </c>
      <c r="D320" t="s">
        <v>96</v>
      </c>
      <c r="E320" t="s">
        <v>742</v>
      </c>
      <c r="F320" t="s">
        <v>743</v>
      </c>
      <c r="G320" t="s">
        <v>714</v>
      </c>
      <c r="H320">
        <v>1252</v>
      </c>
      <c r="I320">
        <v>0</v>
      </c>
      <c r="J320">
        <v>233</v>
      </c>
      <c r="K320" s="6">
        <v>0</v>
      </c>
      <c r="L320" s="6">
        <v>0.18609999999999999</v>
      </c>
      <c r="M320" s="6">
        <v>18.61</v>
      </c>
      <c r="N320" t="s">
        <v>744</v>
      </c>
      <c r="O320" s="6">
        <v>0</v>
      </c>
      <c r="P320" s="6">
        <v>0.18429999999999999</v>
      </c>
      <c r="Q320">
        <v>-0.18</v>
      </c>
      <c r="R320" s="9" t="s">
        <v>769</v>
      </c>
    </row>
    <row r="321" spans="1:18" x14ac:dyDescent="0.25">
      <c r="A321" t="s">
        <v>134</v>
      </c>
      <c r="B321" t="s">
        <v>76</v>
      </c>
      <c r="C321" t="s">
        <v>94</v>
      </c>
      <c r="D321" t="s">
        <v>96</v>
      </c>
      <c r="E321" t="s">
        <v>752</v>
      </c>
      <c r="F321" t="s">
        <v>753</v>
      </c>
      <c r="G321" t="s">
        <v>714</v>
      </c>
      <c r="H321">
        <v>1252</v>
      </c>
      <c r="I321">
        <v>275</v>
      </c>
      <c r="J321">
        <v>271</v>
      </c>
      <c r="K321" s="6">
        <v>0.21959999999999999</v>
      </c>
      <c r="L321" s="6">
        <v>0.2165</v>
      </c>
      <c r="M321" s="6">
        <v>-0.32</v>
      </c>
      <c r="N321" t="s">
        <v>715</v>
      </c>
      <c r="O321" s="6">
        <v>0.22090000000000001</v>
      </c>
      <c r="P321" s="6">
        <v>0.22070000000000001</v>
      </c>
      <c r="Q321">
        <v>0.3</v>
      </c>
      <c r="R321" s="9" t="s">
        <v>769</v>
      </c>
    </row>
    <row r="322" spans="1:18" x14ac:dyDescent="0.25">
      <c r="A322" t="s">
        <v>134</v>
      </c>
      <c r="B322" t="s">
        <v>76</v>
      </c>
      <c r="C322" t="s">
        <v>94</v>
      </c>
      <c r="D322" t="s">
        <v>96</v>
      </c>
      <c r="E322" t="s">
        <v>720</v>
      </c>
      <c r="F322" t="s">
        <v>721</v>
      </c>
      <c r="G322" t="s">
        <v>714</v>
      </c>
      <c r="H322">
        <v>1252</v>
      </c>
      <c r="I322">
        <v>25</v>
      </c>
      <c r="J322">
        <v>25</v>
      </c>
      <c r="K322" s="6">
        <v>0.02</v>
      </c>
      <c r="L322" s="6">
        <v>0.02</v>
      </c>
      <c r="M322" s="6">
        <v>0</v>
      </c>
      <c r="N322" t="s">
        <v>715</v>
      </c>
      <c r="O322" s="6">
        <v>1.9800000000000002E-2</v>
      </c>
      <c r="P322" s="6">
        <v>1.9800000000000002E-2</v>
      </c>
      <c r="Q322">
        <v>0</v>
      </c>
      <c r="R322" s="9" t="s">
        <v>769</v>
      </c>
    </row>
    <row r="323" spans="1:18" x14ac:dyDescent="0.25">
      <c r="A323" t="s">
        <v>134</v>
      </c>
      <c r="B323" t="s">
        <v>76</v>
      </c>
      <c r="C323" t="s">
        <v>94</v>
      </c>
      <c r="D323" t="s">
        <v>96</v>
      </c>
      <c r="E323" t="s">
        <v>722</v>
      </c>
      <c r="F323" t="s">
        <v>723</v>
      </c>
      <c r="G323" t="s">
        <v>714</v>
      </c>
      <c r="H323">
        <v>1252</v>
      </c>
      <c r="I323">
        <v>1049</v>
      </c>
      <c r="J323">
        <v>1049</v>
      </c>
      <c r="K323" s="6">
        <v>0.83789999999999998</v>
      </c>
      <c r="L323" s="6">
        <v>0.83789999999999998</v>
      </c>
      <c r="M323" s="6">
        <v>0</v>
      </c>
      <c r="N323" t="s">
        <v>715</v>
      </c>
      <c r="O323" s="6">
        <v>0.8306</v>
      </c>
      <c r="P323" s="6">
        <v>0.82989999999999997</v>
      </c>
      <c r="Q323">
        <v>-7.0000000000000007E-2</v>
      </c>
      <c r="R323" s="9" t="s">
        <v>769</v>
      </c>
    </row>
    <row r="324" spans="1:18" x14ac:dyDescent="0.25">
      <c r="A324" t="s">
        <v>134</v>
      </c>
      <c r="B324" t="s">
        <v>76</v>
      </c>
      <c r="C324" t="s">
        <v>94</v>
      </c>
      <c r="D324" t="s">
        <v>96</v>
      </c>
      <c r="E324" t="s">
        <v>724</v>
      </c>
      <c r="F324" t="s">
        <v>725</v>
      </c>
      <c r="G324" t="s">
        <v>714</v>
      </c>
      <c r="H324">
        <v>1252</v>
      </c>
      <c r="I324">
        <v>1125</v>
      </c>
      <c r="J324">
        <v>1126</v>
      </c>
      <c r="K324" s="6">
        <v>0.89859999999999995</v>
      </c>
      <c r="L324" s="6">
        <v>0.89939999999999998</v>
      </c>
      <c r="M324" s="6">
        <v>0.08</v>
      </c>
      <c r="N324" t="s">
        <v>715</v>
      </c>
      <c r="O324" s="6">
        <v>0.89629999999999999</v>
      </c>
      <c r="P324" s="6">
        <v>0.89790000000000003</v>
      </c>
      <c r="Q324">
        <v>0.09</v>
      </c>
      <c r="R324" s="9" t="s">
        <v>769</v>
      </c>
    </row>
    <row r="325" spans="1:18" x14ac:dyDescent="0.25">
      <c r="A325" t="s">
        <v>134</v>
      </c>
      <c r="B325" t="s">
        <v>76</v>
      </c>
      <c r="C325" t="s">
        <v>94</v>
      </c>
      <c r="D325" t="s">
        <v>96</v>
      </c>
      <c r="E325" t="s">
        <v>745</v>
      </c>
      <c r="F325" t="s">
        <v>746</v>
      </c>
      <c r="G325" t="s">
        <v>714</v>
      </c>
      <c r="H325">
        <v>1252</v>
      </c>
      <c r="I325">
        <v>0</v>
      </c>
      <c r="J325">
        <v>233</v>
      </c>
      <c r="K325" s="6">
        <v>0</v>
      </c>
      <c r="L325" s="6">
        <v>0.18609999999999999</v>
      </c>
      <c r="M325" s="6">
        <v>18.61</v>
      </c>
      <c r="N325" t="s">
        <v>744</v>
      </c>
      <c r="O325" s="6">
        <v>0</v>
      </c>
      <c r="P325" s="6">
        <v>0.18429999999999999</v>
      </c>
      <c r="Q325">
        <v>-0.18</v>
      </c>
      <c r="R325" s="9" t="s">
        <v>769</v>
      </c>
    </row>
    <row r="326" spans="1:18" x14ac:dyDescent="0.25">
      <c r="A326" t="s">
        <v>134</v>
      </c>
      <c r="B326" t="s">
        <v>76</v>
      </c>
      <c r="C326" t="s">
        <v>94</v>
      </c>
      <c r="D326" t="s">
        <v>96</v>
      </c>
      <c r="E326" t="s">
        <v>726</v>
      </c>
      <c r="F326" t="s">
        <v>727</v>
      </c>
      <c r="G326" t="s">
        <v>714</v>
      </c>
      <c r="H326">
        <v>1252</v>
      </c>
      <c r="I326">
        <v>1125</v>
      </c>
      <c r="J326">
        <v>1126</v>
      </c>
      <c r="K326" s="6">
        <v>0.89859999999999995</v>
      </c>
      <c r="L326" s="6">
        <v>0.89939999999999998</v>
      </c>
      <c r="M326" s="6">
        <v>0.08</v>
      </c>
      <c r="N326" t="s">
        <v>715</v>
      </c>
      <c r="O326" s="6">
        <v>0.89629999999999999</v>
      </c>
      <c r="P326" s="6">
        <v>0.89790000000000003</v>
      </c>
      <c r="Q326">
        <v>0.09</v>
      </c>
      <c r="R326" s="9" t="s">
        <v>769</v>
      </c>
    </row>
    <row r="327" spans="1:18" x14ac:dyDescent="0.25">
      <c r="A327" t="s">
        <v>134</v>
      </c>
      <c r="B327" t="s">
        <v>76</v>
      </c>
      <c r="C327" t="s">
        <v>94</v>
      </c>
      <c r="D327" t="s">
        <v>96</v>
      </c>
      <c r="E327" t="s">
        <v>728</v>
      </c>
      <c r="F327" t="s">
        <v>729</v>
      </c>
      <c r="G327" t="s">
        <v>714</v>
      </c>
      <c r="H327">
        <v>1252</v>
      </c>
      <c r="I327">
        <v>1125</v>
      </c>
      <c r="J327">
        <v>1126</v>
      </c>
      <c r="K327" s="6">
        <v>0.89859999999999995</v>
      </c>
      <c r="L327" s="6">
        <v>0.89939999999999998</v>
      </c>
      <c r="M327" s="6">
        <v>0.08</v>
      </c>
      <c r="N327" t="s">
        <v>715</v>
      </c>
      <c r="O327" s="6">
        <v>0.89629999999999999</v>
      </c>
      <c r="P327" s="6">
        <v>0.89790000000000003</v>
      </c>
      <c r="Q327">
        <v>0.09</v>
      </c>
      <c r="R327" s="9" t="s">
        <v>769</v>
      </c>
    </row>
    <row r="328" spans="1:18" x14ac:dyDescent="0.25">
      <c r="A328" t="s">
        <v>134</v>
      </c>
      <c r="B328" t="s">
        <v>76</v>
      </c>
      <c r="C328" t="s">
        <v>94</v>
      </c>
      <c r="D328" t="s">
        <v>96</v>
      </c>
      <c r="E328" t="s">
        <v>730</v>
      </c>
      <c r="F328" t="s">
        <v>731</v>
      </c>
      <c r="G328" t="s">
        <v>732</v>
      </c>
      <c r="H328">
        <v>1252</v>
      </c>
      <c r="I328">
        <v>1125</v>
      </c>
      <c r="J328">
        <v>1126</v>
      </c>
      <c r="K328" s="6">
        <v>0.89859999999999995</v>
      </c>
      <c r="L328" s="6">
        <v>0.89939999999999998</v>
      </c>
      <c r="M328" s="6">
        <v>0.08</v>
      </c>
      <c r="N328" t="s">
        <v>715</v>
      </c>
      <c r="O328" s="6">
        <v>0.89629999999999999</v>
      </c>
      <c r="P328" s="6">
        <v>0.89790000000000003</v>
      </c>
      <c r="Q328">
        <v>0.09</v>
      </c>
      <c r="R328" s="9" t="s">
        <v>769</v>
      </c>
    </row>
    <row r="329" spans="1:18" x14ac:dyDescent="0.25">
      <c r="A329" t="s">
        <v>134</v>
      </c>
      <c r="B329" t="s">
        <v>76</v>
      </c>
      <c r="C329" t="s">
        <v>94</v>
      </c>
      <c r="D329" t="s">
        <v>96</v>
      </c>
      <c r="E329" t="s">
        <v>749</v>
      </c>
      <c r="F329" t="s">
        <v>731</v>
      </c>
      <c r="G329" t="s">
        <v>732</v>
      </c>
      <c r="H329">
        <v>1252</v>
      </c>
      <c r="I329">
        <v>6</v>
      </c>
      <c r="J329">
        <v>6</v>
      </c>
      <c r="K329" s="6">
        <v>4.7999999999999996E-3</v>
      </c>
      <c r="L329" s="6">
        <v>4.7999999999999996E-3</v>
      </c>
      <c r="M329" s="6">
        <v>0</v>
      </c>
      <c r="N329" t="s">
        <v>715</v>
      </c>
      <c r="O329" s="6">
        <v>4.7999999999999996E-3</v>
      </c>
      <c r="P329" s="6">
        <v>4.7000000000000002E-3</v>
      </c>
      <c r="Q329">
        <v>0</v>
      </c>
      <c r="R329" s="9" t="s">
        <v>769</v>
      </c>
    </row>
    <row r="330" spans="1:18" x14ac:dyDescent="0.25">
      <c r="A330" t="s">
        <v>134</v>
      </c>
      <c r="B330" t="s">
        <v>76</v>
      </c>
      <c r="C330" t="s">
        <v>94</v>
      </c>
      <c r="D330" t="s">
        <v>96</v>
      </c>
      <c r="E330" t="s">
        <v>733</v>
      </c>
      <c r="F330" t="s">
        <v>731</v>
      </c>
      <c r="G330" t="s">
        <v>732</v>
      </c>
      <c r="H330">
        <v>1252</v>
      </c>
      <c r="I330">
        <v>651</v>
      </c>
      <c r="J330">
        <v>652</v>
      </c>
      <c r="K330" s="6">
        <v>0.52</v>
      </c>
      <c r="L330" s="6">
        <v>0.52080000000000004</v>
      </c>
      <c r="M330" s="6">
        <v>0.08</v>
      </c>
      <c r="N330" t="s">
        <v>715</v>
      </c>
      <c r="O330" s="6">
        <v>0.51859999999999995</v>
      </c>
      <c r="P330" s="6">
        <v>0.52290000000000003</v>
      </c>
      <c r="Q330">
        <v>0.35</v>
      </c>
      <c r="R330" s="9" t="s">
        <v>769</v>
      </c>
    </row>
    <row r="331" spans="1:18" x14ac:dyDescent="0.25">
      <c r="A331" t="s">
        <v>134</v>
      </c>
      <c r="B331" t="s">
        <v>76</v>
      </c>
      <c r="C331" t="s">
        <v>94</v>
      </c>
      <c r="D331" t="s">
        <v>96</v>
      </c>
      <c r="E331" t="s">
        <v>734</v>
      </c>
      <c r="F331" t="s">
        <v>731</v>
      </c>
      <c r="G331" t="s">
        <v>732</v>
      </c>
      <c r="H331">
        <v>1252</v>
      </c>
      <c r="I331">
        <v>468</v>
      </c>
      <c r="J331">
        <v>468</v>
      </c>
      <c r="K331" s="6">
        <v>0.37380000000000002</v>
      </c>
      <c r="L331" s="6">
        <v>0.37380000000000002</v>
      </c>
      <c r="M331" s="6">
        <v>0</v>
      </c>
      <c r="N331" t="s">
        <v>715</v>
      </c>
      <c r="O331" s="6">
        <v>0.37290000000000001</v>
      </c>
      <c r="P331" s="6">
        <v>0.37030000000000002</v>
      </c>
      <c r="Q331">
        <v>-0.27</v>
      </c>
      <c r="R331" s="9" t="s">
        <v>769</v>
      </c>
    </row>
    <row r="332" spans="1:18" x14ac:dyDescent="0.25">
      <c r="A332" t="s">
        <v>134</v>
      </c>
      <c r="B332" t="s">
        <v>76</v>
      </c>
      <c r="C332" t="s">
        <v>94</v>
      </c>
      <c r="D332" t="s">
        <v>96</v>
      </c>
      <c r="E332" t="s">
        <v>735</v>
      </c>
      <c r="F332" t="s">
        <v>736</v>
      </c>
      <c r="G332" t="s">
        <v>714</v>
      </c>
      <c r="H332">
        <v>1252</v>
      </c>
      <c r="I332">
        <v>1125</v>
      </c>
      <c r="J332">
        <v>1126</v>
      </c>
      <c r="K332" s="6">
        <v>0.89859999999999995</v>
      </c>
      <c r="L332" s="6">
        <v>0.89939999999999998</v>
      </c>
      <c r="M332" s="6">
        <v>0.08</v>
      </c>
      <c r="N332" t="s">
        <v>715</v>
      </c>
      <c r="O332" s="6">
        <v>0.89629999999999999</v>
      </c>
      <c r="P332" s="6">
        <v>0.89790000000000003</v>
      </c>
      <c r="Q332">
        <v>0.09</v>
      </c>
      <c r="R332" s="9" t="s">
        <v>769</v>
      </c>
    </row>
    <row r="333" spans="1:18" x14ac:dyDescent="0.25">
      <c r="A333" t="s">
        <v>134</v>
      </c>
      <c r="B333" t="s">
        <v>76</v>
      </c>
      <c r="C333" t="s">
        <v>94</v>
      </c>
      <c r="D333" t="s">
        <v>96</v>
      </c>
      <c r="E333" t="s">
        <v>737</v>
      </c>
      <c r="F333" t="s">
        <v>738</v>
      </c>
      <c r="G333" t="s">
        <v>714</v>
      </c>
      <c r="H333">
        <v>1252</v>
      </c>
      <c r="I333">
        <v>1125</v>
      </c>
      <c r="J333">
        <v>1126</v>
      </c>
      <c r="K333" s="6">
        <v>0.89859999999999995</v>
      </c>
      <c r="L333" s="6">
        <v>0.89939999999999998</v>
      </c>
      <c r="M333" s="6">
        <v>0.08</v>
      </c>
      <c r="N333" t="s">
        <v>715</v>
      </c>
      <c r="O333" s="6">
        <v>0.89629999999999999</v>
      </c>
      <c r="P333" s="6">
        <v>0.89790000000000003</v>
      </c>
      <c r="Q333">
        <v>0.09</v>
      </c>
      <c r="R333" s="9" t="s">
        <v>769</v>
      </c>
    </row>
    <row r="334" spans="1:18" x14ac:dyDescent="0.25">
      <c r="A334" t="s">
        <v>134</v>
      </c>
      <c r="B334" t="s">
        <v>76</v>
      </c>
      <c r="C334" t="s">
        <v>94</v>
      </c>
      <c r="D334" t="s">
        <v>96</v>
      </c>
      <c r="E334" t="s">
        <v>739</v>
      </c>
      <c r="F334" t="s">
        <v>740</v>
      </c>
      <c r="G334" t="s">
        <v>732</v>
      </c>
      <c r="H334">
        <v>1252</v>
      </c>
      <c r="I334">
        <v>1125</v>
      </c>
      <c r="J334">
        <v>1126</v>
      </c>
      <c r="K334" s="6">
        <v>0.89859999999999995</v>
      </c>
      <c r="L334" s="6">
        <v>0.89939999999999998</v>
      </c>
      <c r="M334" s="6">
        <v>0.08</v>
      </c>
      <c r="N334" t="s">
        <v>715</v>
      </c>
      <c r="O334" s="6">
        <v>0.89629999999999999</v>
      </c>
      <c r="P334" s="6">
        <v>0.89790000000000003</v>
      </c>
      <c r="Q334">
        <v>0.09</v>
      </c>
      <c r="R334" s="9" t="s">
        <v>769</v>
      </c>
    </row>
    <row r="335" spans="1:18" x14ac:dyDescent="0.25">
      <c r="A335" t="s">
        <v>134</v>
      </c>
      <c r="B335" t="s">
        <v>76</v>
      </c>
      <c r="C335" t="s">
        <v>96</v>
      </c>
      <c r="D335" t="s">
        <v>6</v>
      </c>
      <c r="E335" t="s">
        <v>712</v>
      </c>
      <c r="F335" t="s">
        <v>713</v>
      </c>
      <c r="G335" t="s">
        <v>714</v>
      </c>
      <c r="H335">
        <v>1225</v>
      </c>
      <c r="I335">
        <v>1034</v>
      </c>
      <c r="J335">
        <v>1033</v>
      </c>
      <c r="K335" s="6">
        <v>0.84409999999999996</v>
      </c>
      <c r="L335" s="6">
        <v>0.84330000000000005</v>
      </c>
      <c r="M335" s="6">
        <v>-0.08</v>
      </c>
      <c r="N335" t="s">
        <v>715</v>
      </c>
      <c r="O335" s="6">
        <v>0.82989999999999997</v>
      </c>
      <c r="P335" s="6">
        <v>0.83979999999999999</v>
      </c>
      <c r="Q335">
        <v>1.07</v>
      </c>
      <c r="R335" s="9" t="s">
        <v>770</v>
      </c>
    </row>
    <row r="336" spans="1:18" x14ac:dyDescent="0.25">
      <c r="A336" t="s">
        <v>134</v>
      </c>
      <c r="B336" t="s">
        <v>76</v>
      </c>
      <c r="C336" t="s">
        <v>96</v>
      </c>
      <c r="D336" t="s">
        <v>6</v>
      </c>
      <c r="E336" t="s">
        <v>717</v>
      </c>
      <c r="F336" t="s">
        <v>718</v>
      </c>
      <c r="G336" t="s">
        <v>714</v>
      </c>
      <c r="H336">
        <v>1225</v>
      </c>
      <c r="I336">
        <v>1105</v>
      </c>
      <c r="J336">
        <v>1095</v>
      </c>
      <c r="K336" s="6">
        <v>0.90200000000000002</v>
      </c>
      <c r="L336" s="6">
        <v>0.89390000000000003</v>
      </c>
      <c r="M336" s="6">
        <v>-0.82</v>
      </c>
      <c r="N336" t="s">
        <v>715</v>
      </c>
      <c r="O336" s="6">
        <v>0.89790000000000003</v>
      </c>
      <c r="P336" s="6">
        <v>0.89270000000000005</v>
      </c>
      <c r="Q336">
        <v>0.28999999999999998</v>
      </c>
      <c r="R336" s="9" t="s">
        <v>770</v>
      </c>
    </row>
    <row r="337" spans="1:18" x14ac:dyDescent="0.25">
      <c r="A337" t="s">
        <v>134</v>
      </c>
      <c r="B337" t="s">
        <v>76</v>
      </c>
      <c r="C337" t="s">
        <v>96</v>
      </c>
      <c r="D337" t="s">
        <v>6</v>
      </c>
      <c r="E337" t="s">
        <v>719</v>
      </c>
      <c r="F337" t="s">
        <v>718</v>
      </c>
      <c r="G337" t="s">
        <v>714</v>
      </c>
      <c r="H337">
        <v>1225</v>
      </c>
      <c r="I337">
        <v>1105</v>
      </c>
      <c r="J337">
        <v>1095</v>
      </c>
      <c r="K337" s="6">
        <v>0.90200000000000002</v>
      </c>
      <c r="L337" s="6">
        <v>0.89390000000000003</v>
      </c>
      <c r="M337" s="6">
        <v>-0.82</v>
      </c>
      <c r="N337" t="s">
        <v>715</v>
      </c>
      <c r="O337" s="6">
        <v>0.89790000000000003</v>
      </c>
      <c r="P337" s="6">
        <v>0.89270000000000005</v>
      </c>
      <c r="Q337">
        <v>0.28999999999999998</v>
      </c>
      <c r="R337" s="9" t="s">
        <v>770</v>
      </c>
    </row>
    <row r="338" spans="1:18" x14ac:dyDescent="0.25">
      <c r="A338" t="s">
        <v>134</v>
      </c>
      <c r="B338" t="s">
        <v>76</v>
      </c>
      <c r="C338" t="s">
        <v>96</v>
      </c>
      <c r="D338" t="s">
        <v>6</v>
      </c>
      <c r="E338" t="s">
        <v>742</v>
      </c>
      <c r="F338" t="s">
        <v>743</v>
      </c>
      <c r="G338" t="s">
        <v>714</v>
      </c>
      <c r="H338">
        <v>1225</v>
      </c>
      <c r="I338">
        <v>224</v>
      </c>
      <c r="J338">
        <v>304</v>
      </c>
      <c r="K338" s="6">
        <v>0.18290000000000001</v>
      </c>
      <c r="L338" s="6">
        <v>0.2482</v>
      </c>
      <c r="M338" s="6">
        <v>6.53</v>
      </c>
      <c r="N338" t="s">
        <v>747</v>
      </c>
      <c r="O338" s="6">
        <v>0.18429999999999999</v>
      </c>
      <c r="P338" s="6">
        <v>0.2472</v>
      </c>
      <c r="Q338">
        <v>-0.25</v>
      </c>
      <c r="R338" s="9" t="s">
        <v>770</v>
      </c>
    </row>
    <row r="339" spans="1:18" x14ac:dyDescent="0.25">
      <c r="A339" t="s">
        <v>134</v>
      </c>
      <c r="B339" t="s">
        <v>76</v>
      </c>
      <c r="C339" t="s">
        <v>96</v>
      </c>
      <c r="D339" t="s">
        <v>6</v>
      </c>
      <c r="E339" t="s">
        <v>752</v>
      </c>
      <c r="F339" t="s">
        <v>753</v>
      </c>
      <c r="G339" t="s">
        <v>714</v>
      </c>
      <c r="H339">
        <v>1225</v>
      </c>
      <c r="I339">
        <v>259</v>
      </c>
      <c r="J339">
        <v>252</v>
      </c>
      <c r="K339" s="6">
        <v>0.2114</v>
      </c>
      <c r="L339" s="6">
        <v>0.20569999999999999</v>
      </c>
      <c r="M339" s="6">
        <v>-0.56999999999999995</v>
      </c>
      <c r="N339" t="s">
        <v>715</v>
      </c>
      <c r="O339" s="6">
        <v>0.22070000000000001</v>
      </c>
      <c r="P339" s="6">
        <v>0.2049</v>
      </c>
      <c r="Q339">
        <v>-1.01</v>
      </c>
      <c r="R339" s="9" t="s">
        <v>770</v>
      </c>
    </row>
    <row r="340" spans="1:18" x14ac:dyDescent="0.25">
      <c r="A340" t="s">
        <v>134</v>
      </c>
      <c r="B340" t="s">
        <v>76</v>
      </c>
      <c r="C340" t="s">
        <v>96</v>
      </c>
      <c r="D340" t="s">
        <v>6</v>
      </c>
      <c r="E340" t="s">
        <v>720</v>
      </c>
      <c r="F340" t="s">
        <v>721</v>
      </c>
      <c r="G340" t="s">
        <v>714</v>
      </c>
      <c r="H340">
        <v>1225</v>
      </c>
      <c r="I340">
        <v>25</v>
      </c>
      <c r="J340">
        <v>25</v>
      </c>
      <c r="K340" s="6">
        <v>2.0400000000000001E-2</v>
      </c>
      <c r="L340" s="6">
        <v>2.0400000000000001E-2</v>
      </c>
      <c r="M340" s="6">
        <v>0</v>
      </c>
      <c r="N340" t="s">
        <v>715</v>
      </c>
      <c r="O340" s="6">
        <v>1.9800000000000002E-2</v>
      </c>
      <c r="P340" s="6">
        <v>2.0299999999999999E-2</v>
      </c>
      <c r="Q340">
        <v>0.05</v>
      </c>
      <c r="R340" s="9" t="s">
        <v>770</v>
      </c>
    </row>
    <row r="341" spans="1:18" x14ac:dyDescent="0.25">
      <c r="A341" t="s">
        <v>134</v>
      </c>
      <c r="B341" t="s">
        <v>76</v>
      </c>
      <c r="C341" t="s">
        <v>96</v>
      </c>
      <c r="D341" t="s">
        <v>6</v>
      </c>
      <c r="E341" t="s">
        <v>722</v>
      </c>
      <c r="F341" t="s">
        <v>723</v>
      </c>
      <c r="G341" t="s">
        <v>714</v>
      </c>
      <c r="H341">
        <v>1225</v>
      </c>
      <c r="I341">
        <v>1034</v>
      </c>
      <c r="J341">
        <v>1033</v>
      </c>
      <c r="K341" s="6">
        <v>0.84409999999999996</v>
      </c>
      <c r="L341" s="6">
        <v>0.84330000000000005</v>
      </c>
      <c r="M341" s="6">
        <v>-0.08</v>
      </c>
      <c r="N341" t="s">
        <v>715</v>
      </c>
      <c r="O341" s="6">
        <v>0.82989999999999997</v>
      </c>
      <c r="P341" s="6">
        <v>0.83979999999999999</v>
      </c>
      <c r="Q341">
        <v>1.07</v>
      </c>
      <c r="R341" s="9" t="s">
        <v>770</v>
      </c>
    </row>
    <row r="342" spans="1:18" x14ac:dyDescent="0.25">
      <c r="A342" t="s">
        <v>134</v>
      </c>
      <c r="B342" t="s">
        <v>76</v>
      </c>
      <c r="C342" t="s">
        <v>96</v>
      </c>
      <c r="D342" t="s">
        <v>6</v>
      </c>
      <c r="E342" t="s">
        <v>724</v>
      </c>
      <c r="F342" t="s">
        <v>725</v>
      </c>
      <c r="G342" t="s">
        <v>714</v>
      </c>
      <c r="H342">
        <v>1225</v>
      </c>
      <c r="I342">
        <v>1105</v>
      </c>
      <c r="J342">
        <v>1095</v>
      </c>
      <c r="K342" s="6">
        <v>0.90200000000000002</v>
      </c>
      <c r="L342" s="6">
        <v>0.89390000000000003</v>
      </c>
      <c r="M342" s="6">
        <v>-0.82</v>
      </c>
      <c r="N342" t="s">
        <v>715</v>
      </c>
      <c r="O342" s="6">
        <v>0.89790000000000003</v>
      </c>
      <c r="P342" s="6">
        <v>0.89270000000000005</v>
      </c>
      <c r="Q342">
        <v>0.28999999999999998</v>
      </c>
      <c r="R342" s="9" t="s">
        <v>770</v>
      </c>
    </row>
    <row r="343" spans="1:18" x14ac:dyDescent="0.25">
      <c r="A343" t="s">
        <v>134</v>
      </c>
      <c r="B343" t="s">
        <v>76</v>
      </c>
      <c r="C343" t="s">
        <v>96</v>
      </c>
      <c r="D343" t="s">
        <v>6</v>
      </c>
      <c r="E343" t="s">
        <v>745</v>
      </c>
      <c r="F343" t="s">
        <v>746</v>
      </c>
      <c r="G343" t="s">
        <v>714</v>
      </c>
      <c r="H343">
        <v>1225</v>
      </c>
      <c r="I343">
        <v>224</v>
      </c>
      <c r="J343">
        <v>304</v>
      </c>
      <c r="K343" s="6">
        <v>0.18290000000000001</v>
      </c>
      <c r="L343" s="6">
        <v>0.2482</v>
      </c>
      <c r="M343" s="6">
        <v>6.53</v>
      </c>
      <c r="N343" t="s">
        <v>747</v>
      </c>
      <c r="O343" s="6">
        <v>0.18429999999999999</v>
      </c>
      <c r="P343" s="6">
        <v>0.2472</v>
      </c>
      <c r="Q343">
        <v>-0.25</v>
      </c>
      <c r="R343" s="9" t="s">
        <v>770</v>
      </c>
    </row>
    <row r="344" spans="1:18" x14ac:dyDescent="0.25">
      <c r="A344" t="s">
        <v>134</v>
      </c>
      <c r="B344" t="s">
        <v>76</v>
      </c>
      <c r="C344" t="s">
        <v>96</v>
      </c>
      <c r="D344" t="s">
        <v>6</v>
      </c>
      <c r="E344" t="s">
        <v>726</v>
      </c>
      <c r="F344" t="s">
        <v>727</v>
      </c>
      <c r="G344" t="s">
        <v>714</v>
      </c>
      <c r="H344">
        <v>1225</v>
      </c>
      <c r="I344">
        <v>1105</v>
      </c>
      <c r="J344">
        <v>1095</v>
      </c>
      <c r="K344" s="6">
        <v>0.90200000000000002</v>
      </c>
      <c r="L344" s="6">
        <v>0.89390000000000003</v>
      </c>
      <c r="M344" s="6">
        <v>-0.82</v>
      </c>
      <c r="N344" t="s">
        <v>715</v>
      </c>
      <c r="O344" s="6">
        <v>0.89790000000000003</v>
      </c>
      <c r="P344" s="6">
        <v>0.89270000000000005</v>
      </c>
      <c r="Q344">
        <v>0.28999999999999998</v>
      </c>
      <c r="R344" s="9" t="s">
        <v>770</v>
      </c>
    </row>
    <row r="345" spans="1:18" x14ac:dyDescent="0.25">
      <c r="A345" t="s">
        <v>134</v>
      </c>
      <c r="B345" t="s">
        <v>76</v>
      </c>
      <c r="C345" t="s">
        <v>96</v>
      </c>
      <c r="D345" t="s">
        <v>6</v>
      </c>
      <c r="E345" t="s">
        <v>728</v>
      </c>
      <c r="F345" t="s">
        <v>729</v>
      </c>
      <c r="G345" t="s">
        <v>714</v>
      </c>
      <c r="H345">
        <v>1225</v>
      </c>
      <c r="I345">
        <v>1105</v>
      </c>
      <c r="J345">
        <v>1095</v>
      </c>
      <c r="K345" s="6">
        <v>0.90200000000000002</v>
      </c>
      <c r="L345" s="6">
        <v>0.89390000000000003</v>
      </c>
      <c r="M345" s="6">
        <v>-0.82</v>
      </c>
      <c r="N345" t="s">
        <v>715</v>
      </c>
      <c r="O345" s="6">
        <v>0.89790000000000003</v>
      </c>
      <c r="P345" s="6">
        <v>0.89270000000000005</v>
      </c>
      <c r="Q345">
        <v>0.28999999999999998</v>
      </c>
      <c r="R345" s="9" t="s">
        <v>770</v>
      </c>
    </row>
    <row r="346" spans="1:18" x14ac:dyDescent="0.25">
      <c r="A346" t="s">
        <v>134</v>
      </c>
      <c r="B346" t="s">
        <v>76</v>
      </c>
      <c r="C346" t="s">
        <v>96</v>
      </c>
      <c r="D346" t="s">
        <v>6</v>
      </c>
      <c r="E346" t="s">
        <v>730</v>
      </c>
      <c r="F346" t="s">
        <v>731</v>
      </c>
      <c r="G346" t="s">
        <v>732</v>
      </c>
      <c r="H346">
        <v>1225</v>
      </c>
      <c r="I346">
        <v>1105</v>
      </c>
      <c r="J346">
        <v>1095</v>
      </c>
      <c r="K346" s="6">
        <v>0.90200000000000002</v>
      </c>
      <c r="L346" s="6">
        <v>0.89390000000000003</v>
      </c>
      <c r="M346" s="6">
        <v>-0.82</v>
      </c>
      <c r="N346" t="s">
        <v>715</v>
      </c>
      <c r="O346" s="6">
        <v>0.89790000000000003</v>
      </c>
      <c r="P346" s="6">
        <v>0.89270000000000005</v>
      </c>
      <c r="Q346">
        <v>0.28999999999999998</v>
      </c>
      <c r="R346" s="9" t="s">
        <v>770</v>
      </c>
    </row>
    <row r="347" spans="1:18" x14ac:dyDescent="0.25">
      <c r="A347" t="s">
        <v>134</v>
      </c>
      <c r="B347" t="s">
        <v>76</v>
      </c>
      <c r="C347" t="s">
        <v>96</v>
      </c>
      <c r="D347" t="s">
        <v>6</v>
      </c>
      <c r="E347" t="s">
        <v>749</v>
      </c>
      <c r="F347" t="s">
        <v>731</v>
      </c>
      <c r="G347" t="s">
        <v>732</v>
      </c>
      <c r="H347">
        <v>1225</v>
      </c>
      <c r="I347">
        <v>6</v>
      </c>
      <c r="J347">
        <v>6</v>
      </c>
      <c r="K347" s="6">
        <v>4.8999999999999998E-3</v>
      </c>
      <c r="L347" s="6">
        <v>4.8999999999999998E-3</v>
      </c>
      <c r="M347" s="6">
        <v>0</v>
      </c>
      <c r="N347" t="s">
        <v>715</v>
      </c>
      <c r="O347" s="6">
        <v>4.7000000000000002E-3</v>
      </c>
      <c r="P347" s="6">
        <v>4.8999999999999998E-3</v>
      </c>
      <c r="Q347">
        <v>0.01</v>
      </c>
      <c r="R347" s="9" t="s">
        <v>770</v>
      </c>
    </row>
    <row r="348" spans="1:18" x14ac:dyDescent="0.25">
      <c r="A348" t="s">
        <v>134</v>
      </c>
      <c r="B348" t="s">
        <v>76</v>
      </c>
      <c r="C348" t="s">
        <v>96</v>
      </c>
      <c r="D348" t="s">
        <v>6</v>
      </c>
      <c r="E348" t="s">
        <v>733</v>
      </c>
      <c r="F348" t="s">
        <v>731</v>
      </c>
      <c r="G348" t="s">
        <v>732</v>
      </c>
      <c r="H348">
        <v>1225</v>
      </c>
      <c r="I348">
        <v>631</v>
      </c>
      <c r="J348">
        <v>623</v>
      </c>
      <c r="K348" s="6">
        <v>0.5151</v>
      </c>
      <c r="L348" s="6">
        <v>0.50860000000000005</v>
      </c>
      <c r="M348" s="6">
        <v>-0.65</v>
      </c>
      <c r="N348" t="s">
        <v>715</v>
      </c>
      <c r="O348" s="6">
        <v>0.52290000000000003</v>
      </c>
      <c r="P348" s="6">
        <v>0.50649999999999995</v>
      </c>
      <c r="Q348">
        <v>-0.99</v>
      </c>
      <c r="R348" s="9" t="s">
        <v>770</v>
      </c>
    </row>
    <row r="349" spans="1:18" x14ac:dyDescent="0.25">
      <c r="A349" t="s">
        <v>134</v>
      </c>
      <c r="B349" t="s">
        <v>76</v>
      </c>
      <c r="C349" t="s">
        <v>96</v>
      </c>
      <c r="D349" t="s">
        <v>6</v>
      </c>
      <c r="E349" t="s">
        <v>734</v>
      </c>
      <c r="F349" t="s">
        <v>731</v>
      </c>
      <c r="G349" t="s">
        <v>732</v>
      </c>
      <c r="H349">
        <v>1225</v>
      </c>
      <c r="I349">
        <v>468</v>
      </c>
      <c r="J349">
        <v>466</v>
      </c>
      <c r="K349" s="6">
        <v>0.38200000000000001</v>
      </c>
      <c r="L349" s="6">
        <v>0.38040000000000002</v>
      </c>
      <c r="M349" s="6">
        <v>-0.16</v>
      </c>
      <c r="N349" t="s">
        <v>715</v>
      </c>
      <c r="O349" s="6">
        <v>0.37030000000000002</v>
      </c>
      <c r="P349" s="6">
        <v>0.38129999999999997</v>
      </c>
      <c r="Q349">
        <v>1.27</v>
      </c>
      <c r="R349" s="9" t="s">
        <v>770</v>
      </c>
    </row>
    <row r="350" spans="1:18" x14ac:dyDescent="0.25">
      <c r="A350" t="s">
        <v>134</v>
      </c>
      <c r="B350" t="s">
        <v>76</v>
      </c>
      <c r="C350" t="s">
        <v>96</v>
      </c>
      <c r="D350" t="s">
        <v>6</v>
      </c>
      <c r="E350" t="s">
        <v>735</v>
      </c>
      <c r="F350" t="s">
        <v>736</v>
      </c>
      <c r="G350" t="s">
        <v>714</v>
      </c>
      <c r="H350">
        <v>1225</v>
      </c>
      <c r="I350">
        <v>1105</v>
      </c>
      <c r="J350">
        <v>1095</v>
      </c>
      <c r="K350" s="6">
        <v>0.90200000000000002</v>
      </c>
      <c r="L350" s="6">
        <v>0.89390000000000003</v>
      </c>
      <c r="M350" s="6">
        <v>-0.82</v>
      </c>
      <c r="N350" t="s">
        <v>715</v>
      </c>
      <c r="O350" s="6">
        <v>0.89790000000000003</v>
      </c>
      <c r="P350" s="6">
        <v>0.89270000000000005</v>
      </c>
      <c r="Q350">
        <v>0.28999999999999998</v>
      </c>
      <c r="R350" s="9" t="s">
        <v>770</v>
      </c>
    </row>
    <row r="351" spans="1:18" x14ac:dyDescent="0.25">
      <c r="A351" t="s">
        <v>134</v>
      </c>
      <c r="B351" t="s">
        <v>76</v>
      </c>
      <c r="C351" t="s">
        <v>96</v>
      </c>
      <c r="D351" t="s">
        <v>6</v>
      </c>
      <c r="E351" t="s">
        <v>737</v>
      </c>
      <c r="F351" t="s">
        <v>738</v>
      </c>
      <c r="G351" t="s">
        <v>714</v>
      </c>
      <c r="H351">
        <v>1225</v>
      </c>
      <c r="I351">
        <v>1105</v>
      </c>
      <c r="J351">
        <v>1095</v>
      </c>
      <c r="K351" s="6">
        <v>0.90200000000000002</v>
      </c>
      <c r="L351" s="6">
        <v>0.89390000000000003</v>
      </c>
      <c r="M351" s="6">
        <v>-0.82</v>
      </c>
      <c r="N351" t="s">
        <v>715</v>
      </c>
      <c r="O351" s="6">
        <v>0.89790000000000003</v>
      </c>
      <c r="P351" s="6">
        <v>0.89270000000000005</v>
      </c>
      <c r="Q351">
        <v>0.28999999999999998</v>
      </c>
      <c r="R351" s="9" t="s">
        <v>770</v>
      </c>
    </row>
    <row r="352" spans="1:18" x14ac:dyDescent="0.25">
      <c r="A352" t="s">
        <v>134</v>
      </c>
      <c r="B352" t="s">
        <v>76</v>
      </c>
      <c r="C352" t="s">
        <v>96</v>
      </c>
      <c r="D352" t="s">
        <v>6</v>
      </c>
      <c r="E352" t="s">
        <v>739</v>
      </c>
      <c r="F352" t="s">
        <v>740</v>
      </c>
      <c r="G352" t="s">
        <v>732</v>
      </c>
      <c r="H352">
        <v>1225</v>
      </c>
      <c r="I352">
        <v>1105</v>
      </c>
      <c r="J352">
        <v>1095</v>
      </c>
      <c r="K352" s="6">
        <v>0.90200000000000002</v>
      </c>
      <c r="L352" s="6">
        <v>0.89390000000000003</v>
      </c>
      <c r="M352" s="6">
        <v>-0.82</v>
      </c>
      <c r="N352" t="s">
        <v>715</v>
      </c>
      <c r="O352" s="6">
        <v>0.89790000000000003</v>
      </c>
      <c r="P352" s="6">
        <v>0.89270000000000005</v>
      </c>
      <c r="Q352">
        <v>0.28999999999999998</v>
      </c>
      <c r="R352" s="9" t="s">
        <v>770</v>
      </c>
    </row>
  </sheetData>
  <autoFilter ref="A16:R352" xr:uid="{00000000-0009-0000-0000-00000A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Q35"/>
  <sheetViews>
    <sheetView workbookViewId="0">
      <pane ySplit="14" topLeftCell="A15" activePane="bottomLeft" state="frozen"/>
      <selection pane="bottomLeft"/>
    </sheetView>
  </sheetViews>
  <sheetFormatPr defaultRowHeight="15" x14ac:dyDescent="0.25"/>
  <cols>
    <col min="1" max="1" width="23" customWidth="1"/>
    <col min="2" max="3" width="35" customWidth="1"/>
    <col min="4" max="4" width="11" customWidth="1"/>
    <col min="5" max="5" width="30" customWidth="1"/>
    <col min="6" max="6" width="10" customWidth="1"/>
    <col min="7" max="7" width="9" customWidth="1"/>
    <col min="8" max="8" width="21" customWidth="1"/>
    <col min="9" max="9" width="46" customWidth="1"/>
    <col min="10" max="10" width="35" customWidth="1"/>
    <col min="11" max="12" width="9" customWidth="1"/>
    <col min="13" max="13" width="14" customWidth="1"/>
    <col min="14" max="14" width="13" customWidth="1"/>
    <col min="15" max="16" width="12" customWidth="1"/>
    <col min="17" max="17" width="46" customWidth="1"/>
  </cols>
  <sheetData>
    <row r="1" spans="1:17" ht="17.25" x14ac:dyDescent="0.3">
      <c r="A1" s="1" t="s">
        <v>63</v>
      </c>
    </row>
    <row r="2" spans="1:17" x14ac:dyDescent="0.25">
      <c r="A2" s="2" t="s">
        <v>66</v>
      </c>
    </row>
    <row r="3" spans="1:17" x14ac:dyDescent="0.25">
      <c r="A3" s="2" t="s">
        <v>771</v>
      </c>
    </row>
    <row r="4" spans="1:17" x14ac:dyDescent="0.25">
      <c r="A4" s="2" t="s">
        <v>491</v>
      </c>
    </row>
    <row r="6" spans="1:17" x14ac:dyDescent="0.25">
      <c r="A6" s="7" t="s">
        <v>100</v>
      </c>
    </row>
    <row r="7" spans="1:17" x14ac:dyDescent="0.25">
      <c r="A7" s="7" t="s">
        <v>101</v>
      </c>
    </row>
    <row r="8" spans="1:17" x14ac:dyDescent="0.25">
      <c r="A8" s="7" t="s">
        <v>772</v>
      </c>
    </row>
    <row r="9" spans="1:17" x14ac:dyDescent="0.25">
      <c r="A9" s="2" t="s">
        <v>773</v>
      </c>
    </row>
    <row r="10" spans="1:17" x14ac:dyDescent="0.25">
      <c r="A10" s="2" t="s">
        <v>774</v>
      </c>
    </row>
    <row r="11" spans="1:17" x14ac:dyDescent="0.25">
      <c r="A11" s="2" t="s">
        <v>775</v>
      </c>
    </row>
    <row r="12" spans="1:17" x14ac:dyDescent="0.25">
      <c r="A12" s="2" t="s">
        <v>776</v>
      </c>
    </row>
    <row r="14" spans="1:17" x14ac:dyDescent="0.25">
      <c r="A14" s="5" t="s">
        <v>108</v>
      </c>
      <c r="B14" s="5" t="s">
        <v>702</v>
      </c>
      <c r="C14" s="5" t="s">
        <v>703</v>
      </c>
      <c r="D14" s="5" t="s">
        <v>704</v>
      </c>
      <c r="E14" s="5" t="s">
        <v>777</v>
      </c>
      <c r="F14" s="5" t="s">
        <v>778</v>
      </c>
      <c r="G14" s="5" t="s">
        <v>110</v>
      </c>
      <c r="H14" s="5" t="s">
        <v>779</v>
      </c>
      <c r="I14" s="5" t="s">
        <v>780</v>
      </c>
      <c r="J14" s="5" t="s">
        <v>781</v>
      </c>
      <c r="K14" s="5" t="s">
        <v>782</v>
      </c>
      <c r="L14" s="5" t="s">
        <v>783</v>
      </c>
      <c r="M14" s="5" t="s">
        <v>784</v>
      </c>
      <c r="N14" s="5" t="s">
        <v>785</v>
      </c>
      <c r="O14" s="5" t="s">
        <v>175</v>
      </c>
      <c r="P14" s="5" t="s">
        <v>176</v>
      </c>
      <c r="Q14" s="5" t="s">
        <v>786</v>
      </c>
    </row>
    <row r="15" spans="1:17" x14ac:dyDescent="0.25">
      <c r="A15" t="s">
        <v>134</v>
      </c>
      <c r="B15" t="s">
        <v>717</v>
      </c>
      <c r="C15" t="s">
        <v>718</v>
      </c>
      <c r="D15" t="s">
        <v>714</v>
      </c>
      <c r="E15" t="s">
        <v>787</v>
      </c>
      <c r="F15" t="b">
        <v>0</v>
      </c>
      <c r="G15">
        <v>33039</v>
      </c>
      <c r="H15" s="6">
        <v>0.88009999999999999</v>
      </c>
      <c r="I15" t="s">
        <v>788</v>
      </c>
      <c r="J15" t="s">
        <v>789</v>
      </c>
      <c r="K15">
        <v>19</v>
      </c>
      <c r="L15">
        <v>68</v>
      </c>
      <c r="M15" t="s">
        <v>90</v>
      </c>
      <c r="N15" t="s">
        <v>6</v>
      </c>
      <c r="O15" t="s">
        <v>790</v>
      </c>
      <c r="P15" t="s">
        <v>421</v>
      </c>
      <c r="Q15" t="s">
        <v>791</v>
      </c>
    </row>
    <row r="16" spans="1:17" x14ac:dyDescent="0.25">
      <c r="A16" t="s">
        <v>134</v>
      </c>
      <c r="B16" t="s">
        <v>737</v>
      </c>
      <c r="C16" t="s">
        <v>738</v>
      </c>
      <c r="D16" t="s">
        <v>714</v>
      </c>
      <c r="E16" t="s">
        <v>792</v>
      </c>
      <c r="F16" t="b">
        <v>0</v>
      </c>
      <c r="G16">
        <v>33039</v>
      </c>
      <c r="H16" s="6">
        <v>0.88009999999999999</v>
      </c>
      <c r="I16" t="s">
        <v>788</v>
      </c>
      <c r="J16" t="s">
        <v>789</v>
      </c>
      <c r="K16">
        <v>19</v>
      </c>
      <c r="L16">
        <v>68</v>
      </c>
      <c r="M16" t="s">
        <v>90</v>
      </c>
      <c r="N16" t="s">
        <v>6</v>
      </c>
      <c r="O16" t="s">
        <v>790</v>
      </c>
      <c r="P16" t="s">
        <v>421</v>
      </c>
      <c r="Q16" t="s">
        <v>793</v>
      </c>
    </row>
    <row r="17" spans="1:17" x14ac:dyDescent="0.25">
      <c r="A17" t="s">
        <v>134</v>
      </c>
      <c r="B17" t="s">
        <v>735</v>
      </c>
      <c r="C17" t="s">
        <v>736</v>
      </c>
      <c r="D17" t="s">
        <v>714</v>
      </c>
      <c r="E17" t="s">
        <v>792</v>
      </c>
      <c r="F17" t="b">
        <v>0</v>
      </c>
      <c r="G17">
        <v>33039</v>
      </c>
      <c r="H17" s="6">
        <v>0.88009999999999999</v>
      </c>
      <c r="I17" t="s">
        <v>788</v>
      </c>
      <c r="J17" t="s">
        <v>789</v>
      </c>
      <c r="K17">
        <v>19</v>
      </c>
      <c r="L17">
        <v>68</v>
      </c>
      <c r="M17" t="s">
        <v>90</v>
      </c>
      <c r="N17" t="s">
        <v>6</v>
      </c>
      <c r="O17" t="s">
        <v>790</v>
      </c>
      <c r="P17" t="s">
        <v>421</v>
      </c>
      <c r="Q17" t="s">
        <v>736</v>
      </c>
    </row>
    <row r="18" spans="1:17" x14ac:dyDescent="0.25">
      <c r="A18" t="s">
        <v>134</v>
      </c>
      <c r="B18" t="s">
        <v>728</v>
      </c>
      <c r="C18" t="s">
        <v>729</v>
      </c>
      <c r="D18" t="s">
        <v>714</v>
      </c>
      <c r="E18" t="s">
        <v>794</v>
      </c>
      <c r="F18" t="b">
        <v>0</v>
      </c>
      <c r="G18">
        <v>33039</v>
      </c>
      <c r="H18" s="6">
        <v>0.88009999999999999</v>
      </c>
      <c r="I18" t="s">
        <v>788</v>
      </c>
      <c r="J18" t="s">
        <v>789</v>
      </c>
      <c r="K18">
        <v>19</v>
      </c>
      <c r="L18">
        <v>68</v>
      </c>
      <c r="M18" t="s">
        <v>90</v>
      </c>
      <c r="N18" t="s">
        <v>6</v>
      </c>
      <c r="O18" t="s">
        <v>790</v>
      </c>
      <c r="P18" t="s">
        <v>421</v>
      </c>
      <c r="Q18" t="s">
        <v>795</v>
      </c>
    </row>
    <row r="19" spans="1:17" x14ac:dyDescent="0.25">
      <c r="A19" t="s">
        <v>134</v>
      </c>
      <c r="B19" t="s">
        <v>719</v>
      </c>
      <c r="C19" t="s">
        <v>718</v>
      </c>
      <c r="D19" t="s">
        <v>714</v>
      </c>
      <c r="E19" t="s">
        <v>796</v>
      </c>
      <c r="F19" t="b">
        <v>0</v>
      </c>
      <c r="G19">
        <v>33039</v>
      </c>
      <c r="H19" s="6">
        <v>0.88009999999999999</v>
      </c>
      <c r="I19" t="s">
        <v>788</v>
      </c>
      <c r="J19" t="s">
        <v>789</v>
      </c>
      <c r="K19">
        <v>19</v>
      </c>
      <c r="L19">
        <v>68</v>
      </c>
      <c r="M19" t="s">
        <v>90</v>
      </c>
      <c r="N19" t="s">
        <v>6</v>
      </c>
      <c r="O19" t="s">
        <v>790</v>
      </c>
      <c r="P19" t="s">
        <v>421</v>
      </c>
      <c r="Q19" t="s">
        <v>791</v>
      </c>
    </row>
    <row r="20" spans="1:17" x14ac:dyDescent="0.25">
      <c r="A20" t="s">
        <v>134</v>
      </c>
      <c r="B20" t="s">
        <v>739</v>
      </c>
      <c r="C20" t="s">
        <v>740</v>
      </c>
      <c r="D20" t="s">
        <v>732</v>
      </c>
      <c r="E20" t="s">
        <v>797</v>
      </c>
      <c r="F20" t="b">
        <v>0</v>
      </c>
      <c r="G20">
        <v>33039</v>
      </c>
      <c r="H20" s="6">
        <v>0.88009999999999999</v>
      </c>
      <c r="I20" t="s">
        <v>788</v>
      </c>
      <c r="J20" t="s">
        <v>789</v>
      </c>
      <c r="K20">
        <v>19</v>
      </c>
      <c r="L20">
        <v>68</v>
      </c>
      <c r="M20" t="s">
        <v>90</v>
      </c>
      <c r="N20" t="s">
        <v>6</v>
      </c>
      <c r="O20" t="s">
        <v>790</v>
      </c>
      <c r="P20" t="s">
        <v>421</v>
      </c>
      <c r="Q20" t="s">
        <v>798</v>
      </c>
    </row>
    <row r="21" spans="1:17" x14ac:dyDescent="0.25">
      <c r="A21" t="s">
        <v>134</v>
      </c>
      <c r="B21" t="s">
        <v>730</v>
      </c>
      <c r="C21" t="s">
        <v>731</v>
      </c>
      <c r="D21" t="s">
        <v>732</v>
      </c>
      <c r="E21" t="s">
        <v>799</v>
      </c>
      <c r="F21" t="b">
        <v>0</v>
      </c>
      <c r="G21">
        <v>33039</v>
      </c>
      <c r="H21" s="6">
        <v>0.88009999999999999</v>
      </c>
      <c r="I21" t="s">
        <v>788</v>
      </c>
      <c r="J21" t="s">
        <v>789</v>
      </c>
      <c r="K21">
        <v>19</v>
      </c>
      <c r="L21">
        <v>68</v>
      </c>
      <c r="M21" t="s">
        <v>90</v>
      </c>
      <c r="N21" t="s">
        <v>6</v>
      </c>
      <c r="O21" t="s">
        <v>790</v>
      </c>
      <c r="P21" t="s">
        <v>421</v>
      </c>
      <c r="Q21" t="s">
        <v>800</v>
      </c>
    </row>
    <row r="22" spans="1:17" x14ac:dyDescent="0.25">
      <c r="A22" t="s">
        <v>134</v>
      </c>
      <c r="B22" t="s">
        <v>726</v>
      </c>
      <c r="C22" t="s">
        <v>727</v>
      </c>
      <c r="D22" t="s">
        <v>714</v>
      </c>
      <c r="E22" t="s">
        <v>801</v>
      </c>
      <c r="F22" t="b">
        <v>0</v>
      </c>
      <c r="G22">
        <v>33039</v>
      </c>
      <c r="H22" s="6">
        <v>0.88009999999999999</v>
      </c>
      <c r="I22" t="s">
        <v>788</v>
      </c>
      <c r="J22" t="s">
        <v>789</v>
      </c>
      <c r="K22">
        <v>19</v>
      </c>
      <c r="L22">
        <v>68</v>
      </c>
      <c r="M22" t="s">
        <v>90</v>
      </c>
      <c r="N22" t="s">
        <v>6</v>
      </c>
      <c r="O22" t="s">
        <v>790</v>
      </c>
      <c r="P22" t="s">
        <v>421</v>
      </c>
      <c r="Q22" t="s">
        <v>802</v>
      </c>
    </row>
    <row r="23" spans="1:17" x14ac:dyDescent="0.25">
      <c r="A23" t="s">
        <v>134</v>
      </c>
      <c r="B23" t="s">
        <v>724</v>
      </c>
      <c r="C23" t="s">
        <v>725</v>
      </c>
      <c r="D23" t="s">
        <v>714</v>
      </c>
      <c r="E23" t="s">
        <v>803</v>
      </c>
      <c r="F23" t="b">
        <v>0</v>
      </c>
      <c r="G23">
        <v>33039</v>
      </c>
      <c r="H23" s="6">
        <v>0.88009999999999999</v>
      </c>
      <c r="I23" t="s">
        <v>788</v>
      </c>
      <c r="J23" t="s">
        <v>789</v>
      </c>
      <c r="K23">
        <v>19</v>
      </c>
      <c r="L23">
        <v>68</v>
      </c>
      <c r="M23" t="s">
        <v>90</v>
      </c>
      <c r="N23" t="s">
        <v>6</v>
      </c>
      <c r="O23" t="s">
        <v>790</v>
      </c>
      <c r="P23" t="s">
        <v>421</v>
      </c>
      <c r="Q23" t="s">
        <v>804</v>
      </c>
    </row>
    <row r="24" spans="1:17" x14ac:dyDescent="0.25">
      <c r="A24" t="s">
        <v>134</v>
      </c>
      <c r="B24" t="s">
        <v>712</v>
      </c>
      <c r="C24" t="s">
        <v>713</v>
      </c>
      <c r="D24" t="s">
        <v>714</v>
      </c>
      <c r="E24" t="s">
        <v>787</v>
      </c>
      <c r="F24" t="b">
        <v>0</v>
      </c>
      <c r="G24">
        <v>28786</v>
      </c>
      <c r="H24" s="6">
        <v>0.76680000000000004</v>
      </c>
      <c r="I24" t="s">
        <v>788</v>
      </c>
      <c r="J24" t="s">
        <v>789</v>
      </c>
      <c r="K24">
        <v>19</v>
      </c>
      <c r="L24">
        <v>34</v>
      </c>
      <c r="M24" t="s">
        <v>90</v>
      </c>
      <c r="N24" t="s">
        <v>6</v>
      </c>
      <c r="O24" t="s">
        <v>420</v>
      </c>
      <c r="P24" t="s">
        <v>421</v>
      </c>
      <c r="Q24" t="s">
        <v>805</v>
      </c>
    </row>
    <row r="25" spans="1:17" x14ac:dyDescent="0.25">
      <c r="A25" t="s">
        <v>134</v>
      </c>
      <c r="B25" t="s">
        <v>722</v>
      </c>
      <c r="C25" t="s">
        <v>723</v>
      </c>
      <c r="D25" t="s">
        <v>714</v>
      </c>
      <c r="E25" t="s">
        <v>787</v>
      </c>
      <c r="F25" t="b">
        <v>0</v>
      </c>
      <c r="G25">
        <v>28786</v>
      </c>
      <c r="H25" s="6">
        <v>0.76680000000000004</v>
      </c>
      <c r="I25" t="s">
        <v>788</v>
      </c>
      <c r="J25" t="s">
        <v>789</v>
      </c>
      <c r="K25">
        <v>19</v>
      </c>
      <c r="L25">
        <v>34</v>
      </c>
      <c r="M25" t="s">
        <v>90</v>
      </c>
      <c r="N25" t="s">
        <v>6</v>
      </c>
      <c r="O25" t="s">
        <v>420</v>
      </c>
      <c r="P25" t="s">
        <v>421</v>
      </c>
      <c r="Q25" t="s">
        <v>806</v>
      </c>
    </row>
    <row r="26" spans="1:17" x14ac:dyDescent="0.25">
      <c r="A26" t="s">
        <v>134</v>
      </c>
      <c r="B26" t="s">
        <v>733</v>
      </c>
      <c r="C26" t="s">
        <v>731</v>
      </c>
      <c r="D26" t="s">
        <v>732</v>
      </c>
      <c r="E26" t="s">
        <v>799</v>
      </c>
      <c r="F26" t="b">
        <v>0</v>
      </c>
      <c r="G26">
        <v>19029</v>
      </c>
      <c r="H26" s="6">
        <v>0.50690000000000002</v>
      </c>
      <c r="I26" t="s">
        <v>788</v>
      </c>
      <c r="J26" t="s">
        <v>789</v>
      </c>
      <c r="K26">
        <v>19</v>
      </c>
      <c r="L26">
        <v>20</v>
      </c>
      <c r="M26" t="s">
        <v>90</v>
      </c>
      <c r="N26" t="s">
        <v>6</v>
      </c>
      <c r="O26" t="s">
        <v>244</v>
      </c>
      <c r="P26" t="s">
        <v>316</v>
      </c>
      <c r="Q26" t="s">
        <v>807</v>
      </c>
    </row>
    <row r="27" spans="1:17" x14ac:dyDescent="0.25">
      <c r="A27" t="s">
        <v>134</v>
      </c>
      <c r="B27" t="s">
        <v>752</v>
      </c>
      <c r="C27" t="s">
        <v>753</v>
      </c>
      <c r="D27" t="s">
        <v>714</v>
      </c>
      <c r="E27" t="s">
        <v>787</v>
      </c>
      <c r="F27" t="b">
        <v>1</v>
      </c>
      <c r="G27">
        <v>6201</v>
      </c>
      <c r="H27" s="6">
        <v>0.16520000000000001</v>
      </c>
      <c r="I27" t="s">
        <v>808</v>
      </c>
      <c r="J27" t="s">
        <v>789</v>
      </c>
      <c r="K27">
        <v>16</v>
      </c>
      <c r="L27">
        <v>35</v>
      </c>
      <c r="M27" t="s">
        <v>90</v>
      </c>
      <c r="N27" t="s">
        <v>6</v>
      </c>
      <c r="O27" t="s">
        <v>790</v>
      </c>
      <c r="P27" t="s">
        <v>809</v>
      </c>
      <c r="Q27" t="s">
        <v>810</v>
      </c>
    </row>
    <row r="28" spans="1:17" x14ac:dyDescent="0.25">
      <c r="A28" t="s">
        <v>134</v>
      </c>
      <c r="B28" t="s">
        <v>749</v>
      </c>
      <c r="C28" t="s">
        <v>731</v>
      </c>
      <c r="D28" t="s">
        <v>732</v>
      </c>
      <c r="E28" t="s">
        <v>799</v>
      </c>
      <c r="F28" t="b">
        <v>0</v>
      </c>
      <c r="G28">
        <v>5704</v>
      </c>
      <c r="H28" s="6">
        <v>0.152</v>
      </c>
      <c r="I28" t="s">
        <v>811</v>
      </c>
      <c r="J28" t="s">
        <v>789</v>
      </c>
      <c r="K28">
        <v>12</v>
      </c>
      <c r="L28">
        <v>15</v>
      </c>
      <c r="M28" t="s">
        <v>90</v>
      </c>
      <c r="N28" t="s">
        <v>6</v>
      </c>
      <c r="O28" t="s">
        <v>790</v>
      </c>
      <c r="P28" t="s">
        <v>421</v>
      </c>
      <c r="Q28" t="s">
        <v>812</v>
      </c>
    </row>
    <row r="29" spans="1:17" x14ac:dyDescent="0.25">
      <c r="A29" t="s">
        <v>134</v>
      </c>
      <c r="B29" t="s">
        <v>734</v>
      </c>
      <c r="C29" t="s">
        <v>731</v>
      </c>
      <c r="D29" t="s">
        <v>732</v>
      </c>
      <c r="E29" t="s">
        <v>799</v>
      </c>
      <c r="F29" t="b">
        <v>0</v>
      </c>
      <c r="G29">
        <v>5572</v>
      </c>
      <c r="H29" s="6">
        <v>0.1484</v>
      </c>
      <c r="I29" t="s">
        <v>813</v>
      </c>
      <c r="J29" t="s">
        <v>789</v>
      </c>
      <c r="K29">
        <v>15</v>
      </c>
      <c r="L29">
        <v>17</v>
      </c>
      <c r="M29" t="s">
        <v>90</v>
      </c>
      <c r="N29" t="s">
        <v>6</v>
      </c>
      <c r="O29" t="s">
        <v>790</v>
      </c>
      <c r="P29" t="s">
        <v>814</v>
      </c>
      <c r="Q29" t="s">
        <v>815</v>
      </c>
    </row>
    <row r="30" spans="1:17" x14ac:dyDescent="0.25">
      <c r="A30" t="s">
        <v>134</v>
      </c>
      <c r="B30" t="s">
        <v>745</v>
      </c>
      <c r="C30" t="s">
        <v>746</v>
      </c>
      <c r="D30" t="s">
        <v>714</v>
      </c>
      <c r="E30" t="s">
        <v>787</v>
      </c>
      <c r="F30" t="b">
        <v>0</v>
      </c>
      <c r="G30">
        <v>4040</v>
      </c>
      <c r="H30" s="6">
        <v>0.1076</v>
      </c>
      <c r="I30" t="s">
        <v>788</v>
      </c>
      <c r="J30" t="s">
        <v>816</v>
      </c>
      <c r="K30">
        <v>19</v>
      </c>
      <c r="L30">
        <v>33</v>
      </c>
      <c r="M30" t="s">
        <v>96</v>
      </c>
      <c r="N30" t="s">
        <v>6</v>
      </c>
      <c r="O30" t="s">
        <v>335</v>
      </c>
      <c r="P30" t="s">
        <v>817</v>
      </c>
      <c r="Q30" t="s">
        <v>818</v>
      </c>
    </row>
    <row r="31" spans="1:17" x14ac:dyDescent="0.25">
      <c r="A31" t="s">
        <v>134</v>
      </c>
      <c r="B31" t="s">
        <v>742</v>
      </c>
      <c r="C31" t="s">
        <v>743</v>
      </c>
      <c r="D31" t="s">
        <v>714</v>
      </c>
      <c r="E31" t="s">
        <v>787</v>
      </c>
      <c r="F31" t="b">
        <v>0</v>
      </c>
      <c r="G31">
        <v>4034</v>
      </c>
      <c r="H31" s="6">
        <v>0.1075</v>
      </c>
      <c r="I31" t="s">
        <v>788</v>
      </c>
      <c r="J31" t="s">
        <v>816</v>
      </c>
      <c r="K31">
        <v>19</v>
      </c>
      <c r="L31">
        <v>32</v>
      </c>
      <c r="M31" t="s">
        <v>96</v>
      </c>
      <c r="N31" t="s">
        <v>6</v>
      </c>
      <c r="O31" t="s">
        <v>335</v>
      </c>
      <c r="P31" t="s">
        <v>817</v>
      </c>
      <c r="Q31" t="s">
        <v>819</v>
      </c>
    </row>
    <row r="32" spans="1:17" x14ac:dyDescent="0.25">
      <c r="A32" t="s">
        <v>134</v>
      </c>
      <c r="B32" t="s">
        <v>750</v>
      </c>
      <c r="C32" t="s">
        <v>731</v>
      </c>
      <c r="D32" t="s">
        <v>732</v>
      </c>
      <c r="E32" t="s">
        <v>799</v>
      </c>
      <c r="F32" t="b">
        <v>0</v>
      </c>
      <c r="G32">
        <v>2734</v>
      </c>
      <c r="H32" s="6">
        <v>7.2800000000000004E-2</v>
      </c>
      <c r="I32" t="s">
        <v>820</v>
      </c>
      <c r="J32" t="s">
        <v>789</v>
      </c>
      <c r="K32">
        <v>14</v>
      </c>
      <c r="L32">
        <v>16</v>
      </c>
      <c r="M32" t="s">
        <v>90</v>
      </c>
      <c r="N32" t="s">
        <v>6</v>
      </c>
      <c r="O32" t="s">
        <v>244</v>
      </c>
      <c r="P32" t="s">
        <v>821</v>
      </c>
      <c r="Q32" t="s">
        <v>822</v>
      </c>
    </row>
    <row r="33" spans="1:17" x14ac:dyDescent="0.25">
      <c r="A33" t="s">
        <v>134</v>
      </c>
      <c r="B33" t="s">
        <v>720</v>
      </c>
      <c r="C33" t="s">
        <v>721</v>
      </c>
      <c r="D33" t="s">
        <v>714</v>
      </c>
      <c r="E33" t="s">
        <v>787</v>
      </c>
      <c r="F33" t="b">
        <v>1</v>
      </c>
      <c r="G33">
        <v>1862</v>
      </c>
      <c r="H33" s="6">
        <v>4.9599999999999998E-2</v>
      </c>
      <c r="I33" t="s">
        <v>788</v>
      </c>
      <c r="J33" t="s">
        <v>789</v>
      </c>
      <c r="K33">
        <v>16</v>
      </c>
      <c r="L33">
        <v>32</v>
      </c>
      <c r="M33" t="s">
        <v>90</v>
      </c>
      <c r="N33" t="s">
        <v>6</v>
      </c>
      <c r="O33" t="s">
        <v>790</v>
      </c>
      <c r="P33" t="s">
        <v>200</v>
      </c>
      <c r="Q33" t="s">
        <v>823</v>
      </c>
    </row>
    <row r="34" spans="1:17" x14ac:dyDescent="0.25">
      <c r="A34" t="s">
        <v>134</v>
      </c>
      <c r="B34" t="s">
        <v>760</v>
      </c>
      <c r="C34" t="s">
        <v>761</v>
      </c>
      <c r="D34" t="s">
        <v>714</v>
      </c>
      <c r="E34" t="s">
        <v>787</v>
      </c>
      <c r="F34" t="b">
        <v>1</v>
      </c>
      <c r="G34">
        <v>24</v>
      </c>
      <c r="H34" s="6">
        <v>5.9999999999999995E-4</v>
      </c>
      <c r="I34" t="s">
        <v>75</v>
      </c>
      <c r="J34" t="s">
        <v>789</v>
      </c>
      <c r="K34">
        <v>1</v>
      </c>
      <c r="L34">
        <v>2</v>
      </c>
      <c r="M34" t="s">
        <v>91</v>
      </c>
      <c r="N34" t="s">
        <v>6</v>
      </c>
      <c r="O34" t="s">
        <v>260</v>
      </c>
      <c r="P34" t="s">
        <v>260</v>
      </c>
      <c r="Q34" t="s">
        <v>824</v>
      </c>
    </row>
    <row r="35" spans="1:17" x14ac:dyDescent="0.25">
      <c r="A35" t="s">
        <v>134</v>
      </c>
      <c r="B35" t="s">
        <v>756</v>
      </c>
      <c r="C35" t="s">
        <v>757</v>
      </c>
      <c r="D35" t="s">
        <v>714</v>
      </c>
      <c r="E35" t="s">
        <v>787</v>
      </c>
      <c r="F35" t="b">
        <v>1</v>
      </c>
      <c r="G35">
        <v>11</v>
      </c>
      <c r="H35" s="6">
        <v>2.9999999999999997E-4</v>
      </c>
      <c r="I35" t="s">
        <v>825</v>
      </c>
      <c r="J35" t="s">
        <v>826</v>
      </c>
      <c r="K35">
        <v>2</v>
      </c>
      <c r="L35">
        <v>3</v>
      </c>
      <c r="M35" t="s">
        <v>90</v>
      </c>
      <c r="N35" t="s">
        <v>94</v>
      </c>
      <c r="O35" t="s">
        <v>215</v>
      </c>
      <c r="P35" t="s">
        <v>371</v>
      </c>
      <c r="Q35" t="s">
        <v>827</v>
      </c>
    </row>
  </sheetData>
  <autoFilter ref="A14:Q35" xr:uid="{00000000-0009-0000-0000-00000B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Index</vt:lpstr>
      <vt:lpstr>Availability</vt:lpstr>
      <vt:lpstr>Booking curve</vt:lpstr>
      <vt:lpstr>Curve by hull gen</vt:lpstr>
      <vt:lpstr>Offer boundary</vt:lpstr>
      <vt:lpstr>Inclusion value</vt:lpstr>
      <vt:lpstr>Peer gap</vt:lpstr>
      <vt:lpstr>Earnings window</vt:lpstr>
      <vt:lpstr>Charts</vt:lpstr>
      <vt:lpstr>Cohort index</vt:lpstr>
      <vt:lpstr>Depletion</vt:lpstr>
      <vt:lpstr>Promo diff</vt:lpstr>
      <vt:lpstr>Promo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George Runoff</cp:lastModifiedBy>
  <dcterms:created xsi:type="dcterms:W3CDTF">2026-09-28T07:05:44Z</dcterms:created>
  <dcterms:modified xsi:type="dcterms:W3CDTF">2026-10-05T19:20:55Z</dcterms:modified>
</cp:coreProperties>
</file>